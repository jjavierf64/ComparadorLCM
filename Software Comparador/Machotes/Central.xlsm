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drawings/vmlDrawing1.vml" ContentType="application/vnd.openxmlformats-officedocument.vmlDrawing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2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9.xml.rels" ContentType="application/vnd.openxmlformats-package.relationships+xml"/>
  <Override PartName="/xl/worksheets/_rels/sheet10.xml.rels" ContentType="application/vnd.openxmlformats-package.relationship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3.xml" ContentType="application/vnd.openxmlformats-officedocument.spreadsheetml.comments+xml"/>
  <Override PartName="/xl/media/image1.wmf" ContentType="image/x-wmf"/>
  <Override PartName="/xl/media/image2.png" ContentType="image/png"/>
  <Override PartName="/xl/media/image3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Impresion Bitacora" sheetId="1" state="visible" r:id="rId4"/>
    <sheet name="Ident.Bloques a calibrar" sheetId="2" state="visible" r:id="rId5"/>
    <sheet name="CALIBRACION" sheetId="3" state="hidden" r:id="rId6"/>
    <sheet name="BLOQUES PATRON (mm)" sheetId="4" state="hidden" r:id="rId7"/>
    <sheet name="BLOQUES PATRON (pulg) " sheetId="5" state="hidden" r:id="rId8"/>
    <sheet name="conversion datos" sheetId="6" state="visible" r:id="rId9"/>
    <sheet name="Introduccion de datos de Calib." sheetId="7" state="visible" r:id="rId10"/>
    <sheet name="Coef. Expansión Térmica" sheetId="8" state="hidden" r:id="rId11"/>
    <sheet name="INFORMACION" sheetId="9" state="hidden" r:id="rId12"/>
    <sheet name="Certificado Digital (mm)" sheetId="10" state="visible" r:id="rId13"/>
    <sheet name="Datos de condiciones" sheetId="11" state="hidden" r:id="rId14"/>
    <sheet name="Certificado Digital (inch)" sheetId="12" state="hidden" r:id="rId15"/>
    <sheet name="Patrones LACOMET" sheetId="13" state="hidden" r:id="rId16"/>
    <sheet name="CERTIFICADO 1" sheetId="14" state="hidden" r:id="rId17"/>
    <sheet name="INCERTIDUMBRE" sheetId="15" state="hidden" r:id="rId18"/>
    <sheet name="DEFORMACION 1" sheetId="16" state="hidden" r:id="rId19"/>
    <sheet name="SENSIBILIDAD 2" sheetId="17" state="hidden" r:id="rId20"/>
    <sheet name="CONTRIBUCIONES" sheetId="18" state="hidden" r:id="rId21"/>
  </sheets>
  <externalReferences>
    <externalReference r:id="rId22"/>
  </externalReferences>
  <definedNames>
    <definedName function="false" hidden="false" localSheetId="11" name="_xlnm.Print_Area" vbProcedure="false">'Certificado Digital (inch)'!$A$1:$R$97</definedName>
    <definedName function="false" hidden="false" localSheetId="9" name="_xlnm.Print_Area" vbProcedure="false">'Certificado Digital (mm)'!$A$1:$R$147</definedName>
    <definedName function="false" hidden="false" localSheetId="17" name="_xlnm.Print_Area" vbProcedure="false">CONTRIBUCIONES!$A$1:$E$19</definedName>
    <definedName function="false" hidden="false" localSheetId="10" name="_xlnm.Print_Area" vbProcedure="false">'Datos de condiciones'!$B$2:$G$40</definedName>
    <definedName function="false" hidden="false" localSheetId="0" name="_xlnm.Print_Area" vbProcedure="false">'Impresion Bitacora'!$A$2:$J$28</definedName>
    <definedName function="false" hidden="false" name="ABBA" vbProcedure="false">#REF!</definedName>
    <definedName function="false" hidden="false" name="Act" vbProcedure="false">#REF!</definedName>
    <definedName function="false" hidden="false" name="ActS" vbProcedure="false">#REF!</definedName>
    <definedName function="false" hidden="false" name="BC" vbProcedure="false">#REF!</definedName>
    <definedName function="false" hidden="false" name="Bit" vbProcedure="false">#REF!</definedName>
    <definedName function="false" hidden="false" name="BITACORA" vbProcedure="false">'conversion datos'!$V$1:$V$1</definedName>
    <definedName function="false" hidden="false" name="BLOQUES_PATRON" vbProcedure="false">'Patrones LACOMET'!$D$3:$D$7</definedName>
    <definedName function="false" hidden="false" name="calibrando1" vbProcedure="false">INCERTIDUMBRE!$O$6:$R$6</definedName>
    <definedName function="false" hidden="false" name="CE" vbProcedure="false">#REF!</definedName>
    <definedName function="false" hidden="false" name="COLABORADORES" vbProcedure="false">'conversion datos'!$V$2:$V$4</definedName>
    <definedName function="false" hidden="false" name="Ctf" vbProcedure="false">#REF!</definedName>
    <definedName function="false" hidden="false" name="danos_y_rayas" vbProcedure="false">[1]Hoja1!$F$7:$F$11</definedName>
    <definedName function="false" hidden="false" name="Dir" vbProcedure="false">#REF!</definedName>
    <definedName function="false" hidden="false" name="Ds" vbProcedure="false">#REF!</definedName>
    <definedName function="false" hidden="false" name="estado" vbProcedure="false">'Ident.Bloques a calibrar'!$P$2:$P$8</definedName>
    <definedName function="false" hidden="false" name="Fb" vbProcedure="false">#REF!</definedName>
    <definedName function="false" hidden="false" name="Fch" vbProcedure="false">#REF!</definedName>
    <definedName function="false" hidden="false" name="Fecha" vbProcedure="false">#REF!</definedName>
    <definedName function="false" hidden="false" name="Fol" vbProcedure="false">#REF!</definedName>
    <definedName function="false" hidden="false" name="Hr" vbProcedure="false">#REF!</definedName>
    <definedName function="false" hidden="false" name="IDs" vbProcedure="false">#REF!</definedName>
    <definedName function="false" hidden="false" name="material_y_marca" vbProcedure="false">'Coef. Expansión Térmica'!$A$3:$A$22</definedName>
    <definedName function="false" hidden="false" name="Met" vbProcedure="false">#REF!</definedName>
    <definedName function="false" hidden="false" name="MSup" vbProcedure="false">#REF!</definedName>
    <definedName function="false" hidden="false" name="Opr" vbProcedure="false">#REF!</definedName>
    <definedName function="false" hidden="false" name="patron1" vbProcedure="false">INCERTIDUMBRE!$N$7:$N$10</definedName>
    <definedName function="false" hidden="false" name="PATRONES" vbProcedure="false">'DEFORMACION 1'!$C$18:$F$18</definedName>
    <definedName function="false" hidden="false" name="PS" vbProcedure="false">#REF!</definedName>
    <definedName function="false" hidden="false" name="Pt" vbProcedure="false">#REF!</definedName>
    <definedName function="false" hidden="false" name="revisores" vbProcedure="false">'conversion datos'!$V$2:$V$11</definedName>
    <definedName function="false" hidden="false" name="Sol" vbProcedure="false">#REF!</definedName>
    <definedName function="false" hidden="false" name="Sr" vbProcedure="false">#REF!</definedName>
    <definedName function="false" hidden="false" name="TC" vbProcedure="false">#REF!</definedName>
    <definedName function="false" hidden="false" name="TrDs" vbProcedure="false">#REF!</definedName>
    <definedName function="false" hidden="false" name="Vai" vbProcedure="false">#REF!</definedName>
    <definedName function="false" hidden="false" name="VN" vbProcedure="false">#REF!</definedName>
    <definedName function="false" hidden="false" name="VNS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H10" authorId="0">
      <text>
        <r>
          <rPr>
            <sz val="10"/>
            <rFont val="Arial"/>
            <family val="2"/>
          </rPr>
          <t xml:space="preserve">Colocar el vaor Nominal en mm</t>
        </r>
      </text>
    </comment>
  </commentList>
</comments>
</file>

<file path=xl/sharedStrings.xml><?xml version="1.0" encoding="utf-8"?>
<sst xmlns="http://schemas.openxmlformats.org/spreadsheetml/2006/main" count="1335" uniqueCount="894">
  <si>
    <t xml:space="preserve">µm</t>
  </si>
  <si>
    <t xml:space="preserve">mm</t>
  </si>
  <si>
    <t xml:space="preserve">Ingreso de identicacion del juego de bloques a calibrar </t>
  </si>
  <si>
    <t xml:space="preserve">Nº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</si>
  <si>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</si>
  <si>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</si>
  <si>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</si>
  <si>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</si>
  <si>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</si>
  <si>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</si>
  <si>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 xml:space="preserve">rayas importantes en toda las superficies de medición</t>
  </si>
  <si>
    <t xml:space="preserve">sin rayas o daños perceptibles </t>
  </si>
  <si>
    <t xml:space="preserve">Bloques de referencia</t>
  </si>
  <si>
    <t xml:space="preserve">BLOQUES A CALIBRAR</t>
  </si>
  <si>
    <t xml:space="preserve">Valores de entrada</t>
  </si>
  <si>
    <t xml:space="preserve">Temperatura entre bloques</t>
  </si>
  <si>
    <t xml:space="preserve">Humedad Relativa del laboratorio</t>
  </si>
  <si>
    <t xml:space="preserve">Longitud              Nominal (l)</t>
  </si>
  <si>
    <t xml:space="preserve">Desviación                Central (lc-l)</t>
  </si>
  <si>
    <t xml:space="preserve">Longitud                                    Central (ls)</t>
  </si>
  <si>
    <t xml:space="preserve">Incertidumbre</t>
  </si>
  <si>
    <t xml:space="preserve">Valor nominal</t>
  </si>
  <si>
    <t xml:space="preserve">Identificacion</t>
  </si>
  <si>
    <t xml:space="preserve">Valor nominal </t>
  </si>
  <si>
    <t xml:space="preserve">Adherencia  D/I</t>
  </si>
  <si>
    <t xml:space="preserve">Desviaciones</t>
  </si>
  <si>
    <t xml:space="preserve">Observaciones</t>
  </si>
  <si>
    <t xml:space="preserve">Desviación Medida</t>
  </si>
  <si>
    <t xml:space="preserve">Medición de Longitud referencia</t>
  </si>
  <si>
    <t xml:space="preserve">Corrección deformación</t>
  </si>
  <si>
    <t xml:space="preserve">Medición de Longitud calibrado</t>
  </si>
  <si>
    <t xml:space="preserve">Temperatura Bloque referencia (θs)</t>
  </si>
  <si>
    <t xml:space="preserve">Temperatura Bloque a calibrar (θ)</t>
  </si>
  <si>
    <t xml:space="preserve">Item</t>
  </si>
  <si>
    <t xml:space="preserve">Temperatura Sensor 1</t>
  </si>
  <si>
    <t xml:space="preserve">Temperatura Sensor 2</t>
  </si>
  <si>
    <t xml:space="preserve">Diferencia de temperaturas</t>
  </si>
  <si>
    <t xml:space="preserve">Temperatura Sensor 4</t>
  </si>
  <si>
    <t xml:space="preserve">mañana</t>
  </si>
  <si>
    <t xml:space="preserve">medio dia</t>
  </si>
  <si>
    <t xml:space="preserve">tarde</t>
  </si>
  <si>
    <t xml:space="preserve">si (), no</t>
  </si>
  <si>
    <t xml:space="preserve">Fo (µinch</t>
  </si>
  <si>
    <t xml:space="preserve">Fu (µinch)</t>
  </si>
  <si>
    <t xml:space="preserve">inch</t>
  </si>
  <si>
    <t xml:space="preserve">°C</t>
  </si>
  <si>
    <t xml:space="preserve">(t-20 °C)</t>
  </si>
  <si>
    <t xml:space="preserve">δθ</t>
  </si>
  <si>
    <t xml:space="preserve">%</t>
  </si>
  <si>
    <t xml:space="preserve">1</t>
  </si>
  <si>
    <t xml:space="preserve">Máxima variación de temperatura</t>
  </si>
  <si>
    <t xml:space="preserve">Máxima Humedad</t>
  </si>
  <si>
    <t xml:space="preserve">Diferencia Temperatura Sensor 4</t>
  </si>
  <si>
    <t xml:space="preserve">Minima Humedad</t>
  </si>
  <si>
    <t xml:space="preserve">Máxima Temperatura Sensor 4</t>
  </si>
  <si>
    <t xml:space="preserve">Promedio Humedad</t>
  </si>
  <si>
    <t xml:space="preserve">Mínima Temperatura Sensor 4</t>
  </si>
  <si>
    <t xml:space="preserve"> Diferencia Humedad</t>
  </si>
  <si>
    <t xml:space="preserve">CERAMICA - CENAM 2015  CERAMICA 707014</t>
  </si>
  <si>
    <t xml:space="preserve">CARBURO DE TUNGSTENO</t>
  </si>
  <si>
    <t xml:space="preserve">Grado 00</t>
  </si>
  <si>
    <t xml:space="preserve">112 piezas</t>
  </si>
  <si>
    <t xml:space="preserve">DERIVA SEGÚN LOS CERTIFICADOS BLOQUES CERAMICA</t>
  </si>
  <si>
    <t xml:space="preserve">Número                                  Serie</t>
  </si>
  <si>
    <t xml:space="preserve">Nominal                                     mm</t>
  </si>
  <si>
    <t xml:space="preserve"> Desviación               nm</t>
  </si>
  <si>
    <r>
      <rPr>
        <sz val="12"/>
        <rFont val="Arial"/>
        <family val="2"/>
        <charset val="1"/>
      </rPr>
      <t xml:space="preserve"> Desviación               </t>
    </r>
    <r>
      <rPr>
        <sz val="12"/>
        <rFont val="Calibri"/>
        <family val="2"/>
        <charset val="1"/>
      </rPr>
      <t xml:space="preserve">µ</t>
    </r>
    <r>
      <rPr>
        <sz val="12"/>
        <rFont val="Arial"/>
        <family val="2"/>
        <charset val="1"/>
      </rPr>
      <t xml:space="preserve">m</t>
    </r>
  </si>
  <si>
    <t xml:space="preserve">Incertidumbre    Exp.      (±) nm</t>
  </si>
  <si>
    <t xml:space="preserve">Incertidumbre  K=1      (±) nm</t>
  </si>
  <si>
    <t xml:space="preserve"> Desviación               µm</t>
  </si>
  <si>
    <t xml:space="preserve">Incertidumbre          (±) nm</t>
  </si>
  <si>
    <t xml:space="preserve">CENAM 2015 µm</t>
  </si>
  <si>
    <t xml:space="preserve">CENAM                     Junio 2010 µm</t>
  </si>
  <si>
    <t xml:space="preserve">Variación en
39 meses (nm)</t>
  </si>
  <si>
    <t xml:space="preserve">Max. Variación
mensual (nm)</t>
  </si>
  <si>
    <t xml:space="preserve">Promedio (anual)
Deriva (µm)</t>
  </si>
  <si>
    <t xml:space="preserve">Incertidumbre Promedio (average)
Deriva (nm)</t>
  </si>
  <si>
    <t xml:space="preserve">Incertidumbre Promedio (average)
Permitida (nm)</t>
  </si>
  <si>
    <t xml:space="preserve">23045J</t>
  </si>
  <si>
    <t xml:space="preserve">C6225</t>
  </si>
  <si>
    <t xml:space="preserve">20458K</t>
  </si>
  <si>
    <t xml:space="preserve">C6082</t>
  </si>
  <si>
    <t xml:space="preserve">11824F</t>
  </si>
  <si>
    <t xml:space="preserve">C6022</t>
  </si>
  <si>
    <t xml:space="preserve">19761K</t>
  </si>
  <si>
    <t xml:space="preserve">C6023</t>
  </si>
  <si>
    <t xml:space="preserve">19243J</t>
  </si>
  <si>
    <t xml:space="preserve">C6024</t>
  </si>
  <si>
    <t xml:space="preserve">13639J</t>
  </si>
  <si>
    <t xml:space="preserve">C4423</t>
  </si>
  <si>
    <t xml:space="preserve">15048J</t>
  </si>
  <si>
    <t xml:space="preserve">C6026</t>
  </si>
  <si>
    <t xml:space="preserve">20703J</t>
  </si>
  <si>
    <t xml:space="preserve">C6027</t>
  </si>
  <si>
    <t xml:space="preserve">04889K</t>
  </si>
  <si>
    <t xml:space="preserve">C6028</t>
  </si>
  <si>
    <t xml:space="preserve">23552J</t>
  </si>
  <si>
    <t xml:space="preserve">C6029</t>
  </si>
  <si>
    <t xml:space="preserve">16171K</t>
  </si>
  <si>
    <t xml:space="preserve">C6030</t>
  </si>
  <si>
    <t xml:space="preserve">04056K</t>
  </si>
  <si>
    <t xml:space="preserve">C6031</t>
  </si>
  <si>
    <t xml:space="preserve">15074J</t>
  </si>
  <si>
    <t xml:space="preserve">C6032</t>
  </si>
  <si>
    <t xml:space="preserve">03285J</t>
  </si>
  <si>
    <t xml:space="preserve">C4431</t>
  </si>
  <si>
    <t xml:space="preserve">03962K</t>
  </si>
  <si>
    <t xml:space="preserve">C6034</t>
  </si>
  <si>
    <t xml:space="preserve">03294J</t>
  </si>
  <si>
    <t xml:space="preserve">C6035</t>
  </si>
  <si>
    <t xml:space="preserve">23258J</t>
  </si>
  <si>
    <t xml:space="preserve">C6036</t>
  </si>
  <si>
    <t xml:space="preserve">03144J</t>
  </si>
  <si>
    <t xml:space="preserve">C6037</t>
  </si>
  <si>
    <t xml:space="preserve">23861J</t>
  </si>
  <si>
    <t xml:space="preserve">C6038</t>
  </si>
  <si>
    <t xml:space="preserve">19816K</t>
  </si>
  <si>
    <t xml:space="preserve">C6039</t>
  </si>
  <si>
    <t xml:space="preserve">03982K</t>
  </si>
  <si>
    <t xml:space="preserve">C6040</t>
  </si>
  <si>
    <t xml:space="preserve">23063J</t>
  </si>
  <si>
    <t xml:space="preserve">C6041</t>
  </si>
  <si>
    <t xml:space="preserve">09079J</t>
  </si>
  <si>
    <t xml:space="preserve">C6042</t>
  </si>
  <si>
    <t xml:space="preserve">19268J</t>
  </si>
  <si>
    <t xml:space="preserve">C6043</t>
  </si>
  <si>
    <t xml:space="preserve">23087J</t>
  </si>
  <si>
    <t xml:space="preserve">C6188</t>
  </si>
  <si>
    <t xml:space="preserve">15511D</t>
  </si>
  <si>
    <t xml:space="preserve">C6045</t>
  </si>
  <si>
    <t xml:space="preserve">16583J</t>
  </si>
  <si>
    <t xml:space="preserve">C6046</t>
  </si>
  <si>
    <t xml:space="preserve">05863L</t>
  </si>
  <si>
    <t xml:space="preserve">C6047</t>
  </si>
  <si>
    <t xml:space="preserve">09968H</t>
  </si>
  <si>
    <t xml:space="preserve">C6048</t>
  </si>
  <si>
    <t xml:space="preserve">00985G</t>
  </si>
  <si>
    <t xml:space="preserve">C6049</t>
  </si>
  <si>
    <t xml:space="preserve">19284J</t>
  </si>
  <si>
    <t xml:space="preserve">C6050</t>
  </si>
  <si>
    <t xml:space="preserve">15982K</t>
  </si>
  <si>
    <t xml:space="preserve">C6051</t>
  </si>
  <si>
    <t xml:space="preserve">13457J</t>
  </si>
  <si>
    <t xml:space="preserve">C6052</t>
  </si>
  <si>
    <t xml:space="preserve">16420J</t>
  </si>
  <si>
    <t xml:space="preserve">C6053</t>
  </si>
  <si>
    <t xml:space="preserve">23113J</t>
  </si>
  <si>
    <t xml:space="preserve">C6054</t>
  </si>
  <si>
    <t xml:space="preserve">09588J</t>
  </si>
  <si>
    <t xml:space="preserve">C6055</t>
  </si>
  <si>
    <t xml:space="preserve">23125J</t>
  </si>
  <si>
    <t xml:space="preserve">C6056</t>
  </si>
  <si>
    <t xml:space="preserve">23036J</t>
  </si>
  <si>
    <t xml:space="preserve">C6057</t>
  </si>
  <si>
    <t xml:space="preserve">15140J</t>
  </si>
  <si>
    <t xml:space="preserve">C6058</t>
  </si>
  <si>
    <t xml:space="preserve">00305J</t>
  </si>
  <si>
    <t xml:space="preserve">C6059</t>
  </si>
  <si>
    <t xml:space="preserve">05728L</t>
  </si>
  <si>
    <t xml:space="preserve">C6060</t>
  </si>
  <si>
    <t xml:space="preserve">02128K</t>
  </si>
  <si>
    <t xml:space="preserve">C6061</t>
  </si>
  <si>
    <t xml:space="preserve">20582J</t>
  </si>
  <si>
    <t xml:space="preserve">C6062</t>
  </si>
  <si>
    <t xml:space="preserve">02995J</t>
  </si>
  <si>
    <t xml:space="preserve">C6063</t>
  </si>
  <si>
    <t xml:space="preserve">14682H</t>
  </si>
  <si>
    <t xml:space="preserve">C6064</t>
  </si>
  <si>
    <t xml:space="preserve">20562J</t>
  </si>
  <si>
    <t xml:space="preserve">C6065</t>
  </si>
  <si>
    <t xml:space="preserve">19106J</t>
  </si>
  <si>
    <t xml:space="preserve">C6066</t>
  </si>
  <si>
    <t xml:space="preserve">01628J</t>
  </si>
  <si>
    <t xml:space="preserve">C6067</t>
  </si>
  <si>
    <t xml:space="preserve">16936J</t>
  </si>
  <si>
    <t xml:space="preserve">C6068</t>
  </si>
  <si>
    <t xml:space="preserve">06082J</t>
  </si>
  <si>
    <t xml:space="preserve">C6069</t>
  </si>
  <si>
    <t xml:space="preserve">04928L</t>
  </si>
  <si>
    <t xml:space="preserve">C6070</t>
  </si>
  <si>
    <t xml:space="preserve">03202K</t>
  </si>
  <si>
    <t xml:space="preserve">C6071</t>
  </si>
  <si>
    <t xml:space="preserve">06804J</t>
  </si>
  <si>
    <t xml:space="preserve">C6072</t>
  </si>
  <si>
    <t xml:space="preserve">06815J</t>
  </si>
  <si>
    <t xml:space="preserve">C6073</t>
  </si>
  <si>
    <t xml:space="preserve">05360L</t>
  </si>
  <si>
    <t xml:space="preserve">C6074</t>
  </si>
  <si>
    <t xml:space="preserve">13508J</t>
  </si>
  <si>
    <t xml:space="preserve">C6075</t>
  </si>
  <si>
    <t xml:space="preserve">00353J</t>
  </si>
  <si>
    <t xml:space="preserve">C6076</t>
  </si>
  <si>
    <t xml:space="preserve">39920C</t>
  </si>
  <si>
    <t xml:space="preserve">C6077</t>
  </si>
  <si>
    <t xml:space="preserve">00515J</t>
  </si>
  <si>
    <t xml:space="preserve">C6078</t>
  </si>
  <si>
    <t xml:space="preserve">09627J</t>
  </si>
  <si>
    <t xml:space="preserve">C6079</t>
  </si>
  <si>
    <t xml:space="preserve">13690J</t>
  </si>
  <si>
    <t xml:space="preserve">C6080</t>
  </si>
  <si>
    <t xml:space="preserve">12039K</t>
  </si>
  <si>
    <t xml:space="preserve">C6227</t>
  </si>
  <si>
    <t xml:space="preserve">CAR 1,60</t>
  </si>
  <si>
    <t xml:space="preserve">C6041/6225</t>
  </si>
  <si>
    <t xml:space="preserve">CAR 1,70</t>
  </si>
  <si>
    <t xml:space="preserve">C6051/6225</t>
  </si>
  <si>
    <t xml:space="preserve">CAR 1,80</t>
  </si>
  <si>
    <t xml:space="preserve">C6061/6225</t>
  </si>
  <si>
    <t xml:space="preserve">CAR 1,90</t>
  </si>
  <si>
    <t xml:space="preserve">C6071/6225</t>
  </si>
  <si>
    <t xml:space="preserve">11946K</t>
  </si>
  <si>
    <t xml:space="preserve">C6084</t>
  </si>
  <si>
    <t xml:space="preserve">11975K</t>
  </si>
  <si>
    <t xml:space="preserve">C6085</t>
  </si>
  <si>
    <t xml:space="preserve">06156L</t>
  </si>
  <si>
    <t xml:space="preserve">C6086</t>
  </si>
  <si>
    <t xml:space="preserve">16679K</t>
  </si>
  <si>
    <t xml:space="preserve">C6087</t>
  </si>
  <si>
    <t xml:space="preserve">22779J</t>
  </si>
  <si>
    <t xml:space="preserve">C6088</t>
  </si>
  <si>
    <t xml:space="preserve">15444J</t>
  </si>
  <si>
    <t xml:space="preserve">C6089</t>
  </si>
  <si>
    <t xml:space="preserve">13784K</t>
  </si>
  <si>
    <t xml:space="preserve">C6234</t>
  </si>
  <si>
    <t xml:space="preserve">15656K</t>
  </si>
  <si>
    <t xml:space="preserve">C6091</t>
  </si>
  <si>
    <t xml:space="preserve">06078L</t>
  </si>
  <si>
    <t xml:space="preserve">C6092</t>
  </si>
  <si>
    <t xml:space="preserve">11993K</t>
  </si>
  <si>
    <t xml:space="preserve">C6093</t>
  </si>
  <si>
    <t xml:space="preserve">12701K</t>
  </si>
  <si>
    <t xml:space="preserve">C6094</t>
  </si>
  <si>
    <t xml:space="preserve">16203K</t>
  </si>
  <si>
    <t xml:space="preserve">C6095</t>
  </si>
  <si>
    <t xml:space="preserve">00542K</t>
  </si>
  <si>
    <t xml:space="preserve">C6096</t>
  </si>
  <si>
    <t xml:space="preserve">04630L</t>
  </si>
  <si>
    <t xml:space="preserve">C6097</t>
  </si>
  <si>
    <t xml:space="preserve">16232K</t>
  </si>
  <si>
    <t xml:space="preserve">C6098</t>
  </si>
  <si>
    <t xml:space="preserve">12012K</t>
  </si>
  <si>
    <t xml:space="preserve">C6099</t>
  </si>
  <si>
    <t xml:space="preserve">15099K</t>
  </si>
  <si>
    <t xml:space="preserve">C6100</t>
  </si>
  <si>
    <t xml:space="preserve">13616J</t>
  </si>
  <si>
    <t xml:space="preserve">C6101</t>
  </si>
  <si>
    <t xml:space="preserve">19699G</t>
  </si>
  <si>
    <t xml:space="preserve">C6102</t>
  </si>
  <si>
    <t xml:space="preserve">04865J</t>
  </si>
  <si>
    <t xml:space="preserve">C6103</t>
  </si>
  <si>
    <t xml:space="preserve">07429K</t>
  </si>
  <si>
    <t xml:space="preserve">C6104</t>
  </si>
  <si>
    <t xml:space="preserve">16766J</t>
  </si>
  <si>
    <t xml:space="preserve">C6105</t>
  </si>
  <si>
    <t xml:space="preserve">02498J</t>
  </si>
  <si>
    <t xml:space="preserve">C6106</t>
  </si>
  <si>
    <t xml:space="preserve">06814K</t>
  </si>
  <si>
    <t xml:space="preserve">C6107</t>
  </si>
  <si>
    <t xml:space="preserve">05463K</t>
  </si>
  <si>
    <t xml:space="preserve">C6108</t>
  </si>
  <si>
    <t xml:space="preserve">11594J</t>
  </si>
  <si>
    <t xml:space="preserve">C6253</t>
  </si>
  <si>
    <t xml:space="preserve">12827K</t>
  </si>
  <si>
    <t xml:space="preserve">C6110</t>
  </si>
  <si>
    <t xml:space="preserve">21114D</t>
  </si>
  <si>
    <t xml:space="preserve">C6111</t>
  </si>
  <si>
    <t xml:space="preserve">12527K</t>
  </si>
  <si>
    <t xml:space="preserve">C6112</t>
  </si>
  <si>
    <t xml:space="preserve">17040H</t>
  </si>
  <si>
    <t xml:space="preserve">C6113</t>
  </si>
  <si>
    <t xml:space="preserve">15204J</t>
  </si>
  <si>
    <t xml:space="preserve">C6114</t>
  </si>
  <si>
    <t xml:space="preserve">01275F</t>
  </si>
  <si>
    <t xml:space="preserve">C6115</t>
  </si>
  <si>
    <t xml:space="preserve">17745J</t>
  </si>
  <si>
    <t xml:space="preserve">C6116</t>
  </si>
  <si>
    <t xml:space="preserve">17617J</t>
  </si>
  <si>
    <t xml:space="preserve">C6117</t>
  </si>
  <si>
    <t xml:space="preserve">16241D</t>
  </si>
  <si>
    <t xml:space="preserve">C6118</t>
  </si>
  <si>
    <t xml:space="preserve">13598J</t>
  </si>
  <si>
    <t xml:space="preserve">C6263</t>
  </si>
  <si>
    <t xml:space="preserve">23651G</t>
  </si>
  <si>
    <t xml:space="preserve">C6120</t>
  </si>
  <si>
    <t xml:space="preserve">14095H</t>
  </si>
  <si>
    <t xml:space="preserve">C6121</t>
  </si>
  <si>
    <t xml:space="preserve">17145J</t>
  </si>
  <si>
    <t xml:space="preserve">C6122</t>
  </si>
  <si>
    <t xml:space="preserve">13358J</t>
  </si>
  <si>
    <t xml:space="preserve">C6123</t>
  </si>
  <si>
    <t xml:space="preserve">18650J</t>
  </si>
  <si>
    <t xml:space="preserve">C6124</t>
  </si>
  <si>
    <t xml:space="preserve">17574J</t>
  </si>
  <si>
    <t xml:space="preserve">C6125</t>
  </si>
  <si>
    <t xml:space="preserve">05902L</t>
  </si>
  <si>
    <t xml:space="preserve">C6126</t>
  </si>
  <si>
    <t xml:space="preserve">11005J</t>
  </si>
  <si>
    <t xml:space="preserve">C6127</t>
  </si>
  <si>
    <t xml:space="preserve">16832J</t>
  </si>
  <si>
    <t xml:space="preserve">C6128</t>
  </si>
  <si>
    <t xml:space="preserve">C6129</t>
  </si>
  <si>
    <t xml:space="preserve">12318K</t>
  </si>
  <si>
    <t xml:space="preserve">C6130</t>
  </si>
  <si>
    <t xml:space="preserve">CAR 30,0</t>
  </si>
  <si>
    <t xml:space="preserve">C6130/C6234</t>
  </si>
  <si>
    <t xml:space="preserve">CAR 40,0</t>
  </si>
  <si>
    <t xml:space="preserve">C6130/C6110</t>
  </si>
  <si>
    <t xml:space="preserve">05488L</t>
  </si>
  <si>
    <t xml:space="preserve">C6131</t>
  </si>
  <si>
    <t xml:space="preserve">CAR 60,0</t>
  </si>
  <si>
    <t xml:space="preserve">C6131/C6100</t>
  </si>
  <si>
    <t xml:space="preserve">CAR 70,0</t>
  </si>
  <si>
    <t xml:space="preserve">C6131/C6120</t>
  </si>
  <si>
    <t xml:space="preserve">14121J</t>
  </si>
  <si>
    <t xml:space="preserve">C6132</t>
  </si>
  <si>
    <t xml:space="preserve">CAR 80,0</t>
  </si>
  <si>
    <t xml:space="preserve">C6132/C6234</t>
  </si>
  <si>
    <t xml:space="preserve">CAR 90,0</t>
  </si>
  <si>
    <t xml:space="preserve">C6132/C6110</t>
  </si>
  <si>
    <t xml:space="preserve">05457L</t>
  </si>
  <si>
    <t xml:space="preserve">C6133</t>
  </si>
  <si>
    <t xml:space="preserve">MAXIMA</t>
  </si>
  <si>
    <t xml:space="preserve">Incertidumbre del Patrón según Certificado </t>
  </si>
  <si>
    <t xml:space="preserve">&gt; 0   mm hasta   10 mm</t>
  </si>
  <si>
    <t xml:space="preserve">&gt; 10 mm hasta   20 mm</t>
  </si>
  <si>
    <t xml:space="preserve">&gt; 20 mm hasta   30 mm</t>
  </si>
  <si>
    <t xml:space="preserve">&gt; 40 mm hasta   50 mm</t>
  </si>
  <si>
    <t xml:space="preserve">&gt; 70 mm hasta   80 mm</t>
  </si>
  <si>
    <t xml:space="preserve">&gt; 90 mm hasta 100 mm</t>
  </si>
  <si>
    <t xml:space="preserve">Fecha</t>
  </si>
  <si>
    <t xml:space="preserve">Total de meses</t>
  </si>
  <si>
    <t xml:space="preserve">CERAMICA 2012</t>
  </si>
  <si>
    <t xml:space="preserve">82 piezas</t>
  </si>
  <si>
    <t xml:space="preserve">Grado K</t>
  </si>
  <si>
    <t xml:space="preserve">DERIVA SEGÚN LOS CERTIFICADOS</t>
  </si>
  <si>
    <t xml:space="preserve">Nominal                                     inch</t>
  </si>
  <si>
    <t xml:space="preserve"> Desviación               µ inch</t>
  </si>
  <si>
    <t xml:space="preserve"> Desviación             inch</t>
  </si>
  <si>
    <t xml:space="preserve">Incertidumbre          (±) µ inch</t>
  </si>
  <si>
    <t xml:space="preserve">Incertidumbre          (±) inch</t>
  </si>
  <si>
    <t xml:space="preserve"> Desviación               mm</t>
  </si>
  <si>
    <t xml:space="preserve">Incertidumbre Exp (±) µm</t>
  </si>
  <si>
    <t xml:space="preserve">Incertidumbre Exp  (±) mm</t>
  </si>
  <si>
    <t xml:space="preserve">Incertidumbre      Com (±) µm </t>
  </si>
  <si>
    <t xml:space="preserve">Incertidumbre Com  (±) mm </t>
  </si>
  <si>
    <t xml:space="preserve">DESVIACION 2008   µm</t>
  </si>
  <si>
    <t xml:space="preserve">DESVIACION                  Dic 2012   µm</t>
  </si>
  <si>
    <t xml:space="preserve">DESVIACION                  Marzo 2019   µm</t>
  </si>
  <si>
    <t xml:space="preserve">Max. Variación
mensual (µm)</t>
  </si>
  <si>
    <t xml:space="preserve">Promedio (average) Anual
Deriva (nm)</t>
  </si>
  <si>
    <t xml:space="preserve">Situación actual Sin Deriva (nm)</t>
  </si>
  <si>
    <t xml:space="preserve">070007</t>
  </si>
  <si>
    <t xml:space="preserve">070117</t>
  </si>
  <si>
    <t xml:space="preserve">060042</t>
  </si>
  <si>
    <t xml:space="preserve">070056</t>
  </si>
  <si>
    <t xml:space="preserve">070005</t>
  </si>
  <si>
    <t xml:space="preserve">070050</t>
  </si>
  <si>
    <t xml:space="preserve">070077</t>
  </si>
  <si>
    <t xml:space="preserve">070006</t>
  </si>
  <si>
    <t xml:space="preserve">070008</t>
  </si>
  <si>
    <t xml:space="preserve">070001</t>
  </si>
  <si>
    <t xml:space="preserve">070000</t>
  </si>
  <si>
    <t xml:space="preserve">070017</t>
  </si>
  <si>
    <t xml:space="preserve">070022</t>
  </si>
  <si>
    <t xml:space="preserve">070026</t>
  </si>
  <si>
    <t xml:space="preserve">060073</t>
  </si>
  <si>
    <t xml:space="preserve">070024</t>
  </si>
  <si>
    <t xml:space="preserve">070045</t>
  </si>
  <si>
    <t xml:space="preserve">070060</t>
  </si>
  <si>
    <t xml:space="preserve">070034</t>
  </si>
  <si>
    <t xml:space="preserve">070020</t>
  </si>
  <si>
    <t xml:space="preserve">060058</t>
  </si>
  <si>
    <t xml:space="preserve">060036</t>
  </si>
  <si>
    <t xml:space="preserve">070055</t>
  </si>
  <si>
    <t xml:space="preserve">070018</t>
  </si>
  <si>
    <t xml:space="preserve">070027</t>
  </si>
  <si>
    <t xml:space="preserve">070004</t>
  </si>
  <si>
    <t xml:space="preserve">070016</t>
  </si>
  <si>
    <t xml:space="preserve">060100</t>
  </si>
  <si>
    <t xml:space="preserve">070011</t>
  </si>
  <si>
    <t xml:space="preserve">070031</t>
  </si>
  <si>
    <t xml:space="preserve">070062</t>
  </si>
  <si>
    <t xml:space="preserve">060143</t>
  </si>
  <si>
    <t xml:space="preserve">060104</t>
  </si>
  <si>
    <t xml:space="preserve">070028</t>
  </si>
  <si>
    <t xml:space="preserve">070019</t>
  </si>
  <si>
    <t xml:space="preserve">070064</t>
  </si>
  <si>
    <t xml:space="preserve">070014</t>
  </si>
  <si>
    <t xml:space="preserve">060090</t>
  </si>
  <si>
    <t xml:space="preserve">070002</t>
  </si>
  <si>
    <t xml:space="preserve">070037</t>
  </si>
  <si>
    <t xml:space="preserve">070030</t>
  </si>
  <si>
    <t xml:space="preserve">070054</t>
  </si>
  <si>
    <t xml:space="preserve">070071</t>
  </si>
  <si>
    <t xml:space="preserve">070046</t>
  </si>
  <si>
    <t xml:space="preserve">043350</t>
  </si>
  <si>
    <t xml:space="preserve">043478</t>
  </si>
  <si>
    <t xml:space="preserve">060055</t>
  </si>
  <si>
    <t xml:space="preserve">070073</t>
  </si>
  <si>
    <t xml:space="preserve">060080</t>
  </si>
  <si>
    <t xml:space="preserve">060016</t>
  </si>
  <si>
    <t xml:space="preserve">070023</t>
  </si>
  <si>
    <t xml:space="preserve">070036</t>
  </si>
  <si>
    <t xml:space="preserve">070072</t>
  </si>
  <si>
    <t xml:space="preserve">070013</t>
  </si>
  <si>
    <t xml:space="preserve">23045J y 03982K</t>
  </si>
  <si>
    <t xml:space="preserve">060058 y 070007</t>
  </si>
  <si>
    <t xml:space="preserve">060100 y 070007</t>
  </si>
  <si>
    <t xml:space="preserve">070050 y 070008</t>
  </si>
  <si>
    <t xml:space="preserve">070037 y 070009</t>
  </si>
  <si>
    <t xml:space="preserve">Bloque </t>
  </si>
  <si>
    <t xml:space="preserve">Identificacion del bloque</t>
  </si>
  <si>
    <t xml:space="preserve">Signo Real</t>
  </si>
  <si>
    <t xml:space="preserve">Referencia de Datos: </t>
  </si>
  <si>
    <t xml:space="preserve">Nombre del funcionario </t>
  </si>
  <si>
    <t xml:space="preserve">Bitácora física del funcionario (en caso de requerirse)</t>
  </si>
  <si>
    <t xml:space="preserve">Bitácora electrónica del funcionario</t>
  </si>
  <si>
    <t xml:space="preserve">Número de telefono del funcionario </t>
  </si>
  <si>
    <t xml:space="preserve">Correo electrónico del funcionario</t>
  </si>
  <si>
    <t xml:space="preserve">Leonardo Rojas Rapso</t>
  </si>
  <si>
    <t xml:space="preserve">LRR-DI-01 FOLIOS</t>
  </si>
  <si>
    <t xml:space="preserve">Certificados 2023/LRR</t>
  </si>
  <si>
    <t xml:space="preserve">lrojas@lcm.go.cr</t>
  </si>
  <si>
    <t xml:space="preserve">INFORMACIÓN GENERAL</t>
  </si>
  <si>
    <t xml:space="preserve">Olman Ramos Alfaro </t>
  </si>
  <si>
    <t xml:space="preserve">ORA-DI-01 FOLIOS</t>
  </si>
  <si>
    <t xml:space="preserve">Certificados 2023/ORA</t>
  </si>
  <si>
    <t xml:space="preserve">oramos@lcm.go.cr</t>
  </si>
  <si>
    <t xml:space="preserve">Yalitza Torres Pérez</t>
  </si>
  <si>
    <t xml:space="preserve">YTP-DI-01 FOLIOS</t>
  </si>
  <si>
    <t xml:space="preserve">Certificados 2023/YTP</t>
  </si>
  <si>
    <t xml:space="preserve">ytorres@lcm.go.cr</t>
  </si>
  <si>
    <t xml:space="preserve">Fecha de calibración:</t>
  </si>
  <si>
    <t xml:space="preserve">Luis Diego Guzman Guillen </t>
  </si>
  <si>
    <t xml:space="preserve">DGG-DI-01 FOLIOS</t>
  </si>
  <si>
    <t xml:space="preserve">Certificados 2023/DGG</t>
  </si>
  <si>
    <t xml:space="preserve">lguzman@lcm.go.cr</t>
  </si>
  <si>
    <t xml:space="preserve">Nº de Certificado LACOMET :</t>
  </si>
  <si>
    <t xml:space="preserve">03890122</t>
  </si>
  <si>
    <t xml:space="preserve">Duración de la calibración:</t>
  </si>
  <si>
    <t xml:space="preserve">22 dias</t>
  </si>
  <si>
    <t xml:space="preserve">Referencia de datos:</t>
  </si>
  <si>
    <t xml:space="preserve">Solicitante:</t>
  </si>
  <si>
    <t xml:space="preserve">Instituto Costarricense de Electricidad </t>
  </si>
  <si>
    <t xml:space="preserve">Número de certificado:</t>
  </si>
  <si>
    <t xml:space="preserve">Número de solicitud:</t>
  </si>
  <si>
    <t xml:space="preserve">194-22</t>
  </si>
  <si>
    <t xml:space="preserve">Dirección del solicitante:</t>
  </si>
  <si>
    <t xml:space="preserve">Laboratoro de Dimensional del ICE, Plantel ICE en Colima,             Tibás, San José, Costa Rica</t>
  </si>
  <si>
    <t xml:space="preserve">Lugar de la calibración:</t>
  </si>
  <si>
    <t xml:space="preserve">Laboratorio de Metrología Dimensional - LACOMET</t>
  </si>
  <si>
    <t xml:space="preserve">INFORMACIÓN DEL CALIBRANDO</t>
  </si>
  <si>
    <t xml:space="preserve">Objeto a calibrar:</t>
  </si>
  <si>
    <t xml:space="preserve">Juego de bloques patrón</t>
  </si>
  <si>
    <t xml:space="preserve">Cantidad de bloques o instrumentos:</t>
  </si>
  <si>
    <t xml:space="preserve">Marca del instrumento:</t>
  </si>
  <si>
    <t xml:space="preserve">Mitutoyo</t>
  </si>
  <si>
    <t xml:space="preserve">N° de Serie del instrumento:</t>
  </si>
  <si>
    <t xml:space="preserve">Ver tabla de resultados de la calibración / MET-LMMET-001</t>
  </si>
  <si>
    <t xml:space="preserve">Material: </t>
  </si>
  <si>
    <t xml:space="preserve">Cerámica</t>
  </si>
  <si>
    <t xml:space="preserve">Modelo:</t>
  </si>
  <si>
    <t xml:space="preserve">No indica</t>
  </si>
  <si>
    <t xml:space="preserve">Grado declarado:</t>
  </si>
  <si>
    <t xml:space="preserve">Identificación interna:</t>
  </si>
  <si>
    <t xml:space="preserve">Coeficiente de expansión</t>
  </si>
  <si>
    <t xml:space="preserve">Aquí cambió la referencia a L21</t>
  </si>
  <si>
    <t xml:space="preserve">Responsable da la calibración :</t>
  </si>
  <si>
    <t xml:space="preserve">Remover menus desplegables por favor</t>
  </si>
  <si>
    <t xml:space="preserve">Responsable de la revisión :</t>
  </si>
  <si>
    <t xml:space="preserve">Ahora esas opciones están en la interfaz</t>
  </si>
  <si>
    <t xml:space="preserve">Patrón a utilizar para la calibración:</t>
  </si>
  <si>
    <t xml:space="preserve">Bloques Patrón de Cerámica de 0,5 mm a 100 mm</t>
  </si>
  <si>
    <t xml:space="preserve">Material de los bloques del Patrón: </t>
  </si>
  <si>
    <t xml:space="preserve">Patrón en acero</t>
  </si>
  <si>
    <t xml:space="preserve">Identificación del Bloque </t>
  </si>
  <si>
    <t xml:space="preserve">Valor Nominal Del bloque (mm)</t>
  </si>
  <si>
    <t xml:space="preserve">Longitud central real (mm)</t>
  </si>
  <si>
    <t xml:space="preserve">Número de repeticiones</t>
  </si>
  <si>
    <t xml:space="preserve">T1 inicial  ºC</t>
  </si>
  <si>
    <t xml:space="preserve">T2 inicial  ºC</t>
  </si>
  <si>
    <t xml:space="preserve">T3 inicial ºC</t>
  </si>
  <si>
    <t xml:space="preserve">T4 inicial ºC</t>
  </si>
  <si>
    <t xml:space="preserve">HR inicial %</t>
  </si>
  <si>
    <t xml:space="preserve">T1 final ºC</t>
  </si>
  <si>
    <t xml:space="preserve">T2 final  ºC</t>
  </si>
  <si>
    <t xml:space="preserve">T3 final  ºC</t>
  </si>
  <si>
    <t xml:space="preserve">T4 final ºC</t>
  </si>
  <si>
    <t xml:space="preserve">HR final %</t>
  </si>
  <si>
    <t xml:space="preserve">*</t>
  </si>
  <si>
    <t xml:space="preserve">Selección </t>
  </si>
  <si>
    <t xml:space="preserve">Marca </t>
  </si>
  <si>
    <t xml:space="preserve">Material </t>
  </si>
  <si>
    <t xml:space="preserve">Coeficiente de expansión térmica (1/°C)</t>
  </si>
  <si>
    <r>
      <rPr>
        <sz val="11"/>
        <color rgb="FF000000"/>
        <rFont val="Calibri"/>
        <family val="2"/>
        <charset val="1"/>
      </rPr>
      <t xml:space="preserve">Módulo de elasticidad (Young)                             10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(N/m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)</t>
    </r>
  </si>
  <si>
    <t xml:space="preserve">Módulo de Poisson adimensional</t>
  </si>
  <si>
    <t xml:space="preserve">Mitutoyo </t>
  </si>
  <si>
    <t xml:space="preserve">Acero</t>
  </si>
  <si>
    <t xml:space="preserve">TESA</t>
  </si>
  <si>
    <t xml:space="preserve"> Fawler </t>
  </si>
  <si>
    <t xml:space="preserve">Carburo de Tungsteno</t>
  </si>
  <si>
    <t xml:space="preserve">Starret</t>
  </si>
  <si>
    <t xml:space="preserve">Carburo de Cromo</t>
  </si>
  <si>
    <t xml:space="preserve">Estándar</t>
  </si>
  <si>
    <t xml:space="preserve">Código</t>
  </si>
  <si>
    <t xml:space="preserve">LABORATORIO COSTARRICENSE DE METROLOGÍA</t>
  </si>
  <si>
    <t xml:space="preserve">GS-DI-PR-04</t>
  </si>
  <si>
    <t xml:space="preserve">LACOMET</t>
  </si>
  <si>
    <t xml:space="preserve">Versión</t>
  </si>
  <si>
    <t xml:space="preserve">Rige desde:</t>
  </si>
  <si>
    <t xml:space="preserve">CALIBRACION DE BLOQUES PATRON</t>
  </si>
  <si>
    <t xml:space="preserve">Sustituye:</t>
  </si>
  <si>
    <t xml:space="preserve">UTILIZANDO PATRON DE CERAMICA</t>
  </si>
  <si>
    <t xml:space="preserve">Versión 2</t>
  </si>
  <si>
    <t xml:space="preserve">Página</t>
  </si>
  <si>
    <t xml:space="preserve">REGISTRO   DE   DATOS  </t>
  </si>
  <si>
    <t xml:space="preserve">BLOQUES PATRON PULGADAS</t>
  </si>
  <si>
    <t xml:space="preserve">CONDICIONES AMBIENTALES</t>
  </si>
  <si>
    <t xml:space="preserve">Temperatura inicial</t>
  </si>
  <si>
    <t xml:space="preserve">Temperatura final</t>
  </si>
  <si>
    <t xml:space="preserve">Temperatura promedio</t>
  </si>
  <si>
    <t xml:space="preserve">±</t>
  </si>
  <si>
    <t xml:space="preserve">Humedad Relativa inicial</t>
  </si>
  <si>
    <t xml:space="preserve">Humedad Relativa final</t>
  </si>
  <si>
    <t xml:space="preserve">Humedad Relativa promedio</t>
  </si>
  <si>
    <t xml:space="preserve">Incertidumbre del termometro </t>
  </si>
  <si>
    <t xml:space="preserve">Resolucion del termometro  </t>
  </si>
  <si>
    <t xml:space="preserve">TRAZABILIDAD DEL (OS) PATRON (ES) UTILIZADO (S)</t>
  </si>
  <si>
    <t xml:space="preserve">Bloques Patrón</t>
  </si>
  <si>
    <t xml:space="preserve">Propietario:</t>
  </si>
  <si>
    <t xml:space="preserve">Certificado:</t>
  </si>
  <si>
    <t xml:space="preserve">Fecha de Calibración:</t>
  </si>
  <si>
    <t xml:space="preserve">Proxima Calibración:</t>
  </si>
  <si>
    <t xml:space="preserve">Marca:</t>
  </si>
  <si>
    <t xml:space="preserve">Material:</t>
  </si>
  <si>
    <t xml:space="preserve">Grado de fabricación:</t>
  </si>
  <si>
    <t xml:space="preserve">Coeficiente de expansión termica:</t>
  </si>
  <si>
    <t xml:space="preserve">Rango de calibración:</t>
  </si>
  <si>
    <t xml:space="preserve">Calibrado por:</t>
  </si>
  <si>
    <t xml:space="preserve">Número de serie:</t>
  </si>
  <si>
    <t xml:space="preserve">Número de patrimonio:</t>
  </si>
  <si>
    <t xml:space="preserve">Comparador de bloques</t>
  </si>
  <si>
    <t xml:space="preserve">Incertidumbre:</t>
  </si>
  <si>
    <t xml:space="preserve">CERTIFICADO DE CALIBRACIÓN</t>
  </si>
  <si>
    <t xml:space="preserve">Serie/Identificación:</t>
  </si>
  <si>
    <t xml:space="preserve">Numero de solicitud:</t>
  </si>
  <si>
    <t xml:space="preserve">Lugar de la Calibración:</t>
  </si>
  <si>
    <t xml:space="preserve">Laboratorio de Dimensional, LCM
</t>
  </si>
  <si>
    <t xml:space="preserve">Departamento de Metrología Física</t>
  </si>
  <si>
    <t xml:space="preserve">Responsable de la Calibración</t>
  </si>
  <si>
    <t xml:space="preserve">Página 1 de 3</t>
  </si>
  <si>
    <r>
      <rPr>
        <sz val="8"/>
        <rFont val="Calibri"/>
        <family val="2"/>
        <charset val="1"/>
      </rP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charset val="1"/>
      </rPr>
      <t xml:space="preserve">https://www.lcm.go.cr/index.php/servicios/uso-de-firma-digital-en-certificados-de-calibracion</t>
    </r>
    <r>
      <rPr>
        <sz val="8"/>
        <rFont val="Calibri"/>
        <family val="2"/>
        <charset val="1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charset val="1"/>
      </rPr>
      <t xml:space="preserve">https://certificados.lcm.go.cr/</t>
    </r>
    <r>
      <rPr>
        <sz val="8"/>
        <rFont val="Calibri"/>
        <family val="2"/>
        <charset val="1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charset val="1"/>
      </rPr>
      <t xml:space="preserve">metrologia@lcm.go.cr</t>
    </r>
    <r>
      <rPr>
        <sz val="8"/>
        <rFont val="Calibri"/>
        <family val="2"/>
        <charset val="1"/>
      </rPr>
      <t xml:space="preserve">.</t>
    </r>
  </si>
  <si>
    <t xml:space="preserve">      Información de los patrones utilizados</t>
  </si>
  <si>
    <t xml:space="preserve">Descripción</t>
  </si>
  <si>
    <t xml:space="preserve">Serie/Identificación</t>
  </si>
  <si>
    <t xml:space="preserve">Trazabilidad</t>
  </si>
  <si>
    <t xml:space="preserve">Resultados de la Calibración</t>
  </si>
  <si>
    <t xml:space="preserve">Identificación del Bloque</t>
  </si>
  <si>
    <t xml:space="preserve">Valor                        Nominal                        mm</t>
  </si>
  <si>
    <t xml:space="preserve">Desviación central (Error respecto al Valor nominal)                                       µm </t>
  </si>
  <si>
    <t xml:space="preserve">Incertidumbre                 Expandida                                 µm</t>
  </si>
  <si>
    <t xml:space="preserve">Página 2 de 3</t>
  </si>
  <si>
    <t xml:space="preserve">Incertidumbre                        Expandida                                  µm</t>
  </si>
  <si>
    <t xml:space="preserve">•</t>
  </si>
  <si>
    <r>
      <rPr>
        <sz val="9"/>
        <color rgb="FF000000"/>
        <rFont val="Calibri"/>
        <family val="2"/>
        <charset val="1"/>
      </rP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 val="true"/>
        <sz val="9"/>
        <color rgb="FF000000"/>
        <rFont val="Calibri"/>
        <family val="2"/>
        <charset val="1"/>
      </rPr>
      <t xml:space="preserve">Guide to Expression of Uncertainty in Measurement, BIPM-IEC-IFCC-ISO-IUPAC-IUPAP-OIML</t>
    </r>
    <r>
      <rPr>
        <sz val="9"/>
        <color rgb="FF000000"/>
        <rFont val="Calibri"/>
        <family val="2"/>
        <charset val="1"/>
      </rPr>
      <t xml:space="preserve">, en la cual se toma en cuenta la incertidumbre de los patrones, del método de calibración, de las condiciones durante la calibración y del equipo sujeto a calibración.</t>
    </r>
  </si>
  <si>
    <t xml:space="preserve">El factor de cobertura es de k=2, para una probabilidad de cobertura de un 95 %.</t>
  </si>
  <si>
    <t xml:space="preserve">Este certificado de calibración solo ampara las mediciones reportadas en el momento y en las condiciones ambientales y de uso en que se realizó la calibración.</t>
  </si>
  <si>
    <t xml:space="preserve">La fecha de emisión de este certificado corresponde a la fecha emitida por el "Responsable de la calibración" en el espacio de firmas.</t>
  </si>
  <si>
    <t xml:space="preserve">Los resultados emitidos en este certificado se refieren únicamente al objeto calibrado y a las magnitudes especificadas.</t>
  </si>
  <si>
    <t xml:space="preserve">Condiciones ambientales:</t>
  </si>
  <si>
    <t xml:space="preserve">Aceleración de la gravedad local: (9,779 05 ± 0,000 01) m/s²</t>
  </si>
  <si>
    <t xml:space="preserve">Método de calibración:</t>
  </si>
  <si>
    <t xml:space="preserve">Por comparación mecánica de los bloques patrón con la del instrumento sujeto a  calibración, acorde al procedimiento GS-DI-PR-05 “Calibración de Bloques Patrón V5”.</t>
  </si>
  <si>
    <t xml:space="preserve">--- Última línea ---</t>
  </si>
  <si>
    <t xml:space="preserve">Página 3 de 3</t>
  </si>
  <si>
    <t xml:space="preserve">Página 4 de 4</t>
  </si>
  <si>
    <t xml:space="preserve">Identificacción del bloque </t>
  </si>
  <si>
    <t xml:space="preserve">Longitud Nominal</t>
  </si>
  <si>
    <t xml:space="preserve">T1</t>
  </si>
  <si>
    <t xml:space="preserve">T2</t>
  </si>
  <si>
    <t xml:space="preserve">T4</t>
  </si>
  <si>
    <t xml:space="preserve">HR</t>
  </si>
  <si>
    <t xml:space="preserve">Mínimo </t>
  </si>
  <si>
    <t xml:space="preserve">Máximo</t>
  </si>
  <si>
    <t xml:space="preserve">Porcentaje de variación : </t>
  </si>
  <si>
    <t xml:space="preserve">Grado de exactitud:</t>
  </si>
  <si>
    <t xml:space="preserve">Página 1 de 2</t>
  </si>
  <si>
    <t xml:space="preserve">Valor                                                       Nominal    </t>
  </si>
  <si>
    <t xml:space="preserve">Pulgadas</t>
  </si>
  <si>
    <t xml:space="preserve">Página 2 de 2</t>
  </si>
  <si>
    <t xml:space="preserve">Comparador de Bloques</t>
  </si>
  <si>
    <t xml:space="preserve">Lista de Patrones:</t>
  </si>
  <si>
    <t xml:space="preserve">LCM</t>
  </si>
  <si>
    <t xml:space="preserve">Certificado Vigente:</t>
  </si>
  <si>
    <t xml:space="preserve">LACOMET 800116</t>
  </si>
  <si>
    <t xml:space="preserve">TESA </t>
  </si>
  <si>
    <t xml:space="preserve">0,5 mm - 100 mm</t>
  </si>
  <si>
    <t xml:space="preserve">Bloques Patrón de Cerámica de 0,05" a 4"</t>
  </si>
  <si>
    <t xml:space="preserve">CNM-CC-740-116/2019</t>
  </si>
  <si>
    <t xml:space="preserve">14/12/2017=</t>
  </si>
  <si>
    <t xml:space="preserve">MITUTOYO</t>
  </si>
  <si>
    <t xml:space="preserve">00 ó K</t>
  </si>
  <si>
    <t xml:space="preserve">Coeficiente de expansión termica (°C-1) :</t>
  </si>
  <si>
    <t xml:space="preserve">0.05" a 4"</t>
  </si>
  <si>
    <t xml:space="preserve">CENAM</t>
  </si>
  <si>
    <t xml:space="preserve">CNM-CC-740-579/2015</t>
  </si>
  <si>
    <t xml:space="preserve">0.5 mm a 100 mm</t>
  </si>
  <si>
    <t xml:space="preserve">70057T</t>
  </si>
  <si>
    <t xml:space="preserve">EN MILIMETROS</t>
  </si>
  <si>
    <t xml:space="preserve">EN PULGADAS</t>
  </si>
  <si>
    <t xml:space="preserve">item</t>
  </si>
  <si>
    <t xml:space="preserve">Id. bloque</t>
  </si>
  <si>
    <t xml:space="preserve">Longitud nominal</t>
  </si>
  <si>
    <t xml:space="preserve">Desviación central</t>
  </si>
  <si>
    <t xml:space="preserve">Longitud central medida</t>
  </si>
  <si>
    <t xml:space="preserve">Adherencia cara</t>
  </si>
  <si>
    <t xml:space="preserve">Block id.</t>
  </si>
  <si>
    <r>
      <rPr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n</t>
    </r>
  </si>
  <si>
    <r>
      <rPr>
        <sz val="10"/>
        <rFont val="Arial"/>
        <family val="2"/>
        <charset val="1"/>
      </rPr>
      <t xml:space="preserve">e</t>
    </r>
    <r>
      <rPr>
        <vertAlign val="subscript"/>
        <sz val="10"/>
        <rFont val="Arial"/>
        <family val="2"/>
        <charset val="1"/>
      </rPr>
      <t xml:space="preserve">c 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 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n</t>
    </r>
  </si>
  <si>
    <r>
      <rPr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</si>
  <si>
    <r>
      <rPr>
        <sz val="10"/>
        <rFont val="Arial"/>
        <family val="2"/>
        <charset val="1"/>
      </rPr>
      <t xml:space="preserve">U(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Arial"/>
        <family val="2"/>
        <charset val="1"/>
      </rPr>
      <t xml:space="preserve">)</t>
    </r>
  </si>
  <si>
    <r>
      <rPr>
        <sz val="10"/>
        <rFont val="Arial"/>
        <family val="2"/>
        <charset val="1"/>
      </rPr>
      <t xml:space="preserve">f</t>
    </r>
    <r>
      <rPr>
        <vertAlign val="subscript"/>
        <sz val="10"/>
        <rFont val="Arial"/>
        <family val="2"/>
        <charset val="1"/>
      </rPr>
      <t xml:space="preserve">o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max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</si>
  <si>
    <r>
      <rPr>
        <sz val="10"/>
        <rFont val="Arial"/>
        <family val="2"/>
        <charset val="1"/>
      </rPr>
      <t xml:space="preserve">f</t>
    </r>
    <r>
      <rPr>
        <vertAlign val="subscript"/>
        <sz val="10"/>
        <rFont val="Arial"/>
        <family val="2"/>
        <charset val="1"/>
      </rPr>
      <t xml:space="preserve">u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min</t>
    </r>
  </si>
  <si>
    <t xml:space="preserve">A</t>
  </si>
  <si>
    <t xml:space="preserve">B</t>
  </si>
  <si>
    <t xml:space="preserve">µinch</t>
  </si>
  <si>
    <t xml:space="preserve">Celdas para cambiar</t>
  </si>
  <si>
    <t xml:space="preserve">CONDICIONES AMBIENTALES CAMARA DEL COMPARADOR</t>
  </si>
  <si>
    <t xml:space="preserve">VALORES</t>
  </si>
  <si>
    <t xml:space="preserve">u(xi) Estándar</t>
  </si>
  <si>
    <t xml:space="preserve">UNIDADES</t>
  </si>
  <si>
    <t xml:space="preserve">TEMP Resolución</t>
  </si>
  <si>
    <t xml:space="preserve">Resolución del Termómetro fluke</t>
  </si>
  <si>
    <t xml:space="preserve">TEMP Certificado</t>
  </si>
  <si>
    <t xml:space="preserve">Incertidumbre de la calibración del sensor 1 FLUKE</t>
  </si>
  <si>
    <t xml:space="preserve">Corrección a aplicar en caso de calibrar µm</t>
  </si>
  <si>
    <t xml:space="preserve">Incertidumbre de la calibración del sensor 2 FLUKE</t>
  </si>
  <si>
    <t xml:space="preserve">respecto a</t>
  </si>
  <si>
    <t xml:space="preserve">Incertidumbre de la calibración del sensor 4 FLUKE</t>
  </si>
  <si>
    <t xml:space="preserve">Corrección µm</t>
  </si>
  <si>
    <t xml:space="preserve">TEMP Diferencial</t>
  </si>
  <si>
    <t xml:space="preserve">Variación cíclica de temperatura dentro de la cámara</t>
  </si>
  <si>
    <t xml:space="preserve">Patrón en Tungsteno</t>
  </si>
  <si>
    <t xml:space="preserve">VALORES TOTALES EN TEMPERATURA u(θs)</t>
  </si>
  <si>
    <t xml:space="preserve">Patrón en cerámica</t>
  </si>
  <si>
    <t xml:space="preserve">Patrón en cromo</t>
  </si>
  <si>
    <t xml:space="preserve">PATRON QUE SE VA A UTILIZAR COMO REFERENCIA</t>
  </si>
  <si>
    <t xml:space="preserve">CET Patrón</t>
  </si>
  <si>
    <r>
      <rPr>
        <b val="true"/>
        <sz val="12"/>
        <rFont val="Arial"/>
        <family val="2"/>
        <charset val="1"/>
      </rPr>
      <t xml:space="preserve">Coeficiente de expación térmica Patrón referencia (</t>
    </r>
    <r>
      <rPr>
        <b val="true"/>
        <sz val="22"/>
        <rFont val="Calibri"/>
        <family val="2"/>
        <charset val="1"/>
      </rPr>
      <t xml:space="preserve">α</t>
    </r>
    <r>
      <rPr>
        <b val="true"/>
        <sz val="12"/>
        <rFont val="Arial"/>
        <family val="2"/>
        <charset val="1"/>
      </rPr>
      <t xml:space="preserve">s)</t>
    </r>
  </si>
  <si>
    <t xml:space="preserve">1 / °C</t>
  </si>
  <si>
    <t xml:space="preserve">Incertidumbre por deformación µm</t>
  </si>
  <si>
    <t xml:space="preserve">CET Mensurando</t>
  </si>
  <si>
    <r>
      <rPr>
        <b val="true"/>
        <sz val="12"/>
        <rFont val="Arial"/>
        <family val="2"/>
        <charset val="1"/>
      </rPr>
      <t xml:space="preserve">Coeficiente de expanción térmica Patron a calibrar (</t>
    </r>
    <r>
      <rPr>
        <b val="true"/>
        <sz val="22"/>
        <rFont val="Arial"/>
        <family val="2"/>
        <charset val="1"/>
      </rPr>
      <t xml:space="preserve">α</t>
    </r>
    <r>
      <rPr>
        <b val="true"/>
        <sz val="12"/>
        <rFont val="Arial"/>
        <family val="2"/>
        <charset val="1"/>
      </rPr>
      <t xml:space="preserve">)</t>
    </r>
  </si>
  <si>
    <t xml:space="preserve">Variación máxima entre los bloques patrón</t>
  </si>
  <si>
    <t xml:space="preserve">Incertidumbre µm</t>
  </si>
  <si>
    <t xml:space="preserve">Segundo Orden</t>
  </si>
  <si>
    <t xml:space="preserve">Efectos de temperatura en el bloque de referencia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</si>
  <si>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s * θs)</t>
    </r>
  </si>
  <si>
    <t xml:space="preserve">-</t>
  </si>
  <si>
    <t xml:space="preserve">Carburo de tungsteno</t>
  </si>
  <si>
    <t xml:space="preserve">Efectos de temperatura en el bloque a calibrar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</si>
  <si>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 * θs)</t>
    </r>
  </si>
  <si>
    <t xml:space="preserve">Incertidumbre nm</t>
  </si>
  <si>
    <t xml:space="preserve">Carburo de cromo</t>
  </si>
  <si>
    <t xml:space="preserve">Diferencia de temperaturas entre ambos bloques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</si>
  <si>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 * δθ)</t>
    </r>
  </si>
  <si>
    <t xml:space="preserve">Lecturas del comparador mecanico - TESA</t>
  </si>
  <si>
    <t xml:space="preserve">Certificado </t>
  </si>
  <si>
    <r>
      <rPr>
        <b val="true"/>
        <vertAlign val="subscript"/>
        <sz val="12"/>
        <rFont val="Arial"/>
        <family val="2"/>
        <charset val="1"/>
      </rPr>
      <t xml:space="preserve">Relativo a 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a</t>
    </r>
  </si>
  <si>
    <t xml:space="preserve">TESA Máxima desviación estandar típica de los valores medidos</t>
  </si>
  <si>
    <r>
      <rPr>
        <b val="true"/>
        <vertAlign val="subscript"/>
        <sz val="12"/>
        <rFont val="Arial"/>
        <family val="2"/>
        <charset val="1"/>
      </rPr>
      <t xml:space="preserve">Relativo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b</t>
    </r>
  </si>
  <si>
    <t xml:space="preserve">TESA Máxima diferencia entre los valores MI-Mm (Correcciones No aplicadas)</t>
  </si>
  <si>
    <r>
      <rPr>
        <b val="true"/>
        <vertAlign val="subscript"/>
        <sz val="12"/>
        <rFont val="Arial"/>
        <family val="2"/>
        <charset val="1"/>
      </rPr>
      <t xml:space="preserve">Relativo 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r</t>
    </r>
  </si>
  <si>
    <t xml:space="preserve">TESA Resolución del indicador</t>
  </si>
  <si>
    <r>
      <rPr>
        <b val="true"/>
        <vertAlign val="subscript"/>
        <sz val="12"/>
        <rFont val="Arial"/>
        <family val="2"/>
        <charset val="1"/>
      </rPr>
      <t xml:space="preserve">Relativo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d</t>
    </r>
  </si>
  <si>
    <t xml:space="preserve">TESA Diferencia residual entre los palpadores</t>
  </si>
  <si>
    <t xml:space="preserve">Longitud Nominal (l)</t>
  </si>
  <si>
    <t xml:space="preserve">Incertidumbres estandar del comparador mecánico</t>
  </si>
  <si>
    <t xml:space="preserve">Bloques Patrón de Referencia</t>
  </si>
  <si>
    <t xml:space="preserve">Controles del termómetro</t>
  </si>
  <si>
    <t xml:space="preserve">Incertidumbre de coef. de exp. Term.</t>
  </si>
  <si>
    <t xml:space="preserve">Terminos de segundo orden</t>
  </si>
  <si>
    <t xml:space="preserve">Contribuciones al cuadrado</t>
  </si>
  <si>
    <t xml:space="preserve">Repetibilidad</t>
  </si>
  <si>
    <t xml:space="preserve">Resolución</t>
  </si>
  <si>
    <t xml:space="preserve">Diferencia de sensibilidad residual</t>
  </si>
  <si>
    <t xml:space="preserve">Incertidumbre del Comparador</t>
  </si>
  <si>
    <t xml:space="preserve">Certificado Valor independiente</t>
  </si>
  <si>
    <t xml:space="preserve">Certificado Valor dependiente</t>
  </si>
  <si>
    <t xml:space="preserve">Derivas del patrón</t>
  </si>
  <si>
    <t xml:space="preserve">Valor  (bloques referencia)</t>
  </si>
  <si>
    <t xml:space="preserve">Resolucion del FLUKE</t>
  </si>
  <si>
    <t xml:space="preserve">Certificado de Calibración S1</t>
  </si>
  <si>
    <t xml:space="preserve">Certificado de Calibración S2</t>
  </si>
  <si>
    <t xml:space="preserve">Certificado de Calibración S4</t>
  </si>
  <si>
    <t xml:space="preserve">Variación ciclica</t>
  </si>
  <si>
    <t xml:space="preserve">Total de condiciones ambientales</t>
  </si>
  <si>
    <t xml:space="preserve">Coef. Exp. Term. Bloque referencia</t>
  </si>
  <si>
    <t xml:space="preserve">Coef. Exp. Term. Bloque a calibrar</t>
  </si>
  <si>
    <t xml:space="preserve">Diferencia de Temp entre los bloques</t>
  </si>
  <si>
    <t xml:space="preserve">Deformación Elástica</t>
  </si>
  <si>
    <t xml:space="preserve">Efectos de temperatura sobre el bloque referencia</t>
  </si>
  <si>
    <t xml:space="preserve">Efectos de temperatura sobre el bloque a calibrar</t>
  </si>
  <si>
    <t xml:space="preserve">Efectos en la diferencia de temp entre los bloques</t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</si>
  <si>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</si>
  <si>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</si>
  <si>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u(α) 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</si>
  <si>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 u(δθ) </t>
    </r>
  </si>
  <si>
    <t xml:space="preserve">Comparador Tesa</t>
  </si>
  <si>
    <t xml:space="preserve">Bloques patrón</t>
  </si>
  <si>
    <t xml:space="preserve">Coeficiente bloque de referencia</t>
  </si>
  <si>
    <t xml:space="preserve">Coeficiente bloque a calibrar</t>
  </si>
  <si>
    <t xml:space="preserve">Diferencia de temperaturas entre los bloques</t>
  </si>
  <si>
    <t xml:space="preserve">Medición de temperatura</t>
  </si>
  <si>
    <t xml:space="preserve">Deformación                              Elastica</t>
  </si>
  <si>
    <t xml:space="preserve">TERMINOS DE SEGUNDO ORDEN AL CUADRADO</t>
  </si>
  <si>
    <t xml:space="preserve">Incertidumbre combinada</t>
  </si>
  <si>
    <t xml:space="preserve">Incertidumbre expandida</t>
  </si>
  <si>
    <t xml:space="preserve">Comparador</t>
  </si>
  <si>
    <t xml:space="preserve">Deriba</t>
  </si>
  <si>
    <t xml:space="preserve">Termometro</t>
  </si>
  <si>
    <t xml:space="preserve">Termperatura</t>
  </si>
  <si>
    <r>
      <rPr>
        <b val="true"/>
        <sz val="12"/>
        <rFont val="Arial"/>
        <family val="2"/>
        <charset val="1"/>
      </rPr>
      <t xml:space="preserve">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 - α)</t>
    </r>
    <r>
      <rPr>
        <b val="true"/>
        <vertAlign val="superscript"/>
        <sz val="12"/>
        <rFont val="Arial"/>
        <family val="2"/>
        <charset val="1"/>
      </rPr>
      <t xml:space="preserve"> </t>
    </r>
    <r>
      <rPr>
        <b val="true"/>
        <sz val="12"/>
        <rFont val="Arial"/>
        <family val="2"/>
        <charset val="1"/>
      </rPr>
      <t xml:space="preserve">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</t>
    </r>
  </si>
  <si>
    <r>
      <rPr>
        <b val="true"/>
        <sz val="12"/>
        <rFont val="Arial"/>
        <family val="2"/>
        <charset val="1"/>
      </rPr>
      <t xml:space="preserve">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</t>
    </r>
  </si>
  <si>
    <r>
      <rPr>
        <b val="true"/>
        <sz val="12"/>
        <rFont val="Arial"/>
        <family val="2"/>
        <charset val="1"/>
      </rPr>
      <t xml:space="preserve">(θ</t>
    </r>
    <r>
      <rPr>
        <b val="true"/>
        <vertAlign val="subscript"/>
        <sz val="12"/>
        <rFont val="Arial"/>
        <family val="2"/>
        <charset val="1"/>
      </rPr>
      <t xml:space="preserve">s </t>
    </r>
    <r>
      <rPr>
        <b val="true"/>
        <sz val="12"/>
        <rFont val="Arial"/>
        <family val="2"/>
        <charset val="1"/>
      </rPr>
      <t xml:space="preserve">+ δθ) 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u(α) </t>
    </r>
  </si>
  <si>
    <r>
      <rPr>
        <b val="true"/>
        <sz val="12"/>
        <rFont val="Arial"/>
        <family val="2"/>
        <charset val="1"/>
      </rPr>
      <t xml:space="preserve">α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 u (δθ) </t>
    </r>
  </si>
  <si>
    <t xml:space="preserve">nm</t>
  </si>
  <si>
    <r>
      <rPr>
        <b val="true"/>
        <sz val="14"/>
        <rFont val="Arial"/>
        <family val="2"/>
        <charset val="1"/>
      </rPr>
      <t xml:space="preserve">nm</t>
    </r>
    <r>
      <rPr>
        <b val="true"/>
        <vertAlign val="superscript"/>
        <sz val="14"/>
        <rFont val="Arial"/>
        <family val="2"/>
        <charset val="1"/>
      </rPr>
      <t xml:space="preserve">2</t>
    </r>
  </si>
  <si>
    <t xml:space="preserve">µ</t>
  </si>
  <si>
    <t xml:space="preserve">Material</t>
  </si>
  <si>
    <t xml:space="preserve">acero</t>
  </si>
  <si>
    <t xml:space="preserve">Marca y material del BP</t>
  </si>
  <si>
    <t xml:space="preserve">Coeficiente de expansión térmica        ppm/ °C</t>
  </si>
  <si>
    <r>
      <rPr>
        <sz val="10"/>
        <rFont val="Arial"/>
        <family val="2"/>
        <charset val="1"/>
      </rPr>
      <t xml:space="preserve">Modulo de elasticidad 10</t>
    </r>
    <r>
      <rPr>
        <vertAlign val="superscript"/>
        <sz val="10"/>
        <rFont val="Arial"/>
        <family val="2"/>
        <charset val="1"/>
      </rPr>
      <t xml:space="preserve"> 10 </t>
    </r>
    <r>
      <rPr>
        <sz val="10"/>
        <rFont val="Arial"/>
        <family val="2"/>
        <charset val="1"/>
      </rPr>
      <t xml:space="preserve">N/m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</si>
  <si>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Modulo de poisson adimensional</t>
  </si>
  <si>
    <t xml:space="preserve">Corrección por deformación elástica</t>
  </si>
  <si>
    <t xml:space="preserve">Acero Mitutoyo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</si>
  <si>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 = deformación en el punto de contacto, en 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</si>
  <si>
    <t xml:space="preserve">Acero Tesa</t>
  </si>
  <si>
    <t xml:space="preserve">D = diámetro palpador, en mm</t>
  </si>
  <si>
    <t xml:space="preserve">Cerámica Mitutoyo</t>
  </si>
  <si>
    <t xml:space="preserve">F = fuerza ejercida por el palpador, en N</t>
  </si>
  <si>
    <t xml:space="preserve">Cerámica Tesa</t>
  </si>
  <si>
    <r>
      <rPr>
        <sz val="10"/>
        <rFont val="Arial"/>
        <family val="2"/>
        <charset val="1"/>
      </rPr>
      <t xml:space="preserve">E = módulo de elasticidad, en N/mm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</si>
  <si>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Tungsteno Fowler</t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</si>
  <si>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 = módulo de Poisson</t>
    </r>
  </si>
  <si>
    <t xml:space="preserve">Tungsteno Mitutoyo</t>
  </si>
  <si>
    <t xml:space="preserve">Cromo Starrett</t>
  </si>
  <si>
    <t xml:space="preserve">Parámetros palpadores</t>
  </si>
  <si>
    <t xml:space="preserve">8,3 a 8,6</t>
  </si>
  <si>
    <t xml:space="preserve">Fs</t>
  </si>
  <si>
    <t xml:space="preserve">N</t>
  </si>
  <si>
    <t xml:space="preserve"> </t>
  </si>
  <si>
    <t xml:space="preserve">Fi</t>
  </si>
  <si>
    <t xml:space="preserve">D</t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</si>
  <si>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</t>
    </r>
  </si>
  <si>
    <t xml:space="preserve">Ep</t>
  </si>
  <si>
    <r>
      <rPr>
        <sz val="10"/>
        <rFont val="Arial"/>
        <family val="2"/>
        <charset val="1"/>
      </rPr>
      <t xml:space="preserve">N/mm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</si>
  <si>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Parámetros bloques</t>
  </si>
  <si>
    <t xml:space="preserve">Patrón a Utilizar</t>
  </si>
  <si>
    <t xml:space="preserve">Calibración de bloques patrón por comparación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</si>
  <si>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 = deformación en el punto de contacto, en mm</t>
    </r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</si>
  <si>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</t>
    </r>
  </si>
  <si>
    <t xml:space="preserve">Corrección a aplicar en el caso de bloques de distinto material</t>
  </si>
  <si>
    <t xml:space="preserve">D = diámetro de la bola palpadora, en mm</t>
  </si>
  <si>
    <t xml:space="preserve">Eb (N / mm2)</t>
  </si>
  <si>
    <r>
      <rPr>
        <sz val="10"/>
        <rFont val="Calibri"/>
        <family val="2"/>
        <charset val="1"/>
      </rPr>
      <t xml:space="preserve">µ</t>
    </r>
    <r>
      <rPr>
        <sz val="10"/>
        <rFont val="Arial"/>
        <family val="2"/>
        <charset val="1"/>
      </rPr>
      <t xml:space="preserve"> (mm2 / N)</t>
    </r>
  </si>
  <si>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 = coeficiente de Poisson</t>
    </r>
  </si>
  <si>
    <t xml:space="preserve">Deformaciones</t>
  </si>
  <si>
    <r>
      <rPr>
        <sz val="10"/>
        <rFont val="Arial"/>
        <family val="2"/>
        <charset val="1"/>
      </rPr>
      <t xml:space="preserve">Palpadores de comparador TESA: tipo GT22, de metal duro, r = 1,5 mm, F</t>
    </r>
    <r>
      <rPr>
        <vertAlign val="subscript"/>
        <sz val="10"/>
        <color rgb="FF0000FF"/>
        <rFont val="Arial"/>
        <family val="2"/>
        <charset val="1"/>
      </rPr>
      <t xml:space="preserve">sup.</t>
    </r>
    <r>
      <rPr>
        <sz val="10"/>
        <color rgb="FF0000FF"/>
        <rFont val="Arial"/>
        <family val="2"/>
        <charset val="1"/>
      </rPr>
      <t xml:space="preserve"> = 1 N, F</t>
    </r>
    <r>
      <rPr>
        <vertAlign val="subscript"/>
        <sz val="10"/>
        <color rgb="FF0000FF"/>
        <rFont val="Arial"/>
        <family val="2"/>
        <charset val="1"/>
      </rPr>
      <t xml:space="preserve">inf.</t>
    </r>
    <r>
      <rPr>
        <sz val="10"/>
        <color rgb="FF0000FF"/>
        <rFont val="Arial"/>
        <family val="2"/>
        <charset val="1"/>
      </rPr>
      <t xml:space="preserve"> = 0,63 N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</si>
  <si>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</t>
    </r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</si>
  <si>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</si>
  <si>
    <t xml:space="preserve">carburo</t>
  </si>
  <si>
    <t xml:space="preserve">cerámica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</si>
  <si>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</si>
  <si>
    <t xml:space="preserve">datos de palpadores TESA</t>
  </si>
  <si>
    <t xml:space="preserve">carburo de tungsteno</t>
  </si>
  <si>
    <t xml:space="preserve">carburo de cromo (croblox)</t>
  </si>
  <si>
    <t xml:space="preserve">acero (mín)</t>
  </si>
  <si>
    <t xml:space="preserve">acero (máx)</t>
  </si>
  <si>
    <t xml:space="preserve">acero (medio)</t>
  </si>
  <si>
    <t xml:space="preserve">cerámica (mín)</t>
  </si>
  <si>
    <t xml:space="preserve">cerámica (máx)</t>
  </si>
  <si>
    <t xml:space="preserve">cerámica (medio)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</si>
  <si>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</t>
    </r>
  </si>
  <si>
    <t xml:space="preserve">Fuerza palpador superior F(N)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</si>
  <si>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r</t>
    </r>
  </si>
  <si>
    <t xml:space="preserve">Fuerza palpador inferior F(N)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</si>
  <si>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</t>
    </r>
  </si>
  <si>
    <t xml:space="preserve">Coef. Poisson</t>
  </si>
  <si>
    <t xml:space="preserve">Mód. elast. E (N/mm2)</t>
  </si>
  <si>
    <t xml:space="preserve">Porcentaje variación</t>
  </si>
  <si>
    <t xml:space="preserve">diámetro palpador (mm)</t>
  </si>
  <si>
    <t xml:space="preserve">Deformación por palpador superior (µm)</t>
  </si>
  <si>
    <t xml:space="preserve">Incertidumbres de magnitudes de entrada</t>
  </si>
  <si>
    <t xml:space="preserve">Deformación por palpador inferior (µm)</t>
  </si>
  <si>
    <t xml:space="preserve">deformación total</t>
  </si>
  <si>
    <t xml:space="preserve">u(Fs)</t>
  </si>
  <si>
    <t xml:space="preserve">u(D)</t>
  </si>
  <si>
    <t xml:space="preserve">Corrección a aplicar en caso de calibrar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</si>
  <si>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</si>
  <si>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t xml:space="preserve">bloque de acero</t>
  </si>
  <si>
    <t xml:space="preserve">bloque de carburo</t>
  </si>
  <si>
    <t xml:space="preserve">bloque de cerámica</t>
  </si>
  <si>
    <t xml:space="preserve">bloque de croblox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</si>
  <si>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</si>
  <si>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t xml:space="preserve">patrón de acero </t>
  </si>
  <si>
    <t xml:space="preserve">u(Ep)</t>
  </si>
  <si>
    <r>
      <rPr>
        <sz val="10"/>
        <rFont val="Arial"/>
        <family val="2"/>
        <charset val="1"/>
      </rPr>
      <t xml:space="preserve">N / 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</si>
  <si>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patrón de carburo</t>
  </si>
  <si>
    <t xml:space="preserve">u(Eb)</t>
  </si>
  <si>
    <t xml:space="preserve">patrón de cerámica</t>
  </si>
  <si>
    <t xml:space="preserve">patrón de croblox</t>
  </si>
  <si>
    <t xml:space="preserve">u(Fi)</t>
  </si>
  <si>
    <t xml:space="preserve">Coeficientes sensibilidad</t>
  </si>
  <si>
    <r>
      <rPr>
        <sz val="10"/>
        <rFont val="Arial"/>
        <family val="2"/>
        <charset val="1"/>
      </rPr>
      <t xml:space="preserve">Para 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</t>
    </r>
  </si>
  <si>
    <r>
      <rPr>
        <sz val="10"/>
        <rFont val="Symbol"/>
        <family val="1"/>
        <charset val="2"/>
      </rPr>
      <t xml:space="preserve">h</t>
    </r>
    <r>
      <rPr>
        <sz val="10"/>
        <rFont val="Arial"/>
        <family val="2"/>
        <charset val="1"/>
      </rPr>
      <t xml:space="preserve">s</t>
    </r>
  </si>
  <si>
    <t xml:space="preserve">c(Fs)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</si>
  <si>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m/N</t>
    </r>
  </si>
  <si>
    <t xml:space="preserve">c(D)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</si>
  <si>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m/mm</t>
    </r>
  </si>
  <si>
    <r>
      <rPr>
        <sz val="10"/>
        <rFont val="Arial"/>
        <family val="2"/>
        <charset val="1"/>
      </rPr>
      <t xml:space="preserve">c(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</si>
  <si>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r>
      <rPr>
        <sz val="10"/>
        <rFont val="Arial"/>
        <family val="2"/>
        <charset val="1"/>
      </rPr>
      <t xml:space="preserve">c(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</si>
  <si>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t xml:space="preserve">c(Ep)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</si>
  <si>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 mm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/N</t>
    </r>
  </si>
  <si>
    <t xml:space="preserve">c(Eb)</t>
  </si>
  <si>
    <r>
      <rPr>
        <sz val="10"/>
        <rFont val="Arial"/>
        <family val="2"/>
        <charset val="1"/>
      </rPr>
      <t xml:space="preserve">Para 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</si>
  <si>
    <t xml:space="preserve">c(Fi)</t>
  </si>
  <si>
    <t xml:space="preserve">Contribuciones</t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</si>
  <si>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</si>
  <si>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  <r>
      <rPr>
        <vertAlign val="superscript"/>
        <sz val="10"/>
        <rFont val="Arial"/>
        <family val="2"/>
        <charset val="1"/>
      </rPr>
      <t xml:space="preserve">2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</si>
  <si>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(D)u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(D)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</si>
  <si>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</si>
  <si>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</si>
  <si>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(Ep)u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(Ep)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</si>
  <si>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(Eb)u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(Eb)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</si>
  <si>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</si>
  <si>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i</t>
    </r>
    <r>
      <rPr>
        <sz val="10"/>
        <rFont val="Arial"/>
        <family val="2"/>
        <charset val="1"/>
      </rPr>
      <t xml:space="preserve">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i</t>
    </r>
    <r>
      <rPr>
        <sz val="10"/>
        <rFont val="Arial"/>
        <family val="2"/>
        <charset val="1"/>
      </rPr>
      <t xml:space="preserve">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</si>
  <si>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i)</t>
    </r>
  </si>
  <si>
    <t xml:space="preserve">Resumen</t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</si>
  <si>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</si>
  <si>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r)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</si>
  <si>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</si>
  <si>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t xml:space="preserve">Corrección e incertidumbre a aplicar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</si>
  <si>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</si>
  <si>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</si>
  <si>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t xml:space="preserve">u(d)</t>
  </si>
  <si>
    <t xml:space="preserve">u(ls)</t>
  </si>
  <si>
    <t xml:space="preserve">u(αs)</t>
  </si>
  <si>
    <t xml:space="preserve">u(α)</t>
  </si>
  <si>
    <t xml:space="preserve">u(θ)</t>
  </si>
  <si>
    <t xml:space="preserve">u(θs)</t>
  </si>
  <si>
    <t xml:space="preserve">u(Δε)</t>
  </si>
  <si>
    <t xml:space="preserve">u(ls) u(αs)</t>
  </si>
  <si>
    <t xml:space="preserve">u(ls) u(α)</t>
  </si>
  <si>
    <t xml:space="preserve">u(ls) u(θs) </t>
  </si>
  <si>
    <t xml:space="preserve">u(ls) u(δθ) </t>
  </si>
  <si>
    <t xml:space="preserve">u(θs) u (αs) </t>
  </si>
  <si>
    <t xml:space="preserve">u(θs)  u(α)</t>
  </si>
  <si>
    <t xml:space="preserve">u (δθ) u(α)</t>
  </si>
  <si>
    <t xml:space="preserve">Patrón</t>
  </si>
  <si>
    <t xml:space="preserve">Coeficiente referencia</t>
  </si>
  <si>
    <t xml:space="preserve">Coeficiente a calibrar</t>
  </si>
  <si>
    <t xml:space="preserve">Diferencia de temp bloques</t>
  </si>
  <si>
    <t xml:space="preserve">Medición de Temperatura</t>
  </si>
  <si>
    <t xml:space="preserve">Deformación Elastica</t>
  </si>
  <si>
    <t xml:space="preserve">Términos de Segundo Orden</t>
  </si>
  <si>
    <t xml:space="preserve">mm / mm</t>
  </si>
  <si>
    <t xml:space="preserve">nm °C</t>
  </si>
  <si>
    <t xml:space="preserve">nm / °C</t>
  </si>
  <si>
    <t xml:space="preserve">1/°C</t>
  </si>
  <si>
    <t xml:space="preserve">FUENTES DE INCERTIUMBRE</t>
  </si>
  <si>
    <t xml:space="preserve">Incertidumbre Estandar</t>
  </si>
  <si>
    <t xml:space="preserve">Coeficientes de Sensibilidad </t>
  </si>
  <si>
    <r>
      <rPr>
        <b val="true"/>
        <sz val="14"/>
        <rFont val="Arial"/>
        <family val="2"/>
        <charset val="1"/>
      </rPr>
      <t xml:space="preserve">u(X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)</t>
    </r>
  </si>
  <si>
    <r>
      <rPr>
        <b val="true"/>
        <sz val="14"/>
        <rFont val="Arial"/>
        <family val="2"/>
        <charset val="1"/>
      </rPr>
      <t xml:space="preserve">u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= |c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| u(X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)</t>
    </r>
  </si>
  <si>
    <t xml:space="preserve">Mediciones del comparador</t>
  </si>
  <si>
    <t xml:space="preserve">Bloque patrón de referencia</t>
  </si>
  <si>
    <r>
      <rPr>
        <b val="true"/>
        <sz val="14"/>
        <rFont val="Arial"/>
        <family val="2"/>
        <charset val="1"/>
      </rPr>
      <t xml:space="preserve">u(L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</t>
    </r>
  </si>
  <si>
    <t xml:space="preserve">Resolución del termómetro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</si>
  <si>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r</t>
    </r>
    <r>
      <rPr>
        <b val="true"/>
        <sz val="14"/>
        <rFont val="Arial"/>
        <family val="2"/>
        <charset val="1"/>
      </rPr>
      <t xml:space="preserve">)</t>
    </r>
  </si>
  <si>
    <t xml:space="preserve">Variación cíclica</t>
  </si>
  <si>
    <t xml:space="preserve">Calibración del termómetro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</si>
  <si>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c</t>
    </r>
    <r>
      <rPr>
        <b val="true"/>
        <sz val="14"/>
        <rFont val="Arial"/>
        <family val="2"/>
        <charset val="1"/>
      </rPr>
      <t xml:space="preserve">)</t>
    </r>
  </si>
  <si>
    <t xml:space="preserve">Coeficiente de expasión Térmica de Bloque de referencia</t>
  </si>
  <si>
    <r>
      <rPr>
        <b val="true"/>
        <sz val="14"/>
        <rFont val="Arial"/>
        <family val="2"/>
        <charset val="1"/>
      </rPr>
      <t xml:space="preserve">u(α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 - ppm/°C)</t>
    </r>
  </si>
  <si>
    <t xml:space="preserve">Coeficiente de expasión Térmica del Bloque a calibrar</t>
  </si>
  <si>
    <r>
      <rPr>
        <b val="true"/>
        <sz val="14"/>
        <rFont val="Arial"/>
        <family val="2"/>
        <charset val="1"/>
      </rPr>
      <t xml:space="preserve">u(α</t>
    </r>
    <r>
      <rPr>
        <b val="true"/>
        <vertAlign val="subscript"/>
        <sz val="14"/>
        <rFont val="Arial"/>
        <family val="2"/>
        <charset val="1"/>
      </rPr>
      <t xml:space="preserve"> </t>
    </r>
    <r>
      <rPr>
        <b val="true"/>
        <sz val="14"/>
        <rFont val="Arial"/>
        <family val="2"/>
        <charset val="1"/>
      </rPr>
      <t xml:space="preserve">- ppm/°C)</t>
    </r>
  </si>
  <si>
    <t xml:space="preserve">u(δθ)</t>
  </si>
  <si>
    <t xml:space="preserve">Efectos de la Temperatura en el bloque de referencia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</si>
  <si>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u (α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</t>
    </r>
  </si>
  <si>
    <t xml:space="preserve">Efectos de la Temperatura en el bloque a calibrar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</si>
  <si>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u (α) </t>
    </r>
  </si>
  <si>
    <t xml:space="preserve">Diferencia  entre los bloques patrón</t>
  </si>
</sst>
</file>

<file path=xl/styles.xml><?xml version="1.0" encoding="utf-8"?>
<styleSheet xmlns="http://schemas.openxmlformats.org/spreadsheetml/2006/main">
  <numFmts count="33">
    <numFmt numFmtId="164" formatCode="General"/>
    <numFmt numFmtId="165" formatCode="General"/>
    <numFmt numFmtId="166" formatCode="[$-140A]dddd\ d&quot; de &quot;mmmm&quot; de &quot;yyyy;@"/>
    <numFmt numFmtId="167" formatCode="0.00000"/>
    <numFmt numFmtId="168" formatCode="0.000"/>
    <numFmt numFmtId="169" formatCode="0.0"/>
    <numFmt numFmtId="170" formatCode="0.0000"/>
    <numFmt numFmtId="171" formatCode="0"/>
    <numFmt numFmtId="172" formatCode="0.00"/>
    <numFmt numFmtId="173" formatCode="#,##0.0000"/>
    <numFmt numFmtId="174" formatCode="0.000E+00"/>
    <numFmt numFmtId="175" formatCode="[$-F400]h:mm:ss\ AM/PM"/>
    <numFmt numFmtId="176" formatCode="0.00000000"/>
    <numFmt numFmtId="177" formatCode="yyyy\-mm\-dd;@"/>
    <numFmt numFmtId="178" formatCode="0.00E+00"/>
    <numFmt numFmtId="179" formatCode="0.000000"/>
    <numFmt numFmtId="180" formatCode="@"/>
    <numFmt numFmtId="181" formatCode="0.0000000000"/>
    <numFmt numFmtId="182" formatCode="dd/mm/yyyy"/>
    <numFmt numFmtId="183" formatCode="[$-140A]dddd&quot;, &quot;dd&quot; de &quot;mmmm&quot; de &quot;yyyy;@"/>
    <numFmt numFmtId="184" formatCode="yyyy\-mm\-dd"/>
    <numFmt numFmtId="185" formatCode="#,##0"/>
    <numFmt numFmtId="186" formatCode="0.0000000"/>
    <numFmt numFmtId="187" formatCode="yyyy/mm/dd"/>
    <numFmt numFmtId="188" formatCode="0.000000000"/>
    <numFmt numFmtId="189" formatCode="0.00000000000"/>
    <numFmt numFmtId="190" formatCode="0.0000E+00"/>
    <numFmt numFmtId="191" formatCode="0.000000000000"/>
    <numFmt numFmtId="192" formatCode="0.00000000000000"/>
    <numFmt numFmtId="193" formatCode="0&quot; mm&quot;"/>
    <numFmt numFmtId="194" formatCode="0.000&quot; µm&quot;"/>
    <numFmt numFmtId="195" formatCode="0.000E+00;\ࡠ"/>
    <numFmt numFmtId="196" formatCode="0\ %"/>
  </numFmts>
  <fonts count="7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 Black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sz val="20"/>
      <color rgb="FF000000"/>
      <name val="Calibri"/>
      <family val="2"/>
      <charset val="1"/>
    </font>
    <font>
      <b val="true"/>
      <sz val="16"/>
      <color rgb="FFFFFFFF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0"/>
      <name val="Arial"/>
      <family val="2"/>
    </font>
    <font>
      <b val="true"/>
      <sz val="14"/>
      <name val="Arial"/>
      <family val="2"/>
      <charset val="1"/>
    </font>
    <font>
      <sz val="12"/>
      <name val="Calibri"/>
      <family val="2"/>
      <charset val="1"/>
    </font>
    <font>
      <sz val="2.75"/>
      <color rgb="FF000000"/>
      <name val="Arial"/>
      <family val="2"/>
    </font>
    <font>
      <sz val="1.4"/>
      <color rgb="FF000000"/>
      <name val="Arial"/>
      <family val="2"/>
    </font>
    <font>
      <sz val="1.25"/>
      <color rgb="FF000000"/>
      <name val="Arial"/>
      <family val="2"/>
    </font>
    <font>
      <b val="true"/>
      <sz val="11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10"/>
      <color rgb="FF969696"/>
      <name val="Arial Black"/>
      <family val="2"/>
      <charset val="1"/>
    </font>
    <font>
      <sz val="11"/>
      <color rgb="FFC9211E"/>
      <name val="Calibri"/>
      <family val="2"/>
      <charset val="1"/>
    </font>
    <font>
      <sz val="11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7"/>
      <color rgb="FFFFFFFF"/>
      <name val="Arial"/>
      <family val="0"/>
    </font>
    <font>
      <b val="true"/>
      <sz val="8"/>
      <color rgb="FFFFFFFF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color rgb="FF0000FF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i val="true"/>
      <sz val="9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name val="Symbol"/>
      <family val="1"/>
      <charset val="2"/>
    </font>
    <font>
      <b val="true"/>
      <sz val="18"/>
      <color rgb="FF000000"/>
      <name val="Calibri"/>
      <family val="2"/>
      <charset val="1"/>
    </font>
    <font>
      <vertAlign val="subscript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8"/>
      <name val="Arial"/>
      <family val="2"/>
      <charset val="1"/>
    </font>
    <font>
      <b val="true"/>
      <sz val="9"/>
      <name val="Arial"/>
      <family val="2"/>
      <charset val="1"/>
    </font>
    <font>
      <b val="true"/>
      <sz val="12"/>
      <name val="Arial Narrow"/>
      <family val="2"/>
      <charset val="1"/>
    </font>
    <font>
      <sz val="9"/>
      <name val="Arial"/>
      <family val="2"/>
      <charset val="1"/>
    </font>
    <font>
      <b val="true"/>
      <sz val="9"/>
      <color rgb="FF000000"/>
      <name val="Arial"/>
      <family val="2"/>
      <charset val="1"/>
    </font>
    <font>
      <b val="true"/>
      <sz val="22"/>
      <name val="Calibri"/>
      <family val="2"/>
      <charset val="1"/>
    </font>
    <font>
      <b val="true"/>
      <sz val="22"/>
      <name val="Arial"/>
      <family val="2"/>
      <charset val="1"/>
    </font>
    <font>
      <b val="true"/>
      <sz val="12"/>
      <name val="Calibri"/>
      <family val="2"/>
      <charset val="1"/>
    </font>
    <font>
      <b val="true"/>
      <sz val="16"/>
      <name val="Calibri"/>
      <family val="2"/>
      <charset val="1"/>
    </font>
    <font>
      <b val="true"/>
      <vertAlign val="subscript"/>
      <sz val="12"/>
      <name val="Arial"/>
      <family val="2"/>
      <charset val="1"/>
    </font>
    <font>
      <b val="true"/>
      <sz val="9"/>
      <color rgb="FF0000FF"/>
      <name val="Arial"/>
      <family val="2"/>
      <charset val="1"/>
    </font>
    <font>
      <sz val="20"/>
      <name val="Arial"/>
      <family val="2"/>
      <charset val="1"/>
    </font>
    <font>
      <b val="true"/>
      <sz val="20"/>
      <name val="Arial"/>
      <family val="2"/>
      <charset val="1"/>
    </font>
    <font>
      <b val="true"/>
      <vertAlign val="superscript"/>
      <sz val="12"/>
      <name val="Arial"/>
      <family val="2"/>
      <charset val="1"/>
    </font>
    <font>
      <sz val="14"/>
      <name val="Arial"/>
      <family val="2"/>
      <charset val="1"/>
    </font>
    <font>
      <b val="true"/>
      <vertAlign val="superscript"/>
      <sz val="14"/>
      <name val="Arial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vertAlign val="superscript"/>
      <sz val="10"/>
      <name val="Arial"/>
      <family val="2"/>
      <charset val="1"/>
    </font>
    <font>
      <vertAlign val="subscript"/>
      <sz val="10"/>
      <color rgb="FF0000FF"/>
      <name val="Arial"/>
      <family val="2"/>
      <charset val="1"/>
    </font>
    <font>
      <sz val="10"/>
      <color rgb="FF0000FF"/>
      <name val="Arial"/>
      <family val="2"/>
      <charset val="1"/>
    </font>
    <font>
      <sz val="9"/>
      <color rgb="FF0000FF"/>
      <name val="Arial"/>
      <family val="2"/>
      <charset val="1"/>
    </font>
    <font>
      <sz val="9"/>
      <color rgb="FF000000"/>
      <name val="Arial"/>
      <family val="2"/>
      <charset val="1"/>
    </font>
    <font>
      <sz val="9"/>
      <color rgb="FFFF0000"/>
      <name val="Arial"/>
      <family val="2"/>
      <charset val="1"/>
    </font>
    <font>
      <b val="true"/>
      <sz val="9"/>
      <name val="Arial Narrow"/>
      <family val="2"/>
      <charset val="1"/>
    </font>
    <font>
      <b val="true"/>
      <vertAlign val="subscript"/>
      <sz val="14"/>
      <name val="Arial"/>
      <family val="2"/>
      <charset val="1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BF1DE"/>
        <bgColor rgb="FFF2F2F2"/>
      </patternFill>
    </fill>
    <fill>
      <patternFill patternType="solid">
        <fgColor rgb="FFFFFF00"/>
        <bgColor rgb="FFFEF951"/>
      </patternFill>
    </fill>
    <fill>
      <patternFill patternType="solid">
        <fgColor rgb="FFFFC000"/>
        <bgColor rgb="FFFFCC00"/>
      </patternFill>
    </fill>
    <fill>
      <patternFill patternType="solid">
        <fgColor rgb="FFC00000"/>
        <bgColor rgb="FFC9211E"/>
      </patternFill>
    </fill>
    <fill>
      <patternFill patternType="solid">
        <fgColor rgb="FF006100"/>
        <bgColor rgb="FF003300"/>
      </patternFill>
    </fill>
    <fill>
      <patternFill patternType="solid">
        <fgColor rgb="FF00B050"/>
        <bgColor rgb="FF00B0F0"/>
      </patternFill>
    </fill>
    <fill>
      <patternFill patternType="solid">
        <fgColor rgb="FFC0C0C0"/>
        <bgColor rgb="FFBFBFBF"/>
      </patternFill>
    </fill>
    <fill>
      <patternFill patternType="solid">
        <fgColor rgb="FFBFBFBF"/>
        <bgColor rgb="FFC0C0C0"/>
      </patternFill>
    </fill>
    <fill>
      <patternFill patternType="solid">
        <fgColor rgb="FF00B0F0"/>
        <bgColor rgb="FF00CCFF"/>
      </patternFill>
    </fill>
    <fill>
      <patternFill patternType="solid">
        <fgColor rgb="FFFCD5B5"/>
        <bgColor rgb="FFFDEADA"/>
      </patternFill>
    </fill>
    <fill>
      <patternFill patternType="solid">
        <fgColor rgb="FF00CCFF"/>
        <bgColor rgb="FF00B0F0"/>
      </patternFill>
    </fill>
    <fill>
      <patternFill patternType="solid">
        <fgColor rgb="FFFF0000"/>
        <bgColor rgb="FFC00000"/>
      </patternFill>
    </fill>
    <fill>
      <patternFill patternType="solid">
        <fgColor rgb="FFFFFF99"/>
        <bgColor rgb="FFFFFFCC"/>
      </patternFill>
    </fill>
    <fill>
      <patternFill patternType="solid">
        <fgColor rgb="FFC3D69B"/>
        <bgColor rgb="FFC0C0C0"/>
      </patternFill>
    </fill>
    <fill>
      <patternFill patternType="solid">
        <fgColor rgb="FFC6D9F1"/>
        <bgColor rgb="FFB7DEE8"/>
      </patternFill>
    </fill>
    <fill>
      <patternFill patternType="solid">
        <fgColor rgb="FFFFFFCC"/>
        <bgColor rgb="FFEBF1DE"/>
      </patternFill>
    </fill>
    <fill>
      <patternFill patternType="solid">
        <fgColor rgb="FFFAC090"/>
        <bgColor rgb="FFFCD5B5"/>
      </patternFill>
    </fill>
    <fill>
      <patternFill patternType="solid">
        <fgColor rgb="FF9BBB59"/>
        <bgColor rgb="FF92D050"/>
      </patternFill>
    </fill>
    <fill>
      <patternFill patternType="solid">
        <fgColor rgb="FF00FFFF"/>
        <bgColor rgb="FF00CCFF"/>
      </patternFill>
    </fill>
    <fill>
      <patternFill patternType="solid">
        <fgColor rgb="FF92D050"/>
        <bgColor rgb="FF9BBB59"/>
      </patternFill>
    </fill>
    <fill>
      <patternFill patternType="solid">
        <fgColor rgb="FF00FF00"/>
        <bgColor rgb="FF00B050"/>
      </patternFill>
    </fill>
    <fill>
      <patternFill patternType="solid">
        <fgColor rgb="FF81D41A"/>
        <bgColor rgb="FF92D050"/>
      </patternFill>
    </fill>
    <fill>
      <patternFill patternType="solid">
        <fgColor rgb="FFFEF951"/>
        <bgColor rgb="FFFFFF99"/>
      </patternFill>
    </fill>
    <fill>
      <patternFill patternType="solid">
        <fgColor rgb="FF0070C0"/>
        <bgColor rgb="FF4F81BD"/>
      </patternFill>
    </fill>
    <fill>
      <patternFill patternType="solid">
        <fgColor rgb="FFF2F2F2"/>
        <bgColor rgb="FFEBF1DE"/>
      </patternFill>
    </fill>
    <fill>
      <patternFill patternType="solid">
        <fgColor rgb="FFD99694"/>
        <bgColor rgb="FFB3A2C7"/>
      </patternFill>
    </fill>
    <fill>
      <patternFill patternType="solid">
        <fgColor rgb="FFB7DEE8"/>
        <bgColor rgb="FFC6D9F1"/>
      </patternFill>
    </fill>
    <fill>
      <patternFill patternType="solid">
        <fgColor rgb="FFFDEADA"/>
        <bgColor rgb="FFEBF1DE"/>
      </patternFill>
    </fill>
    <fill>
      <patternFill patternType="solid">
        <fgColor rgb="FFE46C0A"/>
        <bgColor rgb="FFD99694"/>
      </patternFill>
    </fill>
    <fill>
      <patternFill patternType="solid">
        <fgColor rgb="FFB3A2C7"/>
        <bgColor rgb="FFBFBFBF"/>
      </patternFill>
    </fill>
    <fill>
      <patternFill patternType="solid">
        <fgColor rgb="FFE6E0EC"/>
        <bgColor rgb="FFD9D9D9"/>
      </patternFill>
    </fill>
    <fill>
      <patternFill patternType="solid">
        <fgColor rgb="FFDBEEF4"/>
        <bgColor rgb="FFEBF1DE"/>
      </patternFill>
    </fill>
    <fill>
      <patternFill patternType="solid">
        <fgColor rgb="FFCCFFCC"/>
        <bgColor rgb="FFDBEEF4"/>
      </patternFill>
    </fill>
    <fill>
      <patternFill patternType="solid">
        <fgColor rgb="FFFFCC00"/>
        <bgColor rgb="FFFFC000"/>
      </patternFill>
    </fill>
  </fills>
  <borders count="6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hair"/>
      <right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9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3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3" borderId="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3" borderId="6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6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7" fillId="2" borderId="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2" borderId="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2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2" borderId="1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1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2" borderId="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4" fillId="2" borderId="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" fillId="2" borderId="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1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2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" fillId="2" borderId="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0" fillId="5" borderId="4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1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1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0" fillId="5" borderId="6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5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9" fillId="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8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9" borderId="2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2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2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4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11" fillId="9" borderId="22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2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24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4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1" fillId="4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1" fillId="9" borderId="2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7" fillId="10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11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2" fillId="11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2" fillId="11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2" fillId="1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6" fontId="12" fillId="11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2" borderId="30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8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13" borderId="2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12" fillId="2" borderId="32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9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72" fontId="12" fillId="4" borderId="28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2" borderId="28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2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1" fontId="12" fillId="4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2" fillId="4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2" borderId="1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13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" borderId="35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1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34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12" fillId="4" borderId="34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3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4" borderId="3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14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4" borderId="3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4" borderId="3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15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3" borderId="3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15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6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21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12" fillId="13" borderId="3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3" borderId="4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7" borderId="4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7" borderId="4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7" borderId="4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15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4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16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9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15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2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7" borderId="2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1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5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4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1" fillId="17" borderId="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81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2" fillId="19" borderId="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9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9" borderId="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0" borderId="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2" fillId="4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2" fillId="4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2" fillId="4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2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21" borderId="4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1" borderId="4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1" borderId="4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6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0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12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6" fontId="12" fillId="2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23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3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1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3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20" fillId="5" borderId="0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2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5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83" fontId="4" fillId="4" borderId="4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2" borderId="48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80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4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5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5" borderId="49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2" borderId="5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5" borderId="4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0" fontId="4" fillId="5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4" borderId="5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4" borderId="3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4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2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2" fillId="2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85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2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1" fontId="0" fillId="2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2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1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3" fontId="23" fillId="2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2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2" borderId="4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0" fillId="4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4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5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3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47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5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8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22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49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4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7" fillId="2" borderId="1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4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50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2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1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51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25" fillId="26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6" fillId="0" borderId="0" xfId="21" applyFont="true" applyBorder="true" applyAlignment="true" applyProtection="true">
      <alignment horizontal="center" vertical="top" textRotation="0" wrapText="false" indent="0" shrinkToFit="false"/>
      <protection locked="true" hidden="true"/>
    </xf>
    <xf numFmtId="164" fontId="5" fillId="0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3" borderId="25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4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3" borderId="48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6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3" borderId="5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51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21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4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4" fillId="3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" borderId="5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3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53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27" fillId="3" borderId="53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5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47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27" fillId="2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4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6" fillId="3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7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27" fillId="2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9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27" fillId="3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72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9" fontId="7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" fillId="4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4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2" borderId="5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5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4" fillId="4" borderId="52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5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7" fillId="9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9" borderId="13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4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3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justify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top" textRotation="0" wrapText="tru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2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7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2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3" fillId="0" borderId="11" xfId="0" applyFont="true" applyBorder="true" applyAlignment="true" applyProtection="true">
      <alignment horizontal="justify" vertical="top" textRotation="0" wrapText="true" indent="0" shrinkToFit="false"/>
      <protection locked="true" hidden="false"/>
    </xf>
    <xf numFmtId="164" fontId="3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3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1" fontId="3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6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7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3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3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2" fillId="0" borderId="0" xfId="0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32" fillId="0" borderId="0" xfId="0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32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2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2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32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4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4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4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2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2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9" fillId="16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6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9" fillId="16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9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9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9" fillId="19" borderId="4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4" fillId="4" borderId="20" xfId="2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37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top" textRotation="0" wrapText="true" indent="0" shrinkToFit="false"/>
      <protection locked="true" hidden="false"/>
    </xf>
    <xf numFmtId="180" fontId="0" fillId="0" borderId="0" xfId="0" applyFont="fals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0" borderId="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6" fillId="0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6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7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3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2" fillId="2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5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47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0" fillId="2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0" fillId="2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2" borderId="50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51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2" borderId="0" xfId="21" applyFont="true" applyBorder="false" applyAlignment="true" applyProtection="true">
      <alignment horizontal="right" vertical="bottom" textRotation="0" wrapText="false" indent="0" shrinkToFit="false"/>
      <protection locked="true" hidden="true"/>
    </xf>
    <xf numFmtId="164" fontId="4" fillId="2" borderId="0" xfId="21" applyFont="true" applyBorder="false" applyAlignment="true" applyProtection="true">
      <alignment horizontal="left" vertical="bottom" textRotation="0" wrapText="false" indent="0" shrinkToFit="false"/>
      <protection locked="true" hidden="true"/>
    </xf>
    <xf numFmtId="180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0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78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7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0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4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4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5" fillId="15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1" fillId="16" borderId="2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9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4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9" borderId="5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16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1" fillId="16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4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4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4" borderId="1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1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6" fillId="0" borderId="20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6" fillId="0" borderId="19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6" fillId="0" borderId="37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9" fontId="14" fillId="22" borderId="3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9" borderId="1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3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4" fillId="2" borderId="56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1" fillId="28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9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2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1" fillId="28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7" fillId="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5" borderId="16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6" fillId="0" borderId="5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3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7" fillId="9" borderId="4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9" fillId="0" borderId="0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21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20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37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9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4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29" borderId="1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4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9" fontId="14" fillId="22" borderId="5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2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9" borderId="4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8" fontId="46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52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1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1" fontId="14" fillId="2" borderId="5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90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7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6" fillId="0" borderId="0" xfId="2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90" fontId="11" fillId="28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28" borderId="3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2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4" fillId="16" borderId="1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5" fillId="0" borderId="0" xfId="23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88" fontId="5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92" fontId="5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9" fontId="5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5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6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31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32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29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7" fillId="15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7" fillId="33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7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2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4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31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4" fillId="31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31" borderId="19" xfId="2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9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4" fillId="31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31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3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4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4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10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10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28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2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3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3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80" fontId="4" fillId="0" borderId="0" xfId="21" applyFont="true" applyBorder="false" applyAlignment="true" applyProtection="true">
      <alignment horizontal="left" vertical="top" textRotation="0" wrapText="false" indent="0" shrinkToFit="false"/>
      <protection locked="false" hidden="false"/>
    </xf>
    <xf numFmtId="182" fontId="4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4" fillId="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0" borderId="4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1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0" borderId="2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0" borderId="0" xfId="23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15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15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4" fillId="15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15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0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0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4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9" fontId="4" fillId="0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1" fillId="0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3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4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7" fillId="31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7" fillId="31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7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53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3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47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1" fillId="2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2" borderId="14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25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5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48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49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18" borderId="48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14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37" fillId="2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50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52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1" fillId="0" borderId="0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8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8" fillId="0" borderId="4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55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8" fillId="0" borderId="58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6" fillId="0" borderId="34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7" fillId="18" borderId="58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8" fillId="35" borderId="59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7" fillId="0" borderId="58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7" fillId="0" borderId="12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7" fillId="18" borderId="59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8" fillId="0" borderId="60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55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8" fillId="0" borderId="6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55" fillId="0" borderId="6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6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6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6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46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6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6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71" fontId="4" fillId="5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1" fillId="5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68" fillId="0" borderId="15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5" fillId="0" borderId="5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8" fillId="9" borderId="15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6" fillId="0" borderId="6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9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9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9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2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5" fillId="0" borderId="5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5" fillId="0" borderId="56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8" fontId="55" fillId="0" borderId="5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5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5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0" borderId="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6" fillId="0" borderId="19" xfId="2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8" fillId="0" borderId="20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8" fillId="0" borderId="37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8" fillId="0" borderId="1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6" fillId="9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6" fillId="0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6" fillId="0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69" fillId="9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1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8" fillId="0" borderId="1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6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6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69" fillId="9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5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9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86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0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71" fontId="12" fillId="33" borderId="6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33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3" borderId="2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33" borderId="2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36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2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3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33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9" borderId="3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4" fillId="17" borderId="2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4" fillId="15" borderId="2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4" fillId="17" borderId="2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9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9" borderId="16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4" fillId="2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4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8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59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9" borderId="18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9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9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4" fillId="15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4" fillId="28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5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96" fontId="59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28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4" fillId="28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28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8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4" fillId="2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8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8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4" fillId="2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8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1"/>
    <cellStyle name="Normal 3" xfId="22"/>
    <cellStyle name="Normal_Hoja2" xfId="23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DEADA"/>
      <rgbColor rgb="FF00FFFF"/>
      <rgbColor rgb="FFC00000"/>
      <rgbColor rgb="FF006100"/>
      <rgbColor rgb="FF000080"/>
      <rgbColor rgb="FF9BBB59"/>
      <rgbColor rgb="FF800080"/>
      <rgbColor rgb="FF92D050"/>
      <rgbColor rgb="FFC0C0C0"/>
      <rgbColor rgb="FF808080"/>
      <rgbColor rgb="FFBFBFBF"/>
      <rgbColor rgb="FFD9D9D9"/>
      <rgbColor rgb="FFFFFFCC"/>
      <rgbColor rgb="FFDBEEF4"/>
      <rgbColor rgb="FF660066"/>
      <rgbColor rgb="FFD99694"/>
      <rgbColor rgb="FF0070C0"/>
      <rgbColor rgb="FFC6D9F1"/>
      <rgbColor rgb="FF000080"/>
      <rgbColor rgb="FFFF00FF"/>
      <rgbColor rgb="FFFEF951"/>
      <rgbColor rgb="FFC3D69B"/>
      <rgbColor rgb="FF800080"/>
      <rgbColor rgb="FF800000"/>
      <rgbColor rgb="FFF2F2F2"/>
      <rgbColor rgb="FF0000FF"/>
      <rgbColor rgb="FF00CCFF"/>
      <rgbColor rgb="FFEBF1DE"/>
      <rgbColor rgb="FFCCFFCC"/>
      <rgbColor rgb="FFFFFF99"/>
      <rgbColor rgb="FFB7DEE8"/>
      <rgbColor rgb="FFFCD5B5"/>
      <rgbColor rgb="FFB3A2C7"/>
      <rgbColor rgb="FFFAC090"/>
      <rgbColor rgb="FF4F81BD"/>
      <rgbColor rgb="FF00B0F0"/>
      <rgbColor rgb="FF81D41A"/>
      <rgbColor rgb="FFFFCC00"/>
      <rgbColor rgb="FFFFC000"/>
      <rgbColor rgb="FFE46C0A"/>
      <rgbColor rgb="FF595959"/>
      <rgbColor rgb="FF969696"/>
      <rgbColor rgb="FF003366"/>
      <rgbColor rgb="FF00B050"/>
      <rgbColor rgb="FF003300"/>
      <rgbColor rgb="FF333300"/>
      <rgbColor rgb="FFC9211E"/>
      <rgbColor rgb="FFE6E0EC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externalLink" Target="externalLinks/externalLink1.xml"/><Relationship Id="rId2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axId val="11339891"/>
        <c:axId val="82067058"/>
      </c:barChart>
      <c:catAx>
        <c:axId val="11339891"/>
        <c:scaling>
          <c:orientation val="minMax"/>
        </c:scaling>
        <c:delete val="0"/>
        <c:axPos val="b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82067058"/>
        <c:auto val="1"/>
        <c:lblAlgn val="ctr"/>
        <c:lblOffset val="100"/>
        <c:noMultiLvlLbl val="0"/>
      </c:catAx>
      <c:valAx>
        <c:axId val="82067058"/>
        <c:scaling>
          <c:orientation val="minMax"/>
        </c:scaling>
        <c:delete val="0"/>
        <c:axPos val="l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1133989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noFill/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txPr>
              <a:bodyPr wrap="square"/>
              <a:lstStyle/>
              <a:p>
                <a:pPr>
                  <a:defRPr b="0" sz="275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25560">
                <a:solidFill>
                  <a:srgbClr val="000000"/>
                </a:solidFill>
                <a:round/>
              </a:ln>
            </c:spPr>
            <c:trendlineType val="linear"/>
            <c:forward val="0"/>
            <c:backward val="0"/>
            <c:dispRSqr val="0"/>
            <c:dispEq val="1"/>
          </c:trendline>
          <c:yVal>
            <c:numRef>
              <c:f>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46445466"/>
        <c:axId val="75015570"/>
      </c:scatterChart>
      <c:valAx>
        <c:axId val="4644546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75015570"/>
        <c:crosses val="autoZero"/>
        <c:crossBetween val="midCat"/>
      </c:valAx>
      <c:valAx>
        <c:axId val="75015570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46445466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140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axId val="66358940"/>
        <c:axId val="36541268"/>
      </c:barChart>
      <c:catAx>
        <c:axId val="66358940"/>
        <c:scaling>
          <c:orientation val="minMax"/>
        </c:scaling>
        <c:delete val="0"/>
        <c:axPos val="b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36541268"/>
        <c:auto val="1"/>
        <c:lblAlgn val="ctr"/>
        <c:lblOffset val="100"/>
        <c:noMultiLvlLbl val="0"/>
      </c:catAx>
      <c:valAx>
        <c:axId val="36541268"/>
        <c:scaling>
          <c:orientation val="minMax"/>
        </c:scaling>
        <c:delete val="0"/>
        <c:axPos val="l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66358940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noFill/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txPr>
              <a:bodyPr wrap="square"/>
              <a:lstStyle/>
              <a:p>
                <a:pPr>
                  <a:defRPr b="0" sz="275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25560">
                <a:solidFill>
                  <a:srgbClr val="000000"/>
                </a:solidFill>
                <a:round/>
              </a:ln>
            </c:spPr>
            <c:trendlineType val="linear"/>
            <c:forward val="0"/>
            <c:backward val="0"/>
            <c:dispRSqr val="0"/>
            <c:dispEq val="1"/>
          </c:trendline>
          <c:yVal>
            <c:numRef>
              <c:f>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91813129"/>
        <c:axId val="76701688"/>
      </c:scatterChart>
      <c:valAx>
        <c:axId val="91813129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76701688"/>
        <c:crosses val="autoZero"/>
        <c:crossBetween val="midCat"/>
      </c:valAx>
      <c:valAx>
        <c:axId val="76701688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91813129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12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Longitud Nominal mm vs Incertidumbre expandida microm</a:t>
            </a:r>
          </a:p>
        </c:rich>
      </c:tx>
      <c:layout>
        <c:manualLayout>
          <c:xMode val="edge"/>
          <c:yMode val="edge"/>
          <c:x val="0.172071105304904"/>
          <c:y val="0.0186407766990291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"Longitud Nominal mm vs Incertidumbre expandida microm"</c:f>
              <c:strCache>
                <c:ptCount val="1"/>
                <c:pt idx="0">
                  <c:v>Longitud Nominal mm vs Incertidumbre expandida microm</c:v>
                </c:pt>
              </c:strCache>
            </c:strRef>
          </c:tx>
          <c:spPr>
            <a:solidFill>
              <a:srgbClr val="4f81bd"/>
            </a:solidFill>
            <a:ln w="25560">
              <a:noFill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ly"/>
            <c:order val="2"/>
            <c:forward val="0"/>
            <c:backward val="0"/>
            <c:dispRSqr val="1"/>
            <c:dispEq val="1"/>
          </c:trendline>
          <c:xVal>
            <c:numRef>
              <c:f>INCERTIDUMBRE!$B$29:$B$140</c:f>
              <c:numCache>
                <c:formatCode>General</c:formatCode>
                <c:ptCount val="112"/>
              </c:numCache>
            </c:numRef>
          </c:xVal>
          <c:yVal>
            <c:numRef>
              <c:f>INCERTIDUMBRE!$AT$29:$AT$140</c:f>
              <c:numCache>
                <c:formatCode>General</c:formatCode>
                <c:ptCount val="112"/>
              </c:numCache>
            </c:numRef>
          </c:yVal>
          <c:smooth val="0"/>
        </c:ser>
        <c:axId val="97674982"/>
        <c:axId val="49663824"/>
      </c:scatterChart>
      <c:valAx>
        <c:axId val="97674982"/>
        <c:scaling>
          <c:orientation val="minMax"/>
          <c:max val="10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&quot; mm&quot;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9663824"/>
        <c:crosses val="autoZero"/>
        <c:crossBetween val="midCat"/>
      </c:valAx>
      <c:valAx>
        <c:axId val="49663824"/>
        <c:scaling>
          <c:orientation val="minMax"/>
          <c:max val="0.06"/>
          <c:min val="0.035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0&quot; µm&quot;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7674982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wmf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Relationship Id="rId3" Type="http://schemas.openxmlformats.org/officeDocument/2006/relationships/image" Target="../media/image2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Relationship Id="rId3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162000</xdr:colOff>
      <xdr:row>127</xdr:row>
      <xdr:rowOff>0</xdr:rowOff>
    </xdr:from>
    <xdr:to>
      <xdr:col>18</xdr:col>
      <xdr:colOff>255600</xdr:colOff>
      <xdr:row>127</xdr:row>
      <xdr:rowOff>0</xdr:rowOff>
    </xdr:to>
    <xdr:graphicFrame>
      <xdr:nvGraphicFramePr>
        <xdr:cNvPr id="0" name="Gráfico 7"/>
        <xdr:cNvGraphicFramePr/>
      </xdr:nvGraphicFramePr>
      <xdr:xfrm>
        <a:off x="17094240" y="27070200"/>
        <a:ext cx="472104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162000</xdr:colOff>
      <xdr:row>127</xdr:row>
      <xdr:rowOff>0</xdr:rowOff>
    </xdr:from>
    <xdr:to>
      <xdr:col>18</xdr:col>
      <xdr:colOff>255600</xdr:colOff>
      <xdr:row>127</xdr:row>
      <xdr:rowOff>0</xdr:rowOff>
    </xdr:to>
    <xdr:graphicFrame>
      <xdr:nvGraphicFramePr>
        <xdr:cNvPr id="1" name="Chart 1"/>
        <xdr:cNvGraphicFramePr/>
      </xdr:nvGraphicFramePr>
      <xdr:xfrm>
        <a:off x="17094240" y="27070200"/>
        <a:ext cx="472104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162000</xdr:colOff>
      <xdr:row>127</xdr:row>
      <xdr:rowOff>0</xdr:rowOff>
    </xdr:from>
    <xdr:to>
      <xdr:col>17</xdr:col>
      <xdr:colOff>255600</xdr:colOff>
      <xdr:row>127</xdr:row>
      <xdr:rowOff>0</xdr:rowOff>
    </xdr:to>
    <xdr:graphicFrame>
      <xdr:nvGraphicFramePr>
        <xdr:cNvPr id="2" name="Gráfico 7"/>
        <xdr:cNvGraphicFramePr/>
      </xdr:nvGraphicFramePr>
      <xdr:xfrm>
        <a:off x="17947080" y="26850960"/>
        <a:ext cx="550584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162000</xdr:colOff>
      <xdr:row>127</xdr:row>
      <xdr:rowOff>0</xdr:rowOff>
    </xdr:from>
    <xdr:to>
      <xdr:col>17</xdr:col>
      <xdr:colOff>255600</xdr:colOff>
      <xdr:row>127</xdr:row>
      <xdr:rowOff>0</xdr:rowOff>
    </xdr:to>
    <xdr:graphicFrame>
      <xdr:nvGraphicFramePr>
        <xdr:cNvPr id="3" name="Chart 1"/>
        <xdr:cNvGraphicFramePr/>
      </xdr:nvGraphicFramePr>
      <xdr:xfrm>
        <a:off x="17947080" y="26850960"/>
        <a:ext cx="550584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-360</xdr:colOff>
      <xdr:row>13</xdr:row>
      <xdr:rowOff>133200</xdr:rowOff>
    </xdr:from>
    <xdr:to>
      <xdr:col>1</xdr:col>
      <xdr:colOff>48600</xdr:colOff>
      <xdr:row>14</xdr:row>
      <xdr:rowOff>71280</xdr:rowOff>
    </xdr:to>
    <xdr:sp>
      <xdr:nvSpPr>
        <xdr:cNvPr id="4" name="Rectangle 2"/>
        <xdr:cNvSpPr/>
      </xdr:nvSpPr>
      <xdr:spPr>
        <a:xfrm>
          <a:off x="693000" y="2286000"/>
          <a:ext cx="4896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13</xdr:row>
      <xdr:rowOff>133200</xdr:rowOff>
    </xdr:from>
    <xdr:to>
      <xdr:col>1</xdr:col>
      <xdr:colOff>73440</xdr:colOff>
      <xdr:row>14</xdr:row>
      <xdr:rowOff>71280</xdr:rowOff>
    </xdr:to>
    <xdr:sp>
      <xdr:nvSpPr>
        <xdr:cNvPr id="5" name="Rectangle 3"/>
        <xdr:cNvSpPr/>
      </xdr:nvSpPr>
      <xdr:spPr>
        <a:xfrm>
          <a:off x="693360" y="2286000"/>
          <a:ext cx="7344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-360</xdr:colOff>
      <xdr:row>13</xdr:row>
      <xdr:rowOff>123840</xdr:rowOff>
    </xdr:from>
    <xdr:to>
      <xdr:col>1</xdr:col>
      <xdr:colOff>27360</xdr:colOff>
      <xdr:row>14</xdr:row>
      <xdr:rowOff>75960</xdr:rowOff>
    </xdr:to>
    <xdr:sp>
      <xdr:nvSpPr>
        <xdr:cNvPr id="6" name="Rectangle 4"/>
        <xdr:cNvSpPr/>
      </xdr:nvSpPr>
      <xdr:spPr>
        <a:xfrm>
          <a:off x="693000" y="2276640"/>
          <a:ext cx="27720" cy="113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n-US" sz="8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-360</xdr:colOff>
      <xdr:row>13</xdr:row>
      <xdr:rowOff>133200</xdr:rowOff>
    </xdr:from>
    <xdr:to>
      <xdr:col>1</xdr:col>
      <xdr:colOff>48600</xdr:colOff>
      <xdr:row>14</xdr:row>
      <xdr:rowOff>71280</xdr:rowOff>
    </xdr:to>
    <xdr:sp>
      <xdr:nvSpPr>
        <xdr:cNvPr id="7" name="Rectangle 7"/>
        <xdr:cNvSpPr/>
      </xdr:nvSpPr>
      <xdr:spPr>
        <a:xfrm>
          <a:off x="693000" y="2286000"/>
          <a:ext cx="4896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13</xdr:row>
      <xdr:rowOff>133200</xdr:rowOff>
    </xdr:from>
    <xdr:to>
      <xdr:col>1</xdr:col>
      <xdr:colOff>73440</xdr:colOff>
      <xdr:row>14</xdr:row>
      <xdr:rowOff>71280</xdr:rowOff>
    </xdr:to>
    <xdr:sp>
      <xdr:nvSpPr>
        <xdr:cNvPr id="8" name="Rectangle 8"/>
        <xdr:cNvSpPr/>
      </xdr:nvSpPr>
      <xdr:spPr>
        <a:xfrm>
          <a:off x="693360" y="2286000"/>
          <a:ext cx="7344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-360</xdr:colOff>
      <xdr:row>13</xdr:row>
      <xdr:rowOff>123840</xdr:rowOff>
    </xdr:from>
    <xdr:to>
      <xdr:col>1</xdr:col>
      <xdr:colOff>27360</xdr:colOff>
      <xdr:row>14</xdr:row>
      <xdr:rowOff>75960</xdr:rowOff>
    </xdr:to>
    <xdr:sp>
      <xdr:nvSpPr>
        <xdr:cNvPr id="9" name="Rectangle 9"/>
        <xdr:cNvSpPr/>
      </xdr:nvSpPr>
      <xdr:spPr>
        <a:xfrm>
          <a:off x="693000" y="2276640"/>
          <a:ext cx="27720" cy="113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n-US" sz="8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19080</xdr:colOff>
      <xdr:row>10</xdr:row>
      <xdr:rowOff>47520</xdr:rowOff>
    </xdr:from>
    <xdr:to>
      <xdr:col>11</xdr:col>
      <xdr:colOff>560160</xdr:colOff>
      <xdr:row>12</xdr:row>
      <xdr:rowOff>112320</xdr:rowOff>
    </xdr:to>
    <xdr:sp>
      <xdr:nvSpPr>
        <xdr:cNvPr id="10" name="WordArt 1"/>
        <xdr:cNvSpPr txBox="1"/>
      </xdr:nvSpPr>
      <xdr:spPr>
        <a:xfrm>
          <a:off x="19080" y="1714320"/>
          <a:ext cx="8168760" cy="388800"/>
        </a:xfrm>
        <a:prstGeom prst="rect">
          <a:avLst/>
        </a:prstGeom>
      </xdr:spPr>
      <xdr:txBody>
        <a:bodyPr wrap="none" lIns="90000" rIns="90000" tIns="45000" bIns="45000" anchor="ctr" anchorCtr="1">
          <a:prstTxWarp prst="textDeflate">
            <a:avLst>
              <a:gd name="adj" fmla="val 0"/>
            </a:avLst>
          </a:prstTxWarp>
          <a:noAutofit/>
        </a:bodyPr>
        <a:p>
          <a:pPr algn="ctr">
            <a:lnSpc>
              <a:spcPct val="100000"/>
            </a:lnSpc>
          </a:pPr>
          <a:r>
            <a:rPr b="0" lang="es-ES" sz="1800" spc="-1" strike="noStrike">
              <a:ln w="0">
                <a:noFill/>
              </a:ln>
              <a:solidFill>
                <a:srgbClr val="c0c0c0"/>
              </a:solidFill>
              <a:latin typeface="Impact"/>
            </a:rPr>
            <a:t>LABORATORIO DE DIMENSIONAL</a:t>
          </a:r>
          <a:endParaRPr b="0" lang="en-US" sz="1800" spc="-1" strike="noStrike">
            <a:ln w="0">
              <a:noFill/>
            </a:ln>
            <a:solidFill>
              <a:srgbClr val="c0c0c0"/>
            </a:solidFill>
            <a:latin typeface="Times New Roman"/>
          </a:endParaRPr>
        </a:p>
      </xdr:txBody>
    </xdr:sp>
    <xdr:clientData/>
  </xdr:twoCellAnchor>
  <xdr:twoCellAnchor editAs="oneCell">
    <xdr:from>
      <xdr:col>1</xdr:col>
      <xdr:colOff>-360</xdr:colOff>
      <xdr:row>13</xdr:row>
      <xdr:rowOff>133200</xdr:rowOff>
    </xdr:from>
    <xdr:to>
      <xdr:col>1</xdr:col>
      <xdr:colOff>48600</xdr:colOff>
      <xdr:row>14</xdr:row>
      <xdr:rowOff>71280</xdr:rowOff>
    </xdr:to>
    <xdr:sp>
      <xdr:nvSpPr>
        <xdr:cNvPr id="11" name="Rectangle 2"/>
        <xdr:cNvSpPr/>
      </xdr:nvSpPr>
      <xdr:spPr>
        <a:xfrm>
          <a:off x="693000" y="2286000"/>
          <a:ext cx="4896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0</xdr:colOff>
      <xdr:row>13</xdr:row>
      <xdr:rowOff>133200</xdr:rowOff>
    </xdr:from>
    <xdr:to>
      <xdr:col>1</xdr:col>
      <xdr:colOff>73440</xdr:colOff>
      <xdr:row>14</xdr:row>
      <xdr:rowOff>71280</xdr:rowOff>
    </xdr:to>
    <xdr:sp>
      <xdr:nvSpPr>
        <xdr:cNvPr id="12" name="Rectangle 3"/>
        <xdr:cNvSpPr/>
      </xdr:nvSpPr>
      <xdr:spPr>
        <a:xfrm>
          <a:off x="693360" y="2286000"/>
          <a:ext cx="73440" cy="9972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n-US" sz="7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-360</xdr:colOff>
      <xdr:row>13</xdr:row>
      <xdr:rowOff>123840</xdr:rowOff>
    </xdr:from>
    <xdr:to>
      <xdr:col>1</xdr:col>
      <xdr:colOff>27360</xdr:colOff>
      <xdr:row>14</xdr:row>
      <xdr:rowOff>75960</xdr:rowOff>
    </xdr:to>
    <xdr:sp>
      <xdr:nvSpPr>
        <xdr:cNvPr id="13" name="Rectangle 4"/>
        <xdr:cNvSpPr/>
      </xdr:nvSpPr>
      <xdr:spPr>
        <a:xfrm>
          <a:off x="693000" y="2276640"/>
          <a:ext cx="27720" cy="11376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n-US" sz="800" spc="-1" strike="noStrike">
            <a:latin typeface="Times New Roman"/>
          </a:endParaRPr>
        </a:p>
      </xdr:txBody>
    </xdr:sp>
    <xdr:clientData/>
  </xdr:twoCellAnchor>
  <xdr:twoCellAnchor editAs="twoCell">
    <xdr:from>
      <xdr:col>0</xdr:col>
      <xdr:colOff>19080</xdr:colOff>
      <xdr:row>0</xdr:row>
      <xdr:rowOff>38160</xdr:rowOff>
    </xdr:from>
    <xdr:to>
      <xdr:col>2</xdr:col>
      <xdr:colOff>550800</xdr:colOff>
      <xdr:row>9</xdr:row>
      <xdr:rowOff>122040</xdr:rowOff>
    </xdr:to>
    <xdr:pic>
      <xdr:nvPicPr>
        <xdr:cNvPr id="14" name="Picture 5" descr=""/>
        <xdr:cNvPicPr/>
      </xdr:nvPicPr>
      <xdr:blipFill>
        <a:blip r:embed="rId1"/>
        <a:stretch/>
      </xdr:blipFill>
      <xdr:spPr>
        <a:xfrm>
          <a:off x="19080" y="38160"/>
          <a:ext cx="1918440" cy="15793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57240</xdr:colOff>
      <xdr:row>1</xdr:row>
      <xdr:rowOff>52560</xdr:rowOff>
    </xdr:from>
    <xdr:to>
      <xdr:col>4</xdr:col>
      <xdr:colOff>68040</xdr:colOff>
      <xdr:row>3</xdr:row>
      <xdr:rowOff>138600</xdr:rowOff>
    </xdr:to>
    <xdr:pic>
      <xdr:nvPicPr>
        <xdr:cNvPr id="15" name="image1.jpg" descr=""/>
        <xdr:cNvPicPr/>
      </xdr:nvPicPr>
      <xdr:blipFill>
        <a:blip r:embed="rId1"/>
        <a:stretch/>
      </xdr:blipFill>
      <xdr:spPr>
        <a:xfrm>
          <a:off x="57240" y="252720"/>
          <a:ext cx="1504440" cy="486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50</xdr:row>
      <xdr:rowOff>71640</xdr:rowOff>
    </xdr:from>
    <xdr:to>
      <xdr:col>4</xdr:col>
      <xdr:colOff>68040</xdr:colOff>
      <xdr:row>52</xdr:row>
      <xdr:rowOff>157680</xdr:rowOff>
    </xdr:to>
    <xdr:pic>
      <xdr:nvPicPr>
        <xdr:cNvPr id="16" name="image1.jpg" descr=""/>
        <xdr:cNvPicPr/>
      </xdr:nvPicPr>
      <xdr:blipFill>
        <a:blip r:embed="rId2"/>
        <a:stretch/>
      </xdr:blipFill>
      <xdr:spPr>
        <a:xfrm>
          <a:off x="57240" y="10072800"/>
          <a:ext cx="1504440" cy="486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99</xdr:row>
      <xdr:rowOff>71640</xdr:rowOff>
    </xdr:from>
    <xdr:to>
      <xdr:col>3</xdr:col>
      <xdr:colOff>207720</xdr:colOff>
      <xdr:row>101</xdr:row>
      <xdr:rowOff>153360</xdr:rowOff>
    </xdr:to>
    <xdr:pic>
      <xdr:nvPicPr>
        <xdr:cNvPr id="17" name="image1.jpg" descr=""/>
        <xdr:cNvPicPr/>
      </xdr:nvPicPr>
      <xdr:blipFill>
        <a:blip r:embed="rId3"/>
        <a:stretch/>
      </xdr:blipFill>
      <xdr:spPr>
        <a:xfrm>
          <a:off x="57240" y="19836000"/>
          <a:ext cx="1270800" cy="481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57240</xdr:colOff>
      <xdr:row>1</xdr:row>
      <xdr:rowOff>52560</xdr:rowOff>
    </xdr:from>
    <xdr:to>
      <xdr:col>4</xdr:col>
      <xdr:colOff>68040</xdr:colOff>
      <xdr:row>3</xdr:row>
      <xdr:rowOff>138600</xdr:rowOff>
    </xdr:to>
    <xdr:pic>
      <xdr:nvPicPr>
        <xdr:cNvPr id="18" name="image1.jpg" descr=""/>
        <xdr:cNvPicPr/>
      </xdr:nvPicPr>
      <xdr:blipFill>
        <a:blip r:embed="rId1"/>
        <a:stretch/>
      </xdr:blipFill>
      <xdr:spPr>
        <a:xfrm>
          <a:off x="57240" y="252720"/>
          <a:ext cx="1504440" cy="4860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50</xdr:row>
      <xdr:rowOff>71640</xdr:rowOff>
    </xdr:from>
    <xdr:to>
      <xdr:col>4</xdr:col>
      <xdr:colOff>68040</xdr:colOff>
      <xdr:row>52</xdr:row>
      <xdr:rowOff>157680</xdr:rowOff>
    </xdr:to>
    <xdr:pic>
      <xdr:nvPicPr>
        <xdr:cNvPr id="19" name="image1.jpg" descr=""/>
        <xdr:cNvPicPr/>
      </xdr:nvPicPr>
      <xdr:blipFill>
        <a:blip r:embed="rId2"/>
        <a:stretch/>
      </xdr:blipFill>
      <xdr:spPr>
        <a:xfrm>
          <a:off x="57240" y="10072800"/>
          <a:ext cx="1504440" cy="486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98</xdr:row>
      <xdr:rowOff>71640</xdr:rowOff>
    </xdr:from>
    <xdr:to>
      <xdr:col>3</xdr:col>
      <xdr:colOff>207720</xdr:colOff>
      <xdr:row>100</xdr:row>
      <xdr:rowOff>153360</xdr:rowOff>
    </xdr:to>
    <xdr:pic>
      <xdr:nvPicPr>
        <xdr:cNvPr id="20" name="image1.jpg" descr=""/>
        <xdr:cNvPicPr/>
      </xdr:nvPicPr>
      <xdr:blipFill>
        <a:blip r:embed="rId3"/>
        <a:stretch/>
      </xdr:blipFill>
      <xdr:spPr>
        <a:xfrm>
          <a:off x="57240" y="19940760"/>
          <a:ext cx="1270800" cy="481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46</xdr:col>
      <xdr:colOff>550440</xdr:colOff>
      <xdr:row>24</xdr:row>
      <xdr:rowOff>111240</xdr:rowOff>
    </xdr:from>
    <xdr:to>
      <xdr:col>50</xdr:col>
      <xdr:colOff>1652040</xdr:colOff>
      <xdr:row>32</xdr:row>
      <xdr:rowOff>196200</xdr:rowOff>
    </xdr:to>
    <xdr:graphicFrame>
      <xdr:nvGraphicFramePr>
        <xdr:cNvPr id="21" name="Gráfico 1"/>
        <xdr:cNvGraphicFramePr/>
      </xdr:nvGraphicFramePr>
      <xdr:xfrm>
        <a:off x="90708480" y="8112240"/>
        <a:ext cx="7715520" cy="278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0</xdr:colOff>
      <xdr:row>36</xdr:row>
      <xdr:rowOff>0</xdr:rowOff>
    </xdr:from>
    <xdr:to>
      <xdr:col>50</xdr:col>
      <xdr:colOff>219600</xdr:colOff>
      <xdr:row>43</xdr:row>
      <xdr:rowOff>56880</xdr:rowOff>
    </xdr:to>
    <xdr:pic>
      <xdr:nvPicPr>
        <xdr:cNvPr id="22" name="Imagen 2" descr=""/>
        <xdr:cNvPicPr/>
      </xdr:nvPicPr>
      <xdr:blipFill>
        <a:blip r:embed="rId2"/>
        <a:stretch/>
      </xdr:blipFill>
      <xdr:spPr>
        <a:xfrm>
          <a:off x="93465000" y="11687040"/>
          <a:ext cx="3526560" cy="1790640"/>
        </a:xfrm>
        <a:prstGeom prst="rect">
          <a:avLst/>
        </a:prstGeom>
        <a:ln w="0">
          <a:solidFill>
            <a:srgbClr val="4f81bd"/>
          </a:solidFill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C:/Google%20Drive/LACOMET/Formularios%20solicitados%20por%20Olman/Cuadro%20de%20CMCs%20y%20gr&#225;fica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lrojas@lcm.go.cr" TargetMode="External"/><Relationship Id="rId2" Type="http://schemas.openxmlformats.org/officeDocument/2006/relationships/hyperlink" Target="mailto:oramos@lcm.go.cr" TargetMode="External"/><Relationship Id="rId3" Type="http://schemas.openxmlformats.org/officeDocument/2006/relationships/hyperlink" Target="mailto:ytorres@lcm.go.cr" TargetMode="External"/><Relationship Id="rId4" Type="http://schemas.openxmlformats.org/officeDocument/2006/relationships/hyperlink" Target="mailto:lguzman@lcm.go.cr" TargetMode="Externa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true"/>
  </sheetPr>
  <dimension ref="A1:FM7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6" activeCellId="0" sqref="H26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5"/>
    <col collapsed="false" customWidth="true" hidden="false" outlineLevel="0" max="3" min="3" style="1" width="14.34"/>
    <col collapsed="false" customWidth="true" hidden="false" outlineLevel="0" max="9" min="9" style="1" width="13.5"/>
    <col collapsed="false" customWidth="true" hidden="false" outlineLevel="0" max="10" min="10" style="1" width="15.33"/>
    <col collapsed="false" customWidth="true" hidden="false" outlineLevel="0" max="11" min="11" style="1" width="16"/>
    <col collapsed="false" customWidth="true" hidden="false" outlineLevel="0" max="12" min="12" style="1" width="15"/>
    <col collapsed="false" customWidth="true" hidden="false" outlineLevel="0" max="13" min="13" style="1" width="17.17"/>
    <col collapsed="false" customWidth="true" hidden="false" outlineLevel="0" max="14" min="14" style="1" width="13.83"/>
  </cols>
  <sheetData>
    <row r="1" customFormat="false" ht="15" hidden="false" customHeight="false" outlineLevel="0" collapsed="false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</row>
    <row r="2" customFormat="false" ht="15.75" hidden="false" customHeight="false" outlineLevel="0" collapsed="false">
      <c r="A2" s="3" t="str">
        <f aca="false">INFORMACION!A17</f>
        <v>INFORMACIÓN GENERAL</v>
      </c>
      <c r="B2" s="3"/>
      <c r="C2" s="3"/>
      <c r="D2" s="3"/>
      <c r="E2" s="3"/>
      <c r="F2" s="3"/>
      <c r="G2" s="3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</row>
    <row r="3" customFormat="false" ht="15" hidden="false" customHeight="false" outlineLevel="0" collapsed="false">
      <c r="A3" s="4" t="str">
        <f aca="false">INFORMACION!A19</f>
        <v>Fecha de calibración:</v>
      </c>
      <c r="B3" s="4" t="n">
        <f aca="false">INFORMACION!B19</f>
        <v>0</v>
      </c>
      <c r="C3" s="4" t="n">
        <f aca="false">INFORMACION!C19</f>
        <v>0</v>
      </c>
      <c r="D3" s="5" t="n">
        <f aca="false">INFORMACION!D19</f>
        <v>45268</v>
      </c>
      <c r="E3" s="5"/>
      <c r="F3" s="5"/>
      <c r="G3" s="5"/>
      <c r="H3" s="5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</row>
    <row r="4" customFormat="false" ht="15" hidden="false" customHeight="false" outlineLevel="0" collapsed="false">
      <c r="A4" s="6" t="str">
        <f aca="false">INFORMACION!A20</f>
        <v>Nº de Certificado LACOMET :</v>
      </c>
      <c r="B4" s="6" t="n">
        <f aca="false">INFORMACION!B20</f>
        <v>0</v>
      </c>
      <c r="C4" s="6" t="n">
        <f aca="false">INFORMACION!C20</f>
        <v>0</v>
      </c>
      <c r="D4" s="7" t="str">
        <f aca="false">INFORMACION!D20</f>
        <v>03890122</v>
      </c>
      <c r="E4" s="7"/>
      <c r="F4" s="7"/>
      <c r="G4" s="7"/>
      <c r="H4" s="7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</row>
    <row r="5" customFormat="false" ht="15" hidden="false" customHeight="false" outlineLevel="0" collapsed="false">
      <c r="A5" s="8" t="str">
        <f aca="false">INFORMACION!A21</f>
        <v>Duración de la calibración:</v>
      </c>
      <c r="B5" s="8" t="n">
        <f aca="false">INFORMACION!B21</f>
        <v>0</v>
      </c>
      <c r="C5" s="8" t="n">
        <f aca="false">INFORMACION!C21</f>
        <v>0</v>
      </c>
      <c r="D5" s="9" t="str">
        <f aca="false">INFORMACION!D21</f>
        <v>22 dias</v>
      </c>
      <c r="E5" s="9" t="n">
        <f aca="false">INFORMACION!E21</f>
        <v>0</v>
      </c>
      <c r="F5" s="9" t="n">
        <f aca="false">INFORMACION!F21</f>
        <v>0</v>
      </c>
      <c r="G5" s="9" t="n">
        <f aca="false">INFORMACION!G21</f>
        <v>0</v>
      </c>
      <c r="H5" s="9" t="n">
        <f aca="false">INFORMACION!H21</f>
        <v>0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</row>
    <row r="6" customFormat="false" ht="15" hidden="false" customHeight="false" outlineLevel="0" collapsed="false">
      <c r="A6" s="6" t="str">
        <f aca="false">INFORMACION!A22</f>
        <v>Referencia de datos:</v>
      </c>
      <c r="B6" s="6" t="n">
        <f aca="false">INFORMACION!B22</f>
        <v>0</v>
      </c>
      <c r="C6" s="6" t="n">
        <f aca="false">INFORMACION!C22</f>
        <v>0</v>
      </c>
      <c r="D6" s="7" t="n">
        <f aca="false">INFORMACION!D22</f>
        <v>0</v>
      </c>
      <c r="E6" s="7" t="n">
        <f aca="false">INFORMACION!E22</f>
        <v>0</v>
      </c>
      <c r="F6" s="7" t="n">
        <f aca="false">INFORMACION!F22</f>
        <v>0</v>
      </c>
      <c r="G6" s="7" t="n">
        <f aca="false">INFORMACION!G22</f>
        <v>0</v>
      </c>
      <c r="H6" s="7" t="n">
        <f aca="false">INFORMACION!H22</f>
        <v>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</row>
    <row r="7" customFormat="false" ht="15" hidden="false" customHeight="false" outlineLevel="0" collapsed="false">
      <c r="A7" s="8" t="str">
        <f aca="false">INFORMACION!A23</f>
        <v>Solicitante:</v>
      </c>
      <c r="B7" s="8" t="n">
        <f aca="false">INFORMACION!B23</f>
        <v>0</v>
      </c>
      <c r="C7" s="8" t="n">
        <f aca="false">INFORMACION!C23</f>
        <v>0</v>
      </c>
      <c r="D7" s="9" t="str">
        <f aca="false">INFORMACION!D23</f>
        <v>Instituto Costarricense de Electricidad</v>
      </c>
      <c r="E7" s="9" t="n">
        <f aca="false">INFORMACION!E23</f>
        <v>0</v>
      </c>
      <c r="F7" s="9" t="n">
        <f aca="false">INFORMACION!F23</f>
        <v>0</v>
      </c>
      <c r="G7" s="9" t="n">
        <f aca="false">INFORMACION!G23</f>
        <v>0</v>
      </c>
      <c r="H7" s="9" t="n">
        <f aca="false">INFORMACION!H23</f>
        <v>0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</row>
    <row r="8" customFormat="false" ht="15" hidden="false" customHeight="false" outlineLevel="0" collapsed="false">
      <c r="A8" s="6" t="str">
        <f aca="false">INFORMACION!A24</f>
        <v>Número de certificado:</v>
      </c>
      <c r="B8" s="6" t="n">
        <f aca="false">INFORMACION!B24</f>
        <v>0</v>
      </c>
      <c r="C8" s="6" t="n">
        <f aca="false">INFORMACION!C24</f>
        <v>0</v>
      </c>
      <c r="D8" s="7" t="str">
        <f aca="false">INFORMACION!D24</f>
        <v>LCM 03890122</v>
      </c>
      <c r="E8" s="7" t="n">
        <f aca="false">INFORMACION!E24</f>
        <v>0</v>
      </c>
      <c r="F8" s="7" t="n">
        <f aca="false">INFORMACION!F24</f>
        <v>0</v>
      </c>
      <c r="G8" s="7" t="n">
        <f aca="false">INFORMACION!G24</f>
        <v>0</v>
      </c>
      <c r="H8" s="7" t="n">
        <f aca="false">INFORMACION!H24</f>
        <v>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</row>
    <row r="9" customFormat="false" ht="15" hidden="false" customHeight="false" outlineLevel="0" collapsed="false">
      <c r="A9" s="8" t="str">
        <f aca="false">INFORMACION!A25</f>
        <v>Número de solicitud:</v>
      </c>
      <c r="B9" s="8" t="n">
        <f aca="false">INFORMACION!B25</f>
        <v>0</v>
      </c>
      <c r="C9" s="8" t="n">
        <f aca="false">INFORMACION!C25</f>
        <v>0</v>
      </c>
      <c r="D9" s="9" t="str">
        <f aca="false">INFORMACION!D25</f>
        <v>194-22</v>
      </c>
      <c r="E9" s="9" t="n">
        <f aca="false">INFORMACION!E25</f>
        <v>0</v>
      </c>
      <c r="F9" s="9" t="n">
        <f aca="false">INFORMACION!F25</f>
        <v>0</v>
      </c>
      <c r="G9" s="9" t="n">
        <f aca="false">INFORMACION!G25</f>
        <v>0</v>
      </c>
      <c r="H9" s="9" t="n">
        <f aca="false">INFORMACION!H25</f>
        <v>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</row>
    <row r="10" customFormat="false" ht="15" hidden="false" customHeight="false" outlineLevel="0" collapsed="false">
      <c r="A10" s="6" t="str">
        <f aca="false">INFORMACION!A26</f>
        <v>Dirección del solicitante:</v>
      </c>
      <c r="B10" s="6" t="n">
        <f aca="false">INFORMACION!B26</f>
        <v>0</v>
      </c>
      <c r="C10" s="6" t="n">
        <f aca="false">INFORMACION!C26</f>
        <v>0</v>
      </c>
      <c r="D10" s="7" t="str">
        <f aca="false">INFORMACION!D26</f>
        <v>Laboratoro de Dimensional del ICE, Plantel ICE en Colima,             Tibás, San José, Costa Rica</v>
      </c>
      <c r="E10" s="7" t="n">
        <f aca="false">INFORMACION!E26</f>
        <v>0</v>
      </c>
      <c r="F10" s="7" t="n">
        <f aca="false">INFORMACION!F26</f>
        <v>0</v>
      </c>
      <c r="G10" s="7" t="n">
        <f aca="false">INFORMACION!G26</f>
        <v>0</v>
      </c>
      <c r="H10" s="7" t="n">
        <f aca="false">INFORMACION!H26</f>
        <v>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</row>
    <row r="11" customFormat="false" ht="15" hidden="false" customHeight="false" outlineLevel="0" collapsed="false">
      <c r="A11" s="10" t="str">
        <f aca="false">INFORMACION!A27</f>
        <v>Lugar de la calibración:</v>
      </c>
      <c r="B11" s="10" t="n">
        <f aca="false">INFORMACION!B27</f>
        <v>0</v>
      </c>
      <c r="C11" s="10" t="n">
        <f aca="false">INFORMACION!C27</f>
        <v>0</v>
      </c>
      <c r="D11" s="11" t="str">
        <f aca="false">INFORMACION!D27</f>
        <v>Laboratorio de Metrología Dimensional - LACOMET</v>
      </c>
      <c r="E11" s="11" t="n">
        <f aca="false">INFORMACION!E27</f>
        <v>0</v>
      </c>
      <c r="F11" s="11" t="n">
        <f aca="false">INFORMACION!F27</f>
        <v>0</v>
      </c>
      <c r="G11" s="11" t="n">
        <f aca="false">INFORMACION!G27</f>
        <v>0</v>
      </c>
      <c r="H11" s="11" t="n">
        <f aca="false">INFORMACION!H27</f>
        <v>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</row>
    <row r="12" customFormat="false" ht="15" hidden="false" customHeight="false" outlineLevel="0" collapsed="false">
      <c r="A12" s="12"/>
      <c r="B12" s="12" t="n">
        <f aca="false">INFORMACION!B28</f>
        <v>0</v>
      </c>
      <c r="C12" s="12" t="n">
        <f aca="false">INFORMACION!C28</f>
        <v>0</v>
      </c>
      <c r="D12" s="12" t="n">
        <f aca="false">INFORMACION!D28</f>
        <v>0</v>
      </c>
      <c r="E12" s="12" t="n">
        <f aca="false">INFORMACION!E28</f>
        <v>0</v>
      </c>
      <c r="F12" s="12" t="n">
        <f aca="false">INFORMACION!F28</f>
        <v>0</v>
      </c>
      <c r="G12" s="12" t="n">
        <f aca="false">INFORMACION!G28</f>
        <v>0</v>
      </c>
      <c r="H12" s="12" t="n">
        <f aca="false">INFORMACION!H28</f>
        <v>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</row>
    <row r="13" customFormat="false" ht="15.75" hidden="false" customHeight="false" outlineLevel="0" collapsed="false">
      <c r="A13" s="3" t="str">
        <f aca="false">INFORMACION!A29</f>
        <v>INFORMACIÓN DEL CALIBRANDO</v>
      </c>
      <c r="B13" s="3" t="n">
        <f aca="false">INFORMACION!B29</f>
        <v>0</v>
      </c>
      <c r="C13" s="3" t="n">
        <f aca="false">INFORMACION!C29</f>
        <v>0</v>
      </c>
      <c r="D13" s="3" t="n">
        <f aca="false">INFORMACION!D29</f>
        <v>0</v>
      </c>
      <c r="E13" s="3" t="n">
        <f aca="false">INFORMACION!E29</f>
        <v>0</v>
      </c>
      <c r="F13" s="3" t="n">
        <f aca="false">INFORMACION!F29</f>
        <v>0</v>
      </c>
      <c r="G13" s="3" t="n">
        <f aca="false">INFORMACION!G29</f>
        <v>0</v>
      </c>
      <c r="H13" s="3" t="n">
        <f aca="false">INFORMACION!H29</f>
        <v>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</row>
    <row r="14" customFormat="false" ht="15" hidden="false" customHeight="false" outlineLevel="0" collapsed="false">
      <c r="A14" s="4" t="str">
        <f aca="false">INFORMACION!A31</f>
        <v>Objeto a calibrar:</v>
      </c>
      <c r="B14" s="4" t="n">
        <f aca="false">INFORMACION!B31</f>
        <v>0</v>
      </c>
      <c r="C14" s="4" t="n">
        <f aca="false">INFORMACION!C31</f>
        <v>0</v>
      </c>
      <c r="D14" s="5" t="str">
        <f aca="false">INFORMACION!D31</f>
        <v>Juego de bloques patrón</v>
      </c>
      <c r="E14" s="5" t="n">
        <f aca="false">INFORMACION!E31</f>
        <v>0</v>
      </c>
      <c r="F14" s="5" t="n">
        <f aca="false">INFORMACION!F31</f>
        <v>0</v>
      </c>
      <c r="G14" s="5" t="n">
        <f aca="false">INFORMACION!G31</f>
        <v>0</v>
      </c>
      <c r="H14" s="5" t="n">
        <f aca="false">INFORMACION!H31</f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</row>
    <row r="15" customFormat="false" ht="15" hidden="false" customHeight="false" outlineLevel="0" collapsed="false">
      <c r="A15" s="6" t="str">
        <f aca="false">INFORMACION!A32</f>
        <v>Marca del instrumento:</v>
      </c>
      <c r="B15" s="6" t="n">
        <f aca="false">INFORMACION!B32</f>
        <v>0</v>
      </c>
      <c r="C15" s="6" t="n">
        <f aca="false">INFORMACION!C32</f>
        <v>0</v>
      </c>
      <c r="D15" s="7" t="str">
        <f aca="false">INFORMACION!D32</f>
        <v>Mitutoyo</v>
      </c>
      <c r="E15" s="7" t="n">
        <f aca="false">INFORMACION!E32</f>
        <v>0</v>
      </c>
      <c r="F15" s="7" t="n">
        <f aca="false">INFORMACION!F32</f>
        <v>0</v>
      </c>
      <c r="G15" s="7" t="n">
        <f aca="false">INFORMACION!G32</f>
        <v>0</v>
      </c>
      <c r="H15" s="7" t="n">
        <f aca="false">INFORMACION!H32</f>
        <v>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</row>
    <row r="16" customFormat="false" ht="15" hidden="false" customHeight="false" outlineLevel="0" collapsed="false">
      <c r="A16" s="8" t="str">
        <f aca="false">INFORMACION!A33</f>
        <v>N° de Serie del instrumento:</v>
      </c>
      <c r="B16" s="8" t="n">
        <f aca="false">INFORMACION!B33</f>
        <v>0</v>
      </c>
      <c r="C16" s="8" t="n">
        <f aca="false">INFORMACION!C33</f>
        <v>0</v>
      </c>
      <c r="D16" s="13" t="str">
        <f aca="false">INFORMACION!D33</f>
        <v>Ver tabla de resultados de la calibración / MET-LMMET-001</v>
      </c>
      <c r="E16" s="13" t="n">
        <f aca="false">INFORMACION!E33</f>
        <v>0</v>
      </c>
      <c r="F16" s="13" t="n">
        <f aca="false">INFORMACION!F33</f>
        <v>0</v>
      </c>
      <c r="G16" s="13" t="n">
        <f aca="false">INFORMACION!G33</f>
        <v>0</v>
      </c>
      <c r="H16" s="13" t="n">
        <f aca="false">INFORMACION!H33</f>
        <v>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</row>
    <row r="17" customFormat="false" ht="15" hidden="false" customHeight="false" outlineLevel="0" collapsed="false">
      <c r="A17" s="6" t="str">
        <f aca="false">INFORMACION!A34</f>
        <v>Material:</v>
      </c>
      <c r="B17" s="6" t="n">
        <f aca="false">INFORMACION!B34</f>
        <v>0</v>
      </c>
      <c r="C17" s="6" t="n">
        <f aca="false">INFORMACION!C34</f>
        <v>0</v>
      </c>
      <c r="D17" s="7" t="str">
        <f aca="false">INFORMACION!D34</f>
        <v>Cerámica</v>
      </c>
      <c r="E17" s="7" t="n">
        <f aca="false">INFORMACION!E34</f>
        <v>0</v>
      </c>
      <c r="F17" s="7" t="n">
        <f aca="false">INFORMACION!F34</f>
        <v>0</v>
      </c>
      <c r="G17" s="7" t="n">
        <f aca="false">INFORMACION!G34</f>
        <v>0</v>
      </c>
      <c r="H17" s="7" t="n">
        <f aca="false">INFORMACION!H34</f>
        <v>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</row>
    <row r="18" customFormat="false" ht="15" hidden="false" customHeight="false" outlineLevel="0" collapsed="false">
      <c r="A18" s="8" t="str">
        <f aca="false">INFORMACION!A35</f>
        <v>Modelo:</v>
      </c>
      <c r="B18" s="8" t="n">
        <f aca="false">INFORMACION!B35</f>
        <v>0</v>
      </c>
      <c r="C18" s="8" t="n">
        <f aca="false">INFORMACION!C35</f>
        <v>0</v>
      </c>
      <c r="D18" s="9" t="str">
        <f aca="false">'conversion datos'!L22</f>
        <v>No indica</v>
      </c>
      <c r="E18" s="9" t="n">
        <f aca="false">INFORMACION!E35</f>
        <v>0</v>
      </c>
      <c r="F18" s="9" t="n">
        <f aca="false">INFORMACION!F35</f>
        <v>0</v>
      </c>
      <c r="G18" s="9" t="n">
        <f aca="false">INFORMACION!G35</f>
        <v>0</v>
      </c>
      <c r="H18" s="9" t="n">
        <f aca="false">INFORMACION!H35</f>
        <v>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</row>
    <row r="19" customFormat="false" ht="15" hidden="false" customHeight="false" outlineLevel="0" collapsed="false">
      <c r="A19" s="6" t="str">
        <f aca="false">INFORMACION!A36</f>
        <v>Grado declarado:</v>
      </c>
      <c r="B19" s="6" t="n">
        <f aca="false">INFORMACION!B36</f>
        <v>0</v>
      </c>
      <c r="C19" s="6" t="n">
        <f aca="false">INFORMACION!C36</f>
        <v>0</v>
      </c>
      <c r="D19" s="7" t="str">
        <f aca="false">INFORMACION!D36</f>
        <v>No indica</v>
      </c>
      <c r="E19" s="7" t="n">
        <f aca="false">INFORMACION!E36</f>
        <v>0</v>
      </c>
      <c r="F19" s="7" t="n">
        <f aca="false">INFORMACION!F36</f>
        <v>0</v>
      </c>
      <c r="G19" s="7" t="n">
        <f aca="false">INFORMACION!G36</f>
        <v>0</v>
      </c>
      <c r="H19" s="7" t="n">
        <f aca="false">INFORMACION!H36</f>
        <v>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</row>
    <row r="20" customFormat="false" ht="15" hidden="false" customHeight="false" outlineLevel="0" collapsed="false">
      <c r="A20" s="8" t="str">
        <f aca="false">INFORMACION!A37</f>
        <v>Identificación interna:</v>
      </c>
      <c r="B20" s="8" t="n">
        <f aca="false">INFORMACION!B37</f>
        <v>0</v>
      </c>
      <c r="C20" s="8" t="n">
        <f aca="false">INFORMACION!C37</f>
        <v>0</v>
      </c>
      <c r="D20" s="9" t="str">
        <f aca="false">INFORMACION!D37</f>
        <v>194-22</v>
      </c>
      <c r="E20" s="9" t="n">
        <f aca="false">INFORMACION!E37</f>
        <v>0</v>
      </c>
      <c r="F20" s="9" t="n">
        <f aca="false">INFORMACION!F37</f>
        <v>0</v>
      </c>
      <c r="G20" s="9" t="n">
        <f aca="false">INFORMACION!G37</f>
        <v>0</v>
      </c>
      <c r="H20" s="9" t="n">
        <f aca="false">INFORMACION!H37</f>
        <v>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</row>
    <row r="21" customFormat="false" ht="15" hidden="false" customHeight="false" outlineLevel="0" collapsed="false">
      <c r="A21" s="14" t="str">
        <f aca="false">INFORMACION!A38</f>
        <v>Coeficiente de expansión</v>
      </c>
      <c r="B21" s="14" t="n">
        <f aca="false">INFORMACION!B38</f>
        <v>0</v>
      </c>
      <c r="C21" s="14" t="n">
        <f aca="false">INFORMACION!C38</f>
        <v>0</v>
      </c>
      <c r="D21" s="15" t="n">
        <f aca="false">INFORMACION!D38</f>
        <v>9.3E-006</v>
      </c>
      <c r="E21" s="15" t="n">
        <f aca="false">INFORMACION!E38</f>
        <v>0</v>
      </c>
      <c r="F21" s="15" t="n">
        <f aca="false">INFORMACION!F38</f>
        <v>0</v>
      </c>
      <c r="G21" s="15" t="n">
        <f aca="false">INFORMACION!G38</f>
        <v>0</v>
      </c>
      <c r="H21" s="15" t="n">
        <f aca="false">INFORMACION!H38</f>
        <v>0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</row>
    <row r="22" customFormat="false" ht="15" hidden="false" customHeight="false" outlineLevel="0" collapsed="false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</row>
    <row r="23" customFormat="false" ht="25.5" hidden="false" customHeight="true" outlineLevel="0" collapsed="false">
      <c r="A23" s="16" t="str">
        <f aca="false">'Datos de condiciones'!A2</f>
        <v>Bloque</v>
      </c>
      <c r="B23" s="17" t="str">
        <f aca="false">'Datos de condiciones'!B2</f>
        <v>Identificacción del bloque</v>
      </c>
      <c r="C23" s="17" t="str">
        <f aca="false">'Datos de condiciones'!C2</f>
        <v>Longitud Nominal</v>
      </c>
      <c r="D23" s="18" t="str">
        <f aca="false">'Datos de condiciones'!D2</f>
        <v>T1</v>
      </c>
      <c r="E23" s="18" t="str">
        <f aca="false">'Datos de condiciones'!E2</f>
        <v>T2</v>
      </c>
      <c r="F23" s="18" t="str">
        <f aca="false">'Datos de condiciones'!F2</f>
        <v>T4</v>
      </c>
      <c r="G23" s="18" t="str">
        <f aca="false">'Datos de condiciones'!G2</f>
        <v>HR</v>
      </c>
      <c r="H23" s="19" t="str">
        <f aca="false">'CERTIFICADO 1'!D3</f>
        <v>Desviación central</v>
      </c>
      <c r="I23" s="19" t="str">
        <f aca="false">'CERTIFICADO 1'!E3</f>
        <v>Longitud central medida</v>
      </c>
      <c r="J23" s="19" t="str">
        <f aca="false">'CERTIFICADO 1'!F3</f>
        <v>Incertidumbre</v>
      </c>
      <c r="K23" s="2"/>
      <c r="L23" s="20" t="str">
        <f aca="false">'CERTIFICADO 1'!A3</f>
        <v>item</v>
      </c>
      <c r="M23" s="19" t="str">
        <f aca="false">'CERTIFICADO 1'!B3</f>
        <v>Id. bloque</v>
      </c>
      <c r="N23" s="19" t="str">
        <f aca="false">'CERTIFICADO 1'!C3</f>
        <v>Longitud nominal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</row>
    <row r="24" customFormat="false" ht="15" hidden="false" customHeight="true" outlineLevel="0" collapsed="false">
      <c r="A24" s="16"/>
      <c r="B24" s="17"/>
      <c r="C24" s="17"/>
      <c r="D24" s="21" t="str">
        <f aca="false">'Datos de condiciones'!D3</f>
        <v>ºC</v>
      </c>
      <c r="E24" s="21" t="str">
        <f aca="false">'Datos de condiciones'!E3</f>
        <v>ºC</v>
      </c>
      <c r="F24" s="21" t="str">
        <f aca="false">'Datos de condiciones'!F3</f>
        <v>ºC</v>
      </c>
      <c r="G24" s="21" t="str">
        <f aca="false">'Datos de condiciones'!G3</f>
        <v>%</v>
      </c>
      <c r="H24" s="22" t="str">
        <f aca="false">'CERTIFICADO 1'!D4</f>
        <v>ec = lc-ln</v>
      </c>
      <c r="I24" s="22" t="str">
        <f aca="false">'CERTIFICADO 1'!E4</f>
        <v>lc</v>
      </c>
      <c r="J24" s="22" t="str">
        <f aca="false">'CERTIFICADO 1'!F4</f>
        <v>U(lc)</v>
      </c>
      <c r="K24" s="2"/>
      <c r="L24" s="20" t="n">
        <f aca="false">'CERTIFICADO 1'!A4</f>
        <v>0</v>
      </c>
      <c r="M24" s="23" t="str">
        <f aca="false">'CERTIFICADO 1'!B4</f>
        <v>Block id.</v>
      </c>
      <c r="N24" s="22" t="str">
        <f aca="false">'CERTIFICADO 1'!C4</f>
        <v>ln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</row>
    <row r="25" customFormat="false" ht="15" hidden="false" customHeight="true" outlineLevel="0" collapsed="false">
      <c r="A25" s="16"/>
      <c r="B25" s="17"/>
      <c r="C25" s="24" t="str">
        <f aca="false">IF('conversion datos'!L30='Patrones LACOMET'!D3,"(µ pulgadas)","(µm)")</f>
        <v>(µm)</v>
      </c>
      <c r="D25" s="21"/>
      <c r="E25" s="21"/>
      <c r="F25" s="21"/>
      <c r="G25" s="21"/>
      <c r="H25" s="22" t="s">
        <v>0</v>
      </c>
      <c r="I25" s="22" t="s">
        <v>1</v>
      </c>
      <c r="J25" s="22" t="s">
        <v>0</v>
      </c>
      <c r="K25" s="2"/>
      <c r="L25" s="20" t="n">
        <f aca="false">'CERTIFICADO 1'!A5</f>
        <v>0</v>
      </c>
      <c r="M25" s="23" t="n">
        <f aca="false">'CERTIFICADO 1'!B5</f>
        <v>0</v>
      </c>
      <c r="N25" s="25" t="str">
        <f aca="false">'CERTIFICADO 1'!C5</f>
        <v>mm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</row>
    <row r="26" customFormat="false" ht="15" hidden="false" customHeight="false" outlineLevel="0" collapsed="false">
      <c r="A26" s="26" t="n">
        <f aca="false">'Datos de condiciones'!A4</f>
        <v>1</v>
      </c>
      <c r="B26" s="27" t="e">
        <f aca="false">'Datos de condiciones'!B4</f>
        <v>#VALUE!</v>
      </c>
      <c r="C26" s="28" t="str">
        <f aca="false">'Datos de condiciones'!C4</f>
        <v/>
      </c>
      <c r="D26" s="29" t="e">
        <f aca="false">'Datos de condiciones'!D4</f>
        <v>#VALUE!</v>
      </c>
      <c r="E26" s="29" t="e">
        <f aca="false">'Datos de condiciones'!E4</f>
        <v>#VALUE!</v>
      </c>
      <c r="F26" s="29" t="e">
        <f aca="false">'Datos de condiciones'!F4</f>
        <v>#VALUE!</v>
      </c>
      <c r="G26" s="30" t="e">
        <f aca="false">'Datos de condiciones'!G4</f>
        <v>#VALUE!</v>
      </c>
      <c r="H26" s="31" t="str">
        <f aca="false">'CERTIFICADO 1'!D6</f>
        <v/>
      </c>
      <c r="I26" s="31" t="str">
        <f aca="false">'CERTIFICADO 1'!E6</f>
        <v/>
      </c>
      <c r="J26" s="32" t="str">
        <f aca="false">'CERTIFICADO 1'!F6</f>
        <v/>
      </c>
      <c r="K26" s="2"/>
      <c r="L26" s="33" t="str">
        <f aca="false">'CERTIFICADO 1'!A6</f>
        <v/>
      </c>
      <c r="M26" s="34" t="e">
        <f aca="false">'CERTIFICADO 1'!B6</f>
        <v>#VALUE!</v>
      </c>
      <c r="N26" s="35" t="str">
        <f aca="false">'CERTIFICADO 1'!C6</f>
        <v/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</row>
    <row r="27" customFormat="false" ht="15" hidden="false" customHeight="false" outlineLevel="0" collapsed="false">
      <c r="A27" s="36" t="n">
        <f aca="false">'Datos de condiciones'!A5</f>
        <v>2</v>
      </c>
      <c r="B27" s="37" t="e">
        <f aca="false">'Datos de condiciones'!B5</f>
        <v>#VALUE!</v>
      </c>
      <c r="C27" s="38" t="str">
        <f aca="false">'Datos de condiciones'!C5</f>
        <v/>
      </c>
      <c r="D27" s="39" t="e">
        <f aca="false">'Datos de condiciones'!D5</f>
        <v>#VALUE!</v>
      </c>
      <c r="E27" s="39" t="e">
        <f aca="false">'Datos de condiciones'!E5</f>
        <v>#VALUE!</v>
      </c>
      <c r="F27" s="39" t="e">
        <f aca="false">'Datos de condiciones'!F5</f>
        <v>#VALUE!</v>
      </c>
      <c r="G27" s="40" t="e">
        <f aca="false">'Datos de condiciones'!G5</f>
        <v>#VALUE!</v>
      </c>
      <c r="H27" s="35" t="str">
        <f aca="false">'CERTIFICADO 1'!D7</f>
        <v/>
      </c>
      <c r="I27" s="35" t="str">
        <f aca="false">'CERTIFICADO 1'!E7</f>
        <v/>
      </c>
      <c r="J27" s="41" t="str">
        <f aca="false">'CERTIFICADO 1'!F7</f>
        <v/>
      </c>
      <c r="K27" s="2"/>
      <c r="L27" s="42" t="str">
        <f aca="false">'CERTIFICADO 1'!A7</f>
        <v/>
      </c>
      <c r="M27" s="34" t="e">
        <f aca="false">'CERTIFICADO 1'!B7</f>
        <v>#VALUE!</v>
      </c>
      <c r="N27" s="35" t="str">
        <f aca="false">'CERTIFICADO 1'!C7</f>
        <v/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</row>
    <row r="28" customFormat="false" ht="15" hidden="false" customHeight="false" outlineLevel="0" collapsed="false">
      <c r="A28" s="36" t="n">
        <f aca="false">'Datos de condiciones'!A6</f>
        <v>3</v>
      </c>
      <c r="B28" s="37" t="e">
        <f aca="false">'Datos de condiciones'!B6</f>
        <v>#VALUE!</v>
      </c>
      <c r="C28" s="38" t="str">
        <f aca="false">'Datos de condiciones'!C6</f>
        <v/>
      </c>
      <c r="D28" s="39" t="e">
        <f aca="false">'Datos de condiciones'!D6</f>
        <v>#VALUE!</v>
      </c>
      <c r="E28" s="39" t="e">
        <f aca="false">'Datos de condiciones'!E6</f>
        <v>#VALUE!</v>
      </c>
      <c r="F28" s="39" t="e">
        <f aca="false">'Datos de condiciones'!F6</f>
        <v>#VALUE!</v>
      </c>
      <c r="G28" s="40" t="e">
        <f aca="false">'Datos de condiciones'!G6</f>
        <v>#VALUE!</v>
      </c>
      <c r="H28" s="35" t="str">
        <f aca="false">'CERTIFICADO 1'!D8</f>
        <v/>
      </c>
      <c r="I28" s="35" t="str">
        <f aca="false">'CERTIFICADO 1'!E8</f>
        <v/>
      </c>
      <c r="J28" s="41" t="str">
        <f aca="false">'CERTIFICADO 1'!F8</f>
        <v/>
      </c>
      <c r="K28" s="2"/>
      <c r="L28" s="42" t="str">
        <f aca="false">'CERTIFICADO 1'!A8</f>
        <v/>
      </c>
      <c r="M28" s="34" t="e">
        <f aca="false">'CERTIFICADO 1'!B8</f>
        <v>#VALUE!</v>
      </c>
      <c r="N28" s="35" t="str">
        <f aca="false">'CERTIFICADO 1'!C8</f>
        <v/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</row>
    <row r="29" customFormat="false" ht="15" hidden="false" customHeight="false" outlineLevel="0" collapsed="false">
      <c r="A29" s="36" t="n">
        <f aca="false">'Datos de condiciones'!A7</f>
        <v>4</v>
      </c>
      <c r="B29" s="37" t="e">
        <f aca="false">'Datos de condiciones'!B7</f>
        <v>#VALUE!</v>
      </c>
      <c r="C29" s="38" t="str">
        <f aca="false">'Datos de condiciones'!C7</f>
        <v/>
      </c>
      <c r="D29" s="39" t="e">
        <f aca="false">'Datos de condiciones'!D7</f>
        <v>#VALUE!</v>
      </c>
      <c r="E29" s="39" t="e">
        <f aca="false">'Datos de condiciones'!E7</f>
        <v>#VALUE!</v>
      </c>
      <c r="F29" s="39" t="e">
        <f aca="false">'Datos de condiciones'!F7</f>
        <v>#VALUE!</v>
      </c>
      <c r="G29" s="40" t="e">
        <f aca="false">'Datos de condiciones'!G7</f>
        <v>#VALUE!</v>
      </c>
      <c r="H29" s="35" t="str">
        <f aca="false">'CERTIFICADO 1'!D9</f>
        <v/>
      </c>
      <c r="I29" s="35" t="str">
        <f aca="false">'CERTIFICADO 1'!E9</f>
        <v/>
      </c>
      <c r="J29" s="41" t="str">
        <f aca="false">'CERTIFICADO 1'!F9</f>
        <v/>
      </c>
      <c r="K29" s="2"/>
      <c r="L29" s="42" t="str">
        <f aca="false">'CERTIFICADO 1'!A9</f>
        <v/>
      </c>
      <c r="M29" s="34" t="e">
        <f aca="false">'CERTIFICADO 1'!B9</f>
        <v>#VALUE!</v>
      </c>
      <c r="N29" s="35" t="str">
        <f aca="false">'CERTIFICADO 1'!C9</f>
        <v/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</row>
    <row r="30" customFormat="false" ht="15" hidden="false" customHeight="false" outlineLevel="0" collapsed="false">
      <c r="A30" s="36" t="n">
        <f aca="false">'Datos de condiciones'!A8</f>
        <v>5</v>
      </c>
      <c r="B30" s="37" t="e">
        <f aca="false">'Datos de condiciones'!B8</f>
        <v>#VALUE!</v>
      </c>
      <c r="C30" s="38" t="str">
        <f aca="false">'Datos de condiciones'!C8</f>
        <v/>
      </c>
      <c r="D30" s="39" t="e">
        <f aca="false">'Datos de condiciones'!D8</f>
        <v>#VALUE!</v>
      </c>
      <c r="E30" s="39" t="e">
        <f aca="false">'Datos de condiciones'!E8</f>
        <v>#VALUE!</v>
      </c>
      <c r="F30" s="39" t="e">
        <f aca="false">'Datos de condiciones'!F8</f>
        <v>#VALUE!</v>
      </c>
      <c r="G30" s="40" t="e">
        <f aca="false">'Datos de condiciones'!G8</f>
        <v>#VALUE!</v>
      </c>
      <c r="H30" s="35" t="str">
        <f aca="false">'CERTIFICADO 1'!D10</f>
        <v/>
      </c>
      <c r="I30" s="35" t="str">
        <f aca="false">'CERTIFICADO 1'!E10</f>
        <v/>
      </c>
      <c r="J30" s="41" t="str">
        <f aca="false">'CERTIFICADO 1'!F10</f>
        <v/>
      </c>
      <c r="K30" s="2"/>
      <c r="L30" s="42" t="str">
        <f aca="false">'CERTIFICADO 1'!A10</f>
        <v/>
      </c>
      <c r="M30" s="34" t="e">
        <f aca="false">'CERTIFICADO 1'!B10</f>
        <v>#VALUE!</v>
      </c>
      <c r="N30" s="35" t="str">
        <f aca="false">'CERTIFICADO 1'!C10</f>
        <v/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</row>
    <row r="31" customFormat="false" ht="15" hidden="false" customHeight="false" outlineLevel="0" collapsed="false">
      <c r="A31" s="36" t="n">
        <f aca="false">'Datos de condiciones'!A9</f>
        <v>6</v>
      </c>
      <c r="B31" s="37" t="e">
        <f aca="false">'Datos de condiciones'!B9</f>
        <v>#VALUE!</v>
      </c>
      <c r="C31" s="38" t="str">
        <f aca="false">'Datos de condiciones'!C9</f>
        <v/>
      </c>
      <c r="D31" s="39" t="e">
        <f aca="false">'Datos de condiciones'!D9</f>
        <v>#VALUE!</v>
      </c>
      <c r="E31" s="39" t="e">
        <f aca="false">'Datos de condiciones'!E9</f>
        <v>#VALUE!</v>
      </c>
      <c r="F31" s="39" t="e">
        <f aca="false">'Datos de condiciones'!F9</f>
        <v>#VALUE!</v>
      </c>
      <c r="G31" s="40" t="e">
        <f aca="false">'Datos de condiciones'!G9</f>
        <v>#VALUE!</v>
      </c>
      <c r="H31" s="35" t="str">
        <f aca="false">'CERTIFICADO 1'!D11</f>
        <v/>
      </c>
      <c r="I31" s="35" t="str">
        <f aca="false">'CERTIFICADO 1'!E11</f>
        <v/>
      </c>
      <c r="J31" s="41" t="str">
        <f aca="false">'CERTIFICADO 1'!F11</f>
        <v/>
      </c>
      <c r="K31" s="2"/>
      <c r="L31" s="42" t="str">
        <f aca="false">'CERTIFICADO 1'!A11</f>
        <v/>
      </c>
      <c r="M31" s="34" t="e">
        <f aca="false">'CERTIFICADO 1'!B11</f>
        <v>#VALUE!</v>
      </c>
      <c r="N31" s="35" t="str">
        <f aca="false">'CERTIFICADO 1'!C11</f>
        <v/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</row>
    <row r="32" customFormat="false" ht="15" hidden="false" customHeight="false" outlineLevel="0" collapsed="false">
      <c r="A32" s="36" t="n">
        <f aca="false">'Datos de condiciones'!A10</f>
        <v>7</v>
      </c>
      <c r="B32" s="37" t="e">
        <f aca="false">'Datos de condiciones'!B10</f>
        <v>#VALUE!</v>
      </c>
      <c r="C32" s="38" t="str">
        <f aca="false">'Datos de condiciones'!C10</f>
        <v/>
      </c>
      <c r="D32" s="39" t="e">
        <f aca="false">'Datos de condiciones'!D10</f>
        <v>#VALUE!</v>
      </c>
      <c r="E32" s="39" t="e">
        <f aca="false">'Datos de condiciones'!E10</f>
        <v>#VALUE!</v>
      </c>
      <c r="F32" s="39" t="e">
        <f aca="false">'Datos de condiciones'!F10</f>
        <v>#VALUE!</v>
      </c>
      <c r="G32" s="40" t="e">
        <f aca="false">'Datos de condiciones'!G10</f>
        <v>#VALUE!</v>
      </c>
      <c r="H32" s="35" t="str">
        <f aca="false">'CERTIFICADO 1'!D12</f>
        <v/>
      </c>
      <c r="I32" s="35" t="str">
        <f aca="false">'CERTIFICADO 1'!E12</f>
        <v/>
      </c>
      <c r="J32" s="41" t="str">
        <f aca="false">'CERTIFICADO 1'!F12</f>
        <v/>
      </c>
      <c r="K32" s="2"/>
      <c r="L32" s="42" t="str">
        <f aca="false">'CERTIFICADO 1'!A12</f>
        <v/>
      </c>
      <c r="M32" s="34" t="e">
        <f aca="false">'CERTIFICADO 1'!B12</f>
        <v>#VALUE!</v>
      </c>
      <c r="N32" s="35" t="str">
        <f aca="false">'CERTIFICADO 1'!C12</f>
        <v/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</row>
    <row r="33" customFormat="false" ht="15" hidden="false" customHeight="false" outlineLevel="0" collapsed="false">
      <c r="A33" s="36" t="n">
        <f aca="false">'Datos de condiciones'!A11</f>
        <v>8</v>
      </c>
      <c r="B33" s="37" t="e">
        <f aca="false">'Datos de condiciones'!B11</f>
        <v>#VALUE!</v>
      </c>
      <c r="C33" s="38" t="str">
        <f aca="false">'Datos de condiciones'!C11</f>
        <v/>
      </c>
      <c r="D33" s="39" t="e">
        <f aca="false">'Datos de condiciones'!D11</f>
        <v>#VALUE!</v>
      </c>
      <c r="E33" s="39" t="e">
        <f aca="false">'Datos de condiciones'!E11</f>
        <v>#VALUE!</v>
      </c>
      <c r="F33" s="39" t="e">
        <f aca="false">'Datos de condiciones'!F11</f>
        <v>#VALUE!</v>
      </c>
      <c r="G33" s="40" t="e">
        <f aca="false">'Datos de condiciones'!G11</f>
        <v>#VALUE!</v>
      </c>
      <c r="H33" s="35" t="str">
        <f aca="false">'CERTIFICADO 1'!D13</f>
        <v/>
      </c>
      <c r="I33" s="35" t="str">
        <f aca="false">'CERTIFICADO 1'!E13</f>
        <v/>
      </c>
      <c r="J33" s="41" t="str">
        <f aca="false">'CERTIFICADO 1'!F13</f>
        <v/>
      </c>
      <c r="K33" s="2"/>
      <c r="L33" s="42" t="str">
        <f aca="false">'CERTIFICADO 1'!A13</f>
        <v/>
      </c>
      <c r="M33" s="34" t="e">
        <f aca="false">'CERTIFICADO 1'!B13</f>
        <v>#VALUE!</v>
      </c>
      <c r="N33" s="35" t="str">
        <f aca="false">'CERTIFICADO 1'!C13</f>
        <v/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</row>
    <row r="34" customFormat="false" ht="15" hidden="false" customHeight="false" outlineLevel="0" collapsed="false">
      <c r="A34" s="36" t="n">
        <f aca="false">'Datos de condiciones'!A12</f>
        <v>9</v>
      </c>
      <c r="B34" s="37" t="e">
        <f aca="false">'Datos de condiciones'!B12</f>
        <v>#VALUE!</v>
      </c>
      <c r="C34" s="38" t="str">
        <f aca="false">'Datos de condiciones'!C12</f>
        <v/>
      </c>
      <c r="D34" s="39" t="e">
        <f aca="false">'Datos de condiciones'!D12</f>
        <v>#VALUE!</v>
      </c>
      <c r="E34" s="39" t="e">
        <f aca="false">'Datos de condiciones'!E12</f>
        <v>#VALUE!</v>
      </c>
      <c r="F34" s="39" t="e">
        <f aca="false">'Datos de condiciones'!F12</f>
        <v>#VALUE!</v>
      </c>
      <c r="G34" s="40" t="e">
        <f aca="false">'Datos de condiciones'!G12</f>
        <v>#VALUE!</v>
      </c>
      <c r="H34" s="35" t="str">
        <f aca="false">'CERTIFICADO 1'!D14</f>
        <v/>
      </c>
      <c r="I34" s="35" t="str">
        <f aca="false">'CERTIFICADO 1'!E14</f>
        <v/>
      </c>
      <c r="J34" s="41" t="str">
        <f aca="false">'CERTIFICADO 1'!F14</f>
        <v/>
      </c>
      <c r="K34" s="2"/>
      <c r="L34" s="42" t="str">
        <f aca="false">'CERTIFICADO 1'!A14</f>
        <v/>
      </c>
      <c r="M34" s="34" t="e">
        <f aca="false">'CERTIFICADO 1'!B14</f>
        <v>#VALUE!</v>
      </c>
      <c r="N34" s="35" t="str">
        <f aca="false">'CERTIFICADO 1'!C14</f>
        <v/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</row>
    <row r="35" customFormat="false" ht="15" hidden="false" customHeight="false" outlineLevel="0" collapsed="false">
      <c r="A35" s="36" t="n">
        <f aca="false">'Datos de condiciones'!A13</f>
        <v>10</v>
      </c>
      <c r="B35" s="37" t="e">
        <f aca="false">'Datos de condiciones'!B13</f>
        <v>#VALUE!</v>
      </c>
      <c r="C35" s="38" t="str">
        <f aca="false">'Datos de condiciones'!C13</f>
        <v/>
      </c>
      <c r="D35" s="39" t="e">
        <f aca="false">'Datos de condiciones'!D13</f>
        <v>#VALUE!</v>
      </c>
      <c r="E35" s="39" t="e">
        <f aca="false">'Datos de condiciones'!E13</f>
        <v>#VALUE!</v>
      </c>
      <c r="F35" s="39" t="e">
        <f aca="false">'Datos de condiciones'!F13</f>
        <v>#VALUE!</v>
      </c>
      <c r="G35" s="40" t="e">
        <f aca="false">'Datos de condiciones'!G13</f>
        <v>#VALUE!</v>
      </c>
      <c r="H35" s="35" t="str">
        <f aca="false">'CERTIFICADO 1'!D15</f>
        <v/>
      </c>
      <c r="I35" s="35" t="str">
        <f aca="false">'CERTIFICADO 1'!E15</f>
        <v/>
      </c>
      <c r="J35" s="41" t="str">
        <f aca="false">'CERTIFICADO 1'!F15</f>
        <v/>
      </c>
      <c r="K35" s="2"/>
      <c r="L35" s="42" t="str">
        <f aca="false">'CERTIFICADO 1'!A15</f>
        <v/>
      </c>
      <c r="M35" s="34" t="e">
        <f aca="false">'CERTIFICADO 1'!B15</f>
        <v>#VALUE!</v>
      </c>
      <c r="N35" s="35" t="str">
        <f aca="false">'CERTIFICADO 1'!C15</f>
        <v/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</row>
    <row r="36" customFormat="false" ht="15" hidden="false" customHeight="false" outlineLevel="0" collapsed="false">
      <c r="A36" s="36" t="n">
        <f aca="false">'Datos de condiciones'!A14</f>
        <v>11</v>
      </c>
      <c r="B36" s="37" t="e">
        <f aca="false">'Datos de condiciones'!B14</f>
        <v>#VALUE!</v>
      </c>
      <c r="C36" s="38" t="str">
        <f aca="false">'Datos de condiciones'!C14</f>
        <v/>
      </c>
      <c r="D36" s="39" t="e">
        <f aca="false">'Datos de condiciones'!D14</f>
        <v>#VALUE!</v>
      </c>
      <c r="E36" s="39" t="e">
        <f aca="false">'Datos de condiciones'!E14</f>
        <v>#VALUE!</v>
      </c>
      <c r="F36" s="39" t="e">
        <f aca="false">'Datos de condiciones'!F14</f>
        <v>#VALUE!</v>
      </c>
      <c r="G36" s="40" t="e">
        <f aca="false">'Datos de condiciones'!G14</f>
        <v>#VALUE!</v>
      </c>
      <c r="H36" s="35" t="str">
        <f aca="false">'CERTIFICADO 1'!D16</f>
        <v/>
      </c>
      <c r="I36" s="35" t="str">
        <f aca="false">'CERTIFICADO 1'!E16</f>
        <v/>
      </c>
      <c r="J36" s="41" t="str">
        <f aca="false">'CERTIFICADO 1'!F16</f>
        <v/>
      </c>
      <c r="K36" s="2"/>
      <c r="L36" s="42" t="str">
        <f aca="false">'CERTIFICADO 1'!A16</f>
        <v/>
      </c>
      <c r="M36" s="34" t="e">
        <f aca="false">'CERTIFICADO 1'!B16</f>
        <v>#VALUE!</v>
      </c>
      <c r="N36" s="35" t="str">
        <f aca="false">'CERTIFICADO 1'!C16</f>
        <v/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</row>
    <row r="37" customFormat="false" ht="15" hidden="false" customHeight="false" outlineLevel="0" collapsed="false">
      <c r="A37" s="36" t="n">
        <f aca="false">'Datos de condiciones'!A15</f>
        <v>12</v>
      </c>
      <c r="B37" s="37" t="e">
        <f aca="false">'Datos de condiciones'!B15</f>
        <v>#VALUE!</v>
      </c>
      <c r="C37" s="38" t="str">
        <f aca="false">'Datos de condiciones'!C15</f>
        <v/>
      </c>
      <c r="D37" s="39" t="e">
        <f aca="false">'Datos de condiciones'!D15</f>
        <v>#VALUE!</v>
      </c>
      <c r="E37" s="39" t="e">
        <f aca="false">'Datos de condiciones'!E15</f>
        <v>#VALUE!</v>
      </c>
      <c r="F37" s="39" t="e">
        <f aca="false">'Datos de condiciones'!F15</f>
        <v>#VALUE!</v>
      </c>
      <c r="G37" s="40" t="e">
        <f aca="false">'Datos de condiciones'!G15</f>
        <v>#VALUE!</v>
      </c>
      <c r="H37" s="35" t="str">
        <f aca="false">'CERTIFICADO 1'!D17</f>
        <v/>
      </c>
      <c r="I37" s="35" t="str">
        <f aca="false">'CERTIFICADO 1'!E17</f>
        <v/>
      </c>
      <c r="J37" s="41" t="str">
        <f aca="false">'CERTIFICADO 1'!F17</f>
        <v/>
      </c>
      <c r="K37" s="2"/>
      <c r="L37" s="42" t="str">
        <f aca="false">'CERTIFICADO 1'!A17</f>
        <v/>
      </c>
      <c r="M37" s="34" t="e">
        <f aca="false">'CERTIFICADO 1'!B17</f>
        <v>#VALUE!</v>
      </c>
      <c r="N37" s="35" t="str">
        <f aca="false">'CERTIFICADO 1'!C17</f>
        <v/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</row>
    <row r="38" customFormat="false" ht="15" hidden="false" customHeight="false" outlineLevel="0" collapsed="false">
      <c r="A38" s="36" t="n">
        <f aca="false">'Datos de condiciones'!A16</f>
        <v>13</v>
      </c>
      <c r="B38" s="37" t="e">
        <f aca="false">'Datos de condiciones'!B16</f>
        <v>#VALUE!</v>
      </c>
      <c r="C38" s="38" t="str">
        <f aca="false">'Datos de condiciones'!C16</f>
        <v/>
      </c>
      <c r="D38" s="39" t="e">
        <f aca="false">'Datos de condiciones'!D16</f>
        <v>#VALUE!</v>
      </c>
      <c r="E38" s="39" t="e">
        <f aca="false">'Datos de condiciones'!E16</f>
        <v>#VALUE!</v>
      </c>
      <c r="F38" s="39" t="e">
        <f aca="false">'Datos de condiciones'!F16</f>
        <v>#VALUE!</v>
      </c>
      <c r="G38" s="40" t="e">
        <f aca="false">'Datos de condiciones'!G16</f>
        <v>#VALUE!</v>
      </c>
      <c r="H38" s="35" t="str">
        <f aca="false">'CERTIFICADO 1'!D18</f>
        <v/>
      </c>
      <c r="I38" s="35" t="str">
        <f aca="false">'CERTIFICADO 1'!E18</f>
        <v/>
      </c>
      <c r="J38" s="41" t="str">
        <f aca="false">'CERTIFICADO 1'!F18</f>
        <v/>
      </c>
      <c r="K38" s="2"/>
      <c r="L38" s="42" t="str">
        <f aca="false">'CERTIFICADO 1'!A18</f>
        <v/>
      </c>
      <c r="M38" s="34" t="e">
        <f aca="false">'CERTIFICADO 1'!B18</f>
        <v>#VALUE!</v>
      </c>
      <c r="N38" s="35" t="str">
        <f aca="false">'CERTIFICADO 1'!C18</f>
        <v/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</row>
    <row r="39" customFormat="false" ht="15" hidden="false" customHeight="false" outlineLevel="0" collapsed="false">
      <c r="A39" s="36" t="n">
        <f aca="false">'Datos de condiciones'!A17</f>
        <v>14</v>
      </c>
      <c r="B39" s="37" t="e">
        <f aca="false">'Datos de condiciones'!B17</f>
        <v>#VALUE!</v>
      </c>
      <c r="C39" s="38" t="str">
        <f aca="false">'Datos de condiciones'!C17</f>
        <v/>
      </c>
      <c r="D39" s="39" t="e">
        <f aca="false">'Datos de condiciones'!D17</f>
        <v>#VALUE!</v>
      </c>
      <c r="E39" s="39" t="e">
        <f aca="false">'Datos de condiciones'!E17</f>
        <v>#VALUE!</v>
      </c>
      <c r="F39" s="39" t="e">
        <f aca="false">'Datos de condiciones'!F17</f>
        <v>#VALUE!</v>
      </c>
      <c r="G39" s="40" t="e">
        <f aca="false">'Datos de condiciones'!G17</f>
        <v>#VALUE!</v>
      </c>
      <c r="H39" s="35" t="str">
        <f aca="false">'CERTIFICADO 1'!D19</f>
        <v/>
      </c>
      <c r="I39" s="35" t="str">
        <f aca="false">'CERTIFICADO 1'!E19</f>
        <v/>
      </c>
      <c r="J39" s="41" t="str">
        <f aca="false">'CERTIFICADO 1'!F19</f>
        <v/>
      </c>
      <c r="K39" s="2"/>
      <c r="L39" s="42" t="str">
        <f aca="false">'CERTIFICADO 1'!A19</f>
        <v/>
      </c>
      <c r="M39" s="34" t="e">
        <f aca="false">'CERTIFICADO 1'!B19</f>
        <v>#VALUE!</v>
      </c>
      <c r="N39" s="35" t="str">
        <f aca="false">'CERTIFICADO 1'!C19</f>
        <v/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</row>
    <row r="40" customFormat="false" ht="15" hidden="false" customHeight="false" outlineLevel="0" collapsed="false">
      <c r="A40" s="36" t="n">
        <f aca="false">'Datos de condiciones'!A18</f>
        <v>15</v>
      </c>
      <c r="B40" s="37" t="e">
        <f aca="false">'Datos de condiciones'!B18</f>
        <v>#VALUE!</v>
      </c>
      <c r="C40" s="38" t="str">
        <f aca="false">'Datos de condiciones'!C18</f>
        <v/>
      </c>
      <c r="D40" s="39" t="e">
        <f aca="false">'Datos de condiciones'!D18</f>
        <v>#VALUE!</v>
      </c>
      <c r="E40" s="39" t="e">
        <f aca="false">'Datos de condiciones'!E18</f>
        <v>#VALUE!</v>
      </c>
      <c r="F40" s="39" t="e">
        <f aca="false">'Datos de condiciones'!F18</f>
        <v>#VALUE!</v>
      </c>
      <c r="G40" s="40" t="e">
        <f aca="false">'Datos de condiciones'!G18</f>
        <v>#VALUE!</v>
      </c>
      <c r="H40" s="35" t="str">
        <f aca="false">'CERTIFICADO 1'!D20</f>
        <v/>
      </c>
      <c r="I40" s="35" t="str">
        <f aca="false">'CERTIFICADO 1'!E20</f>
        <v/>
      </c>
      <c r="J40" s="41" t="str">
        <f aca="false">'CERTIFICADO 1'!F20</f>
        <v/>
      </c>
      <c r="K40" s="2"/>
      <c r="L40" s="42" t="str">
        <f aca="false">'CERTIFICADO 1'!A20</f>
        <v/>
      </c>
      <c r="M40" s="34" t="e">
        <f aca="false">'CERTIFICADO 1'!B20</f>
        <v>#VALUE!</v>
      </c>
      <c r="N40" s="35" t="str">
        <f aca="false">'CERTIFICADO 1'!C20</f>
        <v/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</row>
    <row r="41" customFormat="false" ht="15" hidden="false" customHeight="false" outlineLevel="0" collapsed="false">
      <c r="A41" s="36" t="n">
        <f aca="false">'Datos de condiciones'!A19</f>
        <v>16</v>
      </c>
      <c r="B41" s="37" t="e">
        <f aca="false">'Datos de condiciones'!B19</f>
        <v>#VALUE!</v>
      </c>
      <c r="C41" s="38" t="str">
        <f aca="false">'Datos de condiciones'!C19</f>
        <v/>
      </c>
      <c r="D41" s="39" t="e">
        <f aca="false">'Datos de condiciones'!D19</f>
        <v>#VALUE!</v>
      </c>
      <c r="E41" s="39" t="e">
        <f aca="false">'Datos de condiciones'!E19</f>
        <v>#VALUE!</v>
      </c>
      <c r="F41" s="39" t="e">
        <f aca="false">'Datos de condiciones'!F19</f>
        <v>#VALUE!</v>
      </c>
      <c r="G41" s="40" t="e">
        <f aca="false">'Datos de condiciones'!G19</f>
        <v>#VALUE!</v>
      </c>
      <c r="H41" s="35" t="str">
        <f aca="false">'CERTIFICADO 1'!D21</f>
        <v/>
      </c>
      <c r="I41" s="35" t="str">
        <f aca="false">'CERTIFICADO 1'!E21</f>
        <v/>
      </c>
      <c r="J41" s="41" t="str">
        <f aca="false">'CERTIFICADO 1'!F21</f>
        <v/>
      </c>
      <c r="K41" s="2"/>
      <c r="L41" s="42" t="str">
        <f aca="false">'CERTIFICADO 1'!A21</f>
        <v/>
      </c>
      <c r="M41" s="34" t="e">
        <f aca="false">'CERTIFICADO 1'!B21</f>
        <v>#VALUE!</v>
      </c>
      <c r="N41" s="35" t="str">
        <f aca="false">'CERTIFICADO 1'!C21</f>
        <v/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</row>
    <row r="42" customFormat="false" ht="15" hidden="false" customHeight="false" outlineLevel="0" collapsed="false">
      <c r="A42" s="36" t="n">
        <f aca="false">'Datos de condiciones'!A20</f>
        <v>17</v>
      </c>
      <c r="B42" s="37" t="e">
        <f aca="false">'Datos de condiciones'!B20</f>
        <v>#VALUE!</v>
      </c>
      <c r="C42" s="38" t="str">
        <f aca="false">'Datos de condiciones'!C20</f>
        <v/>
      </c>
      <c r="D42" s="39" t="e">
        <f aca="false">'Datos de condiciones'!D20</f>
        <v>#VALUE!</v>
      </c>
      <c r="E42" s="39" t="e">
        <f aca="false">'Datos de condiciones'!E20</f>
        <v>#VALUE!</v>
      </c>
      <c r="F42" s="39" t="e">
        <f aca="false">'Datos de condiciones'!F20</f>
        <v>#VALUE!</v>
      </c>
      <c r="G42" s="40" t="e">
        <f aca="false">'Datos de condiciones'!G20</f>
        <v>#VALUE!</v>
      </c>
      <c r="H42" s="35" t="str">
        <f aca="false">'CERTIFICADO 1'!D22</f>
        <v/>
      </c>
      <c r="I42" s="35" t="str">
        <f aca="false">'CERTIFICADO 1'!E22</f>
        <v/>
      </c>
      <c r="J42" s="41" t="str">
        <f aca="false">'CERTIFICADO 1'!F22</f>
        <v/>
      </c>
      <c r="K42" s="2"/>
      <c r="L42" s="42" t="str">
        <f aca="false">'CERTIFICADO 1'!A22</f>
        <v/>
      </c>
      <c r="M42" s="34" t="e">
        <f aca="false">'CERTIFICADO 1'!B22</f>
        <v>#VALUE!</v>
      </c>
      <c r="N42" s="35" t="str">
        <f aca="false">'CERTIFICADO 1'!C22</f>
        <v/>
      </c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</row>
    <row r="43" customFormat="false" ht="15" hidden="false" customHeight="false" outlineLevel="0" collapsed="false">
      <c r="A43" s="36" t="n">
        <f aca="false">'Datos de condiciones'!A21</f>
        <v>18</v>
      </c>
      <c r="B43" s="37" t="e">
        <f aca="false">'Datos de condiciones'!B21</f>
        <v>#VALUE!</v>
      </c>
      <c r="C43" s="38" t="str">
        <f aca="false">'Datos de condiciones'!C21</f>
        <v/>
      </c>
      <c r="D43" s="39" t="e">
        <f aca="false">'Datos de condiciones'!D21</f>
        <v>#VALUE!</v>
      </c>
      <c r="E43" s="39" t="e">
        <f aca="false">'Datos de condiciones'!E21</f>
        <v>#VALUE!</v>
      </c>
      <c r="F43" s="39" t="e">
        <f aca="false">'Datos de condiciones'!F21</f>
        <v>#VALUE!</v>
      </c>
      <c r="G43" s="40" t="e">
        <f aca="false">'Datos de condiciones'!G21</f>
        <v>#VALUE!</v>
      </c>
      <c r="H43" s="35" t="str">
        <f aca="false">'CERTIFICADO 1'!D23</f>
        <v/>
      </c>
      <c r="I43" s="35" t="str">
        <f aca="false">'CERTIFICADO 1'!E23</f>
        <v/>
      </c>
      <c r="J43" s="41" t="str">
        <f aca="false">'CERTIFICADO 1'!F23</f>
        <v/>
      </c>
      <c r="K43" s="2"/>
      <c r="L43" s="42" t="str">
        <f aca="false">'CERTIFICADO 1'!A23</f>
        <v/>
      </c>
      <c r="M43" s="34" t="e">
        <f aca="false">'CERTIFICADO 1'!B23</f>
        <v>#VALUE!</v>
      </c>
      <c r="N43" s="35" t="str">
        <f aca="false">'CERTIFICADO 1'!C23</f>
        <v/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</row>
    <row r="44" customFormat="false" ht="15" hidden="false" customHeight="false" outlineLevel="0" collapsed="false">
      <c r="A44" s="36" t="n">
        <f aca="false">'Datos de condiciones'!A22</f>
        <v>19</v>
      </c>
      <c r="B44" s="37" t="e">
        <f aca="false">'Datos de condiciones'!B22</f>
        <v>#VALUE!</v>
      </c>
      <c r="C44" s="38" t="str">
        <f aca="false">'Datos de condiciones'!C22</f>
        <v/>
      </c>
      <c r="D44" s="39" t="e">
        <f aca="false">'Datos de condiciones'!D22</f>
        <v>#VALUE!</v>
      </c>
      <c r="E44" s="39" t="e">
        <f aca="false">'Datos de condiciones'!E22</f>
        <v>#VALUE!</v>
      </c>
      <c r="F44" s="39" t="e">
        <f aca="false">'Datos de condiciones'!F22</f>
        <v>#VALUE!</v>
      </c>
      <c r="G44" s="40" t="e">
        <f aca="false">'Datos de condiciones'!G22</f>
        <v>#VALUE!</v>
      </c>
      <c r="H44" s="35" t="str">
        <f aca="false">'CERTIFICADO 1'!D24</f>
        <v/>
      </c>
      <c r="I44" s="35" t="str">
        <f aca="false">'CERTIFICADO 1'!E24</f>
        <v/>
      </c>
      <c r="J44" s="41" t="str">
        <f aca="false">'CERTIFICADO 1'!F24</f>
        <v/>
      </c>
      <c r="K44" s="2"/>
      <c r="L44" s="42" t="str">
        <f aca="false">'CERTIFICADO 1'!A24</f>
        <v/>
      </c>
      <c r="M44" s="34" t="e">
        <f aca="false">'CERTIFICADO 1'!B24</f>
        <v>#VALUE!</v>
      </c>
      <c r="N44" s="35" t="str">
        <f aca="false">'CERTIFICADO 1'!C24</f>
        <v/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</row>
    <row r="45" customFormat="false" ht="15" hidden="false" customHeight="false" outlineLevel="0" collapsed="false">
      <c r="A45" s="36" t="n">
        <f aca="false">'Datos de condiciones'!A23</f>
        <v>20</v>
      </c>
      <c r="B45" s="37" t="e">
        <f aca="false">'Datos de condiciones'!B23</f>
        <v>#VALUE!</v>
      </c>
      <c r="C45" s="38" t="str">
        <f aca="false">'Datos de condiciones'!C23</f>
        <v/>
      </c>
      <c r="D45" s="39" t="e">
        <f aca="false">'Datos de condiciones'!D23</f>
        <v>#VALUE!</v>
      </c>
      <c r="E45" s="39" t="e">
        <f aca="false">'Datos de condiciones'!E23</f>
        <v>#VALUE!</v>
      </c>
      <c r="F45" s="39" t="e">
        <f aca="false">'Datos de condiciones'!F23</f>
        <v>#VALUE!</v>
      </c>
      <c r="G45" s="40" t="e">
        <f aca="false">'Datos de condiciones'!G23</f>
        <v>#VALUE!</v>
      </c>
      <c r="H45" s="35" t="str">
        <f aca="false">'CERTIFICADO 1'!D25</f>
        <v/>
      </c>
      <c r="I45" s="35" t="str">
        <f aca="false">'CERTIFICADO 1'!E25</f>
        <v/>
      </c>
      <c r="J45" s="41" t="str">
        <f aca="false">'CERTIFICADO 1'!F25</f>
        <v/>
      </c>
      <c r="K45" s="2"/>
      <c r="L45" s="42" t="str">
        <f aca="false">'CERTIFICADO 1'!A25</f>
        <v/>
      </c>
      <c r="M45" s="34" t="e">
        <f aca="false">'CERTIFICADO 1'!B25</f>
        <v>#VALUE!</v>
      </c>
      <c r="N45" s="35" t="str">
        <f aca="false">'CERTIFICADO 1'!C25</f>
        <v/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</row>
    <row r="46" customFormat="false" ht="15" hidden="false" customHeight="false" outlineLevel="0" collapsed="false">
      <c r="A46" s="36" t="n">
        <f aca="false">'Datos de condiciones'!A24</f>
        <v>21</v>
      </c>
      <c r="B46" s="37" t="e">
        <f aca="false">'Datos de condiciones'!B24</f>
        <v>#VALUE!</v>
      </c>
      <c r="C46" s="38" t="str">
        <f aca="false">'Datos de condiciones'!C24</f>
        <v/>
      </c>
      <c r="D46" s="39" t="e">
        <f aca="false">'Datos de condiciones'!D24</f>
        <v>#VALUE!</v>
      </c>
      <c r="E46" s="39" t="e">
        <f aca="false">'Datos de condiciones'!E24</f>
        <v>#VALUE!</v>
      </c>
      <c r="F46" s="39" t="e">
        <f aca="false">'Datos de condiciones'!F24</f>
        <v>#VALUE!</v>
      </c>
      <c r="G46" s="40" t="e">
        <f aca="false">'Datos de condiciones'!G24</f>
        <v>#VALUE!</v>
      </c>
      <c r="H46" s="35" t="str">
        <f aca="false">'CERTIFICADO 1'!D26</f>
        <v/>
      </c>
      <c r="I46" s="35" t="str">
        <f aca="false">'CERTIFICADO 1'!E26</f>
        <v/>
      </c>
      <c r="J46" s="41" t="str">
        <f aca="false">'CERTIFICADO 1'!F26</f>
        <v/>
      </c>
      <c r="K46" s="2"/>
      <c r="L46" s="42" t="str">
        <f aca="false">'CERTIFICADO 1'!A26</f>
        <v/>
      </c>
      <c r="M46" s="34" t="e">
        <f aca="false">'CERTIFICADO 1'!B26</f>
        <v>#VALUE!</v>
      </c>
      <c r="N46" s="35" t="str">
        <f aca="false">'CERTIFICADO 1'!C26</f>
        <v/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</row>
    <row r="47" customFormat="false" ht="15" hidden="false" customHeight="false" outlineLevel="0" collapsed="false">
      <c r="A47" s="36" t="n">
        <f aca="false">'Datos de condiciones'!A25</f>
        <v>22</v>
      </c>
      <c r="B47" s="37" t="e">
        <f aca="false">'Datos de condiciones'!B25</f>
        <v>#VALUE!</v>
      </c>
      <c r="C47" s="38" t="str">
        <f aca="false">'Datos de condiciones'!C25</f>
        <v/>
      </c>
      <c r="D47" s="39" t="e">
        <f aca="false">'Datos de condiciones'!D25</f>
        <v>#VALUE!</v>
      </c>
      <c r="E47" s="39" t="e">
        <f aca="false">'Datos de condiciones'!E25</f>
        <v>#VALUE!</v>
      </c>
      <c r="F47" s="39" t="e">
        <f aca="false">'Datos de condiciones'!F25</f>
        <v>#VALUE!</v>
      </c>
      <c r="G47" s="40" t="e">
        <f aca="false">'Datos de condiciones'!G25</f>
        <v>#VALUE!</v>
      </c>
      <c r="H47" s="35" t="str">
        <f aca="false">'CERTIFICADO 1'!D27</f>
        <v/>
      </c>
      <c r="I47" s="35" t="str">
        <f aca="false">'CERTIFICADO 1'!E27</f>
        <v/>
      </c>
      <c r="J47" s="41" t="str">
        <f aca="false">'CERTIFICADO 1'!F27</f>
        <v/>
      </c>
      <c r="K47" s="2"/>
      <c r="L47" s="42" t="str">
        <f aca="false">'CERTIFICADO 1'!A27</f>
        <v/>
      </c>
      <c r="M47" s="34" t="e">
        <f aca="false">'CERTIFICADO 1'!B27</f>
        <v>#VALUE!</v>
      </c>
      <c r="N47" s="35" t="str">
        <f aca="false">'CERTIFICADO 1'!C27</f>
        <v/>
      </c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</row>
    <row r="48" customFormat="false" ht="15" hidden="false" customHeight="false" outlineLevel="0" collapsed="false">
      <c r="A48" s="36" t="n">
        <f aca="false">'Datos de condiciones'!A26</f>
        <v>23</v>
      </c>
      <c r="B48" s="37" t="e">
        <f aca="false">'Datos de condiciones'!B26</f>
        <v>#VALUE!</v>
      </c>
      <c r="C48" s="38" t="str">
        <f aca="false">'Datos de condiciones'!C26</f>
        <v/>
      </c>
      <c r="D48" s="39" t="e">
        <f aca="false">'Datos de condiciones'!D26</f>
        <v>#VALUE!</v>
      </c>
      <c r="E48" s="39" t="e">
        <f aca="false">'Datos de condiciones'!E26</f>
        <v>#VALUE!</v>
      </c>
      <c r="F48" s="39" t="e">
        <f aca="false">'Datos de condiciones'!F26</f>
        <v>#VALUE!</v>
      </c>
      <c r="G48" s="40" t="e">
        <f aca="false">'Datos de condiciones'!G26</f>
        <v>#VALUE!</v>
      </c>
      <c r="H48" s="35" t="str">
        <f aca="false">'CERTIFICADO 1'!D28</f>
        <v/>
      </c>
      <c r="I48" s="35" t="str">
        <f aca="false">'CERTIFICADO 1'!E28</f>
        <v/>
      </c>
      <c r="J48" s="41" t="str">
        <f aca="false">'CERTIFICADO 1'!F28</f>
        <v/>
      </c>
      <c r="K48" s="2"/>
      <c r="L48" s="42" t="str">
        <f aca="false">'CERTIFICADO 1'!A28</f>
        <v/>
      </c>
      <c r="M48" s="34" t="e">
        <f aca="false">'CERTIFICADO 1'!B28</f>
        <v>#VALUE!</v>
      </c>
      <c r="N48" s="35" t="str">
        <f aca="false">'CERTIFICADO 1'!C28</f>
        <v/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</row>
    <row r="49" customFormat="false" ht="15" hidden="false" customHeight="false" outlineLevel="0" collapsed="false">
      <c r="A49" s="36" t="n">
        <f aca="false">'Datos de condiciones'!A27</f>
        <v>24</v>
      </c>
      <c r="B49" s="37" t="e">
        <f aca="false">'Datos de condiciones'!B27</f>
        <v>#VALUE!</v>
      </c>
      <c r="C49" s="38" t="str">
        <f aca="false">'Datos de condiciones'!C27</f>
        <v/>
      </c>
      <c r="D49" s="39" t="e">
        <f aca="false">'Datos de condiciones'!D27</f>
        <v>#VALUE!</v>
      </c>
      <c r="E49" s="39" t="e">
        <f aca="false">'Datos de condiciones'!E27</f>
        <v>#VALUE!</v>
      </c>
      <c r="F49" s="39" t="e">
        <f aca="false">'Datos de condiciones'!F27</f>
        <v>#VALUE!</v>
      </c>
      <c r="G49" s="40" t="e">
        <f aca="false">'Datos de condiciones'!G27</f>
        <v>#VALUE!</v>
      </c>
      <c r="H49" s="35" t="str">
        <f aca="false">'CERTIFICADO 1'!D29</f>
        <v/>
      </c>
      <c r="I49" s="35" t="str">
        <f aca="false">'CERTIFICADO 1'!E29</f>
        <v/>
      </c>
      <c r="J49" s="41" t="str">
        <f aca="false">'CERTIFICADO 1'!F29</f>
        <v/>
      </c>
      <c r="K49" s="2"/>
      <c r="L49" s="42" t="str">
        <f aca="false">'CERTIFICADO 1'!A29</f>
        <v/>
      </c>
      <c r="M49" s="34" t="e">
        <f aca="false">'CERTIFICADO 1'!B29</f>
        <v>#VALUE!</v>
      </c>
      <c r="N49" s="35" t="str">
        <f aca="false">'CERTIFICADO 1'!C29</f>
        <v/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</row>
    <row r="50" customFormat="false" ht="15" hidden="false" customHeight="false" outlineLevel="0" collapsed="false">
      <c r="A50" s="36" t="n">
        <f aca="false">'Datos de condiciones'!A28</f>
        <v>25</v>
      </c>
      <c r="B50" s="37" t="e">
        <f aca="false">'Datos de condiciones'!B28</f>
        <v>#VALUE!</v>
      </c>
      <c r="C50" s="38" t="str">
        <f aca="false">'Datos de condiciones'!C28</f>
        <v/>
      </c>
      <c r="D50" s="39" t="e">
        <f aca="false">'Datos de condiciones'!D28</f>
        <v>#VALUE!</v>
      </c>
      <c r="E50" s="39" t="e">
        <f aca="false">'Datos de condiciones'!E28</f>
        <v>#VALUE!</v>
      </c>
      <c r="F50" s="39" t="e">
        <f aca="false">'Datos de condiciones'!F28</f>
        <v>#VALUE!</v>
      </c>
      <c r="G50" s="40" t="e">
        <f aca="false">'Datos de condiciones'!G28</f>
        <v>#VALUE!</v>
      </c>
      <c r="H50" s="35" t="str">
        <f aca="false">'CERTIFICADO 1'!D30</f>
        <v/>
      </c>
      <c r="I50" s="35" t="str">
        <f aca="false">'CERTIFICADO 1'!E30</f>
        <v/>
      </c>
      <c r="J50" s="41" t="str">
        <f aca="false">'CERTIFICADO 1'!F30</f>
        <v/>
      </c>
      <c r="K50" s="2"/>
      <c r="L50" s="42" t="str">
        <f aca="false">'CERTIFICADO 1'!A30</f>
        <v/>
      </c>
      <c r="M50" s="34" t="e">
        <f aca="false">'CERTIFICADO 1'!B30</f>
        <v>#VALUE!</v>
      </c>
      <c r="N50" s="35" t="str">
        <f aca="false">'CERTIFICADO 1'!C30</f>
        <v/>
      </c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</row>
    <row r="51" customFormat="false" ht="15" hidden="false" customHeight="false" outlineLevel="0" collapsed="false">
      <c r="A51" s="36" t="n">
        <f aca="false">'Datos de condiciones'!A29</f>
        <v>26</v>
      </c>
      <c r="B51" s="37" t="e">
        <f aca="false">'Datos de condiciones'!B29</f>
        <v>#VALUE!</v>
      </c>
      <c r="C51" s="38" t="str">
        <f aca="false">'Datos de condiciones'!C29</f>
        <v/>
      </c>
      <c r="D51" s="39" t="e">
        <f aca="false">'Datos de condiciones'!D29</f>
        <v>#VALUE!</v>
      </c>
      <c r="E51" s="39" t="e">
        <f aca="false">'Datos de condiciones'!E29</f>
        <v>#VALUE!</v>
      </c>
      <c r="F51" s="39" t="e">
        <f aca="false">'Datos de condiciones'!F29</f>
        <v>#VALUE!</v>
      </c>
      <c r="G51" s="40" t="e">
        <f aca="false">'Datos de condiciones'!G29</f>
        <v>#VALUE!</v>
      </c>
      <c r="H51" s="35" t="str">
        <f aca="false">'CERTIFICADO 1'!D31</f>
        <v/>
      </c>
      <c r="I51" s="35" t="str">
        <f aca="false">'CERTIFICADO 1'!E31</f>
        <v/>
      </c>
      <c r="J51" s="41" t="str">
        <f aca="false">'CERTIFICADO 1'!F31</f>
        <v/>
      </c>
      <c r="K51" s="2"/>
      <c r="L51" s="42" t="str">
        <f aca="false">'CERTIFICADO 1'!A31</f>
        <v/>
      </c>
      <c r="M51" s="34" t="e">
        <f aca="false">'CERTIFICADO 1'!B31</f>
        <v>#VALUE!</v>
      </c>
      <c r="N51" s="35" t="str">
        <f aca="false">'CERTIFICADO 1'!C31</f>
        <v/>
      </c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</row>
    <row r="52" customFormat="false" ht="15" hidden="false" customHeight="false" outlineLevel="0" collapsed="false">
      <c r="A52" s="36" t="n">
        <f aca="false">'Datos de condiciones'!A30</f>
        <v>27</v>
      </c>
      <c r="B52" s="37" t="e">
        <f aca="false">'Datos de condiciones'!B30</f>
        <v>#VALUE!</v>
      </c>
      <c r="C52" s="38" t="str">
        <f aca="false">'Datos de condiciones'!C30</f>
        <v/>
      </c>
      <c r="D52" s="39" t="e">
        <f aca="false">'Datos de condiciones'!D30</f>
        <v>#VALUE!</v>
      </c>
      <c r="E52" s="39" t="e">
        <f aca="false">'Datos de condiciones'!E30</f>
        <v>#VALUE!</v>
      </c>
      <c r="F52" s="39" t="e">
        <f aca="false">'Datos de condiciones'!F30</f>
        <v>#VALUE!</v>
      </c>
      <c r="G52" s="40" t="e">
        <f aca="false">'Datos de condiciones'!G30</f>
        <v>#VALUE!</v>
      </c>
      <c r="H52" s="35" t="str">
        <f aca="false">'CERTIFICADO 1'!D32</f>
        <v/>
      </c>
      <c r="I52" s="35" t="str">
        <f aca="false">'CERTIFICADO 1'!E32</f>
        <v/>
      </c>
      <c r="J52" s="41" t="str">
        <f aca="false">'CERTIFICADO 1'!F32</f>
        <v/>
      </c>
      <c r="K52" s="2"/>
      <c r="L52" s="42" t="str">
        <f aca="false">'CERTIFICADO 1'!A32</f>
        <v/>
      </c>
      <c r="M52" s="34" t="e">
        <f aca="false">'CERTIFICADO 1'!B32</f>
        <v>#VALUE!</v>
      </c>
      <c r="N52" s="35" t="str">
        <f aca="false">'CERTIFICADO 1'!C32</f>
        <v/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</row>
    <row r="53" customFormat="false" ht="15" hidden="false" customHeight="false" outlineLevel="0" collapsed="false">
      <c r="A53" s="36" t="n">
        <f aca="false">'Datos de condiciones'!A31</f>
        <v>28</v>
      </c>
      <c r="B53" s="37" t="e">
        <f aca="false">'Datos de condiciones'!B31</f>
        <v>#VALUE!</v>
      </c>
      <c r="C53" s="38" t="str">
        <f aca="false">'Datos de condiciones'!C31</f>
        <v/>
      </c>
      <c r="D53" s="39" t="e">
        <f aca="false">'Datos de condiciones'!D31</f>
        <v>#VALUE!</v>
      </c>
      <c r="E53" s="39" t="e">
        <f aca="false">'Datos de condiciones'!E31</f>
        <v>#VALUE!</v>
      </c>
      <c r="F53" s="39" t="e">
        <f aca="false">'Datos de condiciones'!F31</f>
        <v>#VALUE!</v>
      </c>
      <c r="G53" s="40" t="e">
        <f aca="false">'Datos de condiciones'!G31</f>
        <v>#VALUE!</v>
      </c>
      <c r="H53" s="35" t="str">
        <f aca="false">'CERTIFICADO 1'!D33</f>
        <v/>
      </c>
      <c r="I53" s="35" t="str">
        <f aca="false">'CERTIFICADO 1'!E33</f>
        <v/>
      </c>
      <c r="J53" s="41" t="str">
        <f aca="false">'CERTIFICADO 1'!F33</f>
        <v/>
      </c>
      <c r="K53" s="2"/>
      <c r="L53" s="42" t="str">
        <f aca="false">'CERTIFICADO 1'!A33</f>
        <v/>
      </c>
      <c r="M53" s="34" t="e">
        <f aca="false">'CERTIFICADO 1'!B33</f>
        <v>#VALUE!</v>
      </c>
      <c r="N53" s="35" t="str">
        <f aca="false">'CERTIFICADO 1'!C33</f>
        <v/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</row>
    <row r="54" customFormat="false" ht="15" hidden="false" customHeight="false" outlineLevel="0" collapsed="false">
      <c r="A54" s="36" t="n">
        <f aca="false">'Datos de condiciones'!A32</f>
        <v>29</v>
      </c>
      <c r="B54" s="37" t="e">
        <f aca="false">'Datos de condiciones'!B32</f>
        <v>#VALUE!</v>
      </c>
      <c r="C54" s="38" t="str">
        <f aca="false">'Datos de condiciones'!C32</f>
        <v/>
      </c>
      <c r="D54" s="39" t="e">
        <f aca="false">'Datos de condiciones'!D32</f>
        <v>#VALUE!</v>
      </c>
      <c r="E54" s="39" t="e">
        <f aca="false">'Datos de condiciones'!E32</f>
        <v>#VALUE!</v>
      </c>
      <c r="F54" s="39" t="e">
        <f aca="false">'Datos de condiciones'!F32</f>
        <v>#VALUE!</v>
      </c>
      <c r="G54" s="40" t="e">
        <f aca="false">'Datos de condiciones'!G32</f>
        <v>#VALUE!</v>
      </c>
      <c r="H54" s="35" t="str">
        <f aca="false">'CERTIFICADO 1'!D34</f>
        <v/>
      </c>
      <c r="I54" s="35" t="str">
        <f aca="false">'CERTIFICADO 1'!E34</f>
        <v/>
      </c>
      <c r="J54" s="41" t="str">
        <f aca="false">'CERTIFICADO 1'!F34</f>
        <v/>
      </c>
      <c r="K54" s="2"/>
      <c r="L54" s="42" t="str">
        <f aca="false">'CERTIFICADO 1'!A34</f>
        <v/>
      </c>
      <c r="M54" s="34" t="e">
        <f aca="false">'CERTIFICADO 1'!B34</f>
        <v>#VALUE!</v>
      </c>
      <c r="N54" s="35" t="str">
        <f aca="false">'CERTIFICADO 1'!C34</f>
        <v/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</row>
    <row r="55" customFormat="false" ht="15" hidden="false" customHeight="false" outlineLevel="0" collapsed="false">
      <c r="A55" s="36" t="n">
        <f aca="false">'Datos de condiciones'!A33</f>
        <v>30</v>
      </c>
      <c r="B55" s="37" t="e">
        <f aca="false">'Datos de condiciones'!B33</f>
        <v>#VALUE!</v>
      </c>
      <c r="C55" s="38" t="str">
        <f aca="false">'Datos de condiciones'!C33</f>
        <v/>
      </c>
      <c r="D55" s="39" t="e">
        <f aca="false">'Datos de condiciones'!D33</f>
        <v>#VALUE!</v>
      </c>
      <c r="E55" s="39" t="e">
        <f aca="false">'Datos de condiciones'!E33</f>
        <v>#VALUE!</v>
      </c>
      <c r="F55" s="39" t="e">
        <f aca="false">'Datos de condiciones'!F33</f>
        <v>#VALUE!</v>
      </c>
      <c r="G55" s="40" t="e">
        <f aca="false">'Datos de condiciones'!G33</f>
        <v>#VALUE!</v>
      </c>
      <c r="H55" s="35" t="str">
        <f aca="false">'CERTIFICADO 1'!D35</f>
        <v/>
      </c>
      <c r="I55" s="35" t="str">
        <f aca="false">'CERTIFICADO 1'!E35</f>
        <v/>
      </c>
      <c r="J55" s="41" t="str">
        <f aca="false">'CERTIFICADO 1'!F35</f>
        <v/>
      </c>
      <c r="K55" s="2"/>
      <c r="L55" s="42" t="str">
        <f aca="false">'CERTIFICADO 1'!A35</f>
        <v/>
      </c>
      <c r="M55" s="34" t="e">
        <f aca="false">'CERTIFICADO 1'!B35</f>
        <v>#VALUE!</v>
      </c>
      <c r="N55" s="35" t="str">
        <f aca="false">'CERTIFICADO 1'!C35</f>
        <v/>
      </c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</row>
    <row r="56" customFormat="false" ht="15" hidden="false" customHeight="false" outlineLevel="0" collapsed="false">
      <c r="A56" s="36" t="n">
        <f aca="false">'Datos de condiciones'!A34</f>
        <v>31</v>
      </c>
      <c r="B56" s="37" t="e">
        <f aca="false">'Datos de condiciones'!B34</f>
        <v>#VALUE!</v>
      </c>
      <c r="C56" s="38" t="str">
        <f aca="false">'Datos de condiciones'!C34</f>
        <v/>
      </c>
      <c r="D56" s="39" t="e">
        <f aca="false">'Datos de condiciones'!D34</f>
        <v>#VALUE!</v>
      </c>
      <c r="E56" s="39" t="e">
        <f aca="false">'Datos de condiciones'!E34</f>
        <v>#VALUE!</v>
      </c>
      <c r="F56" s="39" t="e">
        <f aca="false">'Datos de condiciones'!F34</f>
        <v>#VALUE!</v>
      </c>
      <c r="G56" s="40" t="e">
        <f aca="false">'Datos de condiciones'!G34</f>
        <v>#VALUE!</v>
      </c>
      <c r="H56" s="35" t="str">
        <f aca="false">'CERTIFICADO 1'!D36</f>
        <v/>
      </c>
      <c r="I56" s="35" t="str">
        <f aca="false">'CERTIFICADO 1'!E36</f>
        <v/>
      </c>
      <c r="J56" s="41" t="str">
        <f aca="false">'CERTIFICADO 1'!F36</f>
        <v/>
      </c>
      <c r="K56" s="2"/>
      <c r="L56" s="42" t="str">
        <f aca="false">'CERTIFICADO 1'!A36</f>
        <v/>
      </c>
      <c r="M56" s="34" t="e">
        <f aca="false">'CERTIFICADO 1'!B36</f>
        <v>#VALUE!</v>
      </c>
      <c r="N56" s="35" t="str">
        <f aca="false">'CERTIFICADO 1'!C36</f>
        <v/>
      </c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</row>
    <row r="57" customFormat="false" ht="15" hidden="false" customHeight="false" outlineLevel="0" collapsed="false">
      <c r="A57" s="36" t="n">
        <f aca="false">'Datos de condiciones'!A35</f>
        <v>32</v>
      </c>
      <c r="B57" s="37" t="e">
        <f aca="false">'Datos de condiciones'!B35</f>
        <v>#VALUE!</v>
      </c>
      <c r="C57" s="38" t="str">
        <f aca="false">'Datos de condiciones'!C35</f>
        <v/>
      </c>
      <c r="D57" s="39" t="e">
        <f aca="false">'Datos de condiciones'!D35</f>
        <v>#VALUE!</v>
      </c>
      <c r="E57" s="39" t="e">
        <f aca="false">'Datos de condiciones'!E35</f>
        <v>#VALUE!</v>
      </c>
      <c r="F57" s="39" t="e">
        <f aca="false">'Datos de condiciones'!F35</f>
        <v>#VALUE!</v>
      </c>
      <c r="G57" s="40" t="e">
        <f aca="false">'Datos de condiciones'!G35</f>
        <v>#VALUE!</v>
      </c>
      <c r="H57" s="35" t="str">
        <f aca="false">'CERTIFICADO 1'!D37</f>
        <v/>
      </c>
      <c r="I57" s="35" t="str">
        <f aca="false">'CERTIFICADO 1'!E37</f>
        <v/>
      </c>
      <c r="J57" s="41" t="str">
        <f aca="false">'CERTIFICADO 1'!F37</f>
        <v/>
      </c>
      <c r="K57" s="2"/>
      <c r="L57" s="42" t="str">
        <f aca="false">'CERTIFICADO 1'!A37</f>
        <v/>
      </c>
      <c r="M57" s="34" t="e">
        <f aca="false">'CERTIFICADO 1'!B37</f>
        <v>#VALUE!</v>
      </c>
      <c r="N57" s="35" t="str">
        <f aca="false">'CERTIFICADO 1'!C37</f>
        <v/>
      </c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</row>
    <row r="58" customFormat="false" ht="15" hidden="false" customHeight="false" outlineLevel="0" collapsed="false">
      <c r="A58" s="36" t="n">
        <f aca="false">'Datos de condiciones'!A36</f>
        <v>33</v>
      </c>
      <c r="B58" s="37" t="e">
        <f aca="false">'Datos de condiciones'!B36</f>
        <v>#VALUE!</v>
      </c>
      <c r="C58" s="38" t="str">
        <f aca="false">'Datos de condiciones'!C36</f>
        <v/>
      </c>
      <c r="D58" s="39" t="e">
        <f aca="false">'Datos de condiciones'!D36</f>
        <v>#VALUE!</v>
      </c>
      <c r="E58" s="39" t="e">
        <f aca="false">'Datos de condiciones'!E36</f>
        <v>#VALUE!</v>
      </c>
      <c r="F58" s="39" t="e">
        <f aca="false">'Datos de condiciones'!F36</f>
        <v>#VALUE!</v>
      </c>
      <c r="G58" s="40" t="e">
        <f aca="false">'Datos de condiciones'!G36</f>
        <v>#VALUE!</v>
      </c>
      <c r="H58" s="35" t="str">
        <f aca="false">'CERTIFICADO 1'!D38</f>
        <v/>
      </c>
      <c r="I58" s="35" t="str">
        <f aca="false">'CERTIFICADO 1'!E38</f>
        <v/>
      </c>
      <c r="J58" s="41" t="str">
        <f aca="false">'CERTIFICADO 1'!F38</f>
        <v/>
      </c>
      <c r="K58" s="2"/>
      <c r="L58" s="42" t="str">
        <f aca="false">'CERTIFICADO 1'!A38</f>
        <v/>
      </c>
      <c r="M58" s="34" t="e">
        <f aca="false">'CERTIFICADO 1'!B38</f>
        <v>#VALUE!</v>
      </c>
      <c r="N58" s="35" t="str">
        <f aca="false">'CERTIFICADO 1'!C38</f>
        <v/>
      </c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</row>
    <row r="59" customFormat="false" ht="15" hidden="false" customHeight="false" outlineLevel="0" collapsed="false">
      <c r="A59" s="36" t="n">
        <f aca="false">'Datos de condiciones'!A37</f>
        <v>34</v>
      </c>
      <c r="B59" s="37" t="e">
        <f aca="false">'Datos de condiciones'!B37</f>
        <v>#VALUE!</v>
      </c>
      <c r="C59" s="38" t="str">
        <f aca="false">'Datos de condiciones'!C37</f>
        <v/>
      </c>
      <c r="D59" s="39" t="e">
        <f aca="false">'Datos de condiciones'!D37</f>
        <v>#VALUE!</v>
      </c>
      <c r="E59" s="39" t="e">
        <f aca="false">'Datos de condiciones'!E37</f>
        <v>#VALUE!</v>
      </c>
      <c r="F59" s="39" t="e">
        <f aca="false">'Datos de condiciones'!F37</f>
        <v>#VALUE!</v>
      </c>
      <c r="G59" s="40" t="e">
        <f aca="false">'Datos de condiciones'!G37</f>
        <v>#VALUE!</v>
      </c>
      <c r="H59" s="35" t="str">
        <f aca="false">'CERTIFICADO 1'!D39</f>
        <v/>
      </c>
      <c r="I59" s="35" t="str">
        <f aca="false">'CERTIFICADO 1'!E39</f>
        <v/>
      </c>
      <c r="J59" s="41" t="str">
        <f aca="false">'CERTIFICADO 1'!F39</f>
        <v/>
      </c>
      <c r="K59" s="2"/>
      <c r="L59" s="42" t="str">
        <f aca="false">'CERTIFICADO 1'!A39</f>
        <v/>
      </c>
      <c r="M59" s="34" t="e">
        <f aca="false">'CERTIFICADO 1'!B39</f>
        <v>#VALUE!</v>
      </c>
      <c r="N59" s="35" t="str">
        <f aca="false">'CERTIFICADO 1'!C39</f>
        <v/>
      </c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</row>
    <row r="60" customFormat="false" ht="15" hidden="false" customHeight="false" outlineLevel="0" collapsed="false">
      <c r="A60" s="36" t="n">
        <f aca="false">'Datos de condiciones'!A38</f>
        <v>35</v>
      </c>
      <c r="B60" s="37" t="e">
        <f aca="false">'Datos de condiciones'!B38</f>
        <v>#VALUE!</v>
      </c>
      <c r="C60" s="38" t="str">
        <f aca="false">'Datos de condiciones'!C38</f>
        <v/>
      </c>
      <c r="D60" s="39" t="e">
        <f aca="false">'Datos de condiciones'!D38</f>
        <v>#VALUE!</v>
      </c>
      <c r="E60" s="39" t="e">
        <f aca="false">'Datos de condiciones'!E38</f>
        <v>#VALUE!</v>
      </c>
      <c r="F60" s="39" t="e">
        <f aca="false">'Datos de condiciones'!F38</f>
        <v>#VALUE!</v>
      </c>
      <c r="G60" s="40" t="e">
        <f aca="false">'Datos de condiciones'!G38</f>
        <v>#VALUE!</v>
      </c>
      <c r="H60" s="35" t="str">
        <f aca="false">'CERTIFICADO 1'!D40</f>
        <v/>
      </c>
      <c r="I60" s="35" t="str">
        <f aca="false">'CERTIFICADO 1'!E40</f>
        <v/>
      </c>
      <c r="J60" s="41" t="str">
        <f aca="false">'CERTIFICADO 1'!F40</f>
        <v/>
      </c>
      <c r="K60" s="2"/>
      <c r="L60" s="42" t="str">
        <f aca="false">'CERTIFICADO 1'!A40</f>
        <v/>
      </c>
      <c r="M60" s="34" t="e">
        <f aca="false">'CERTIFICADO 1'!B40</f>
        <v>#VALUE!</v>
      </c>
      <c r="N60" s="35" t="str">
        <f aca="false">'CERTIFICADO 1'!C40</f>
        <v/>
      </c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</row>
    <row r="61" customFormat="false" ht="15" hidden="false" customHeight="false" outlineLevel="0" collapsed="false">
      <c r="A61" s="36" t="n">
        <f aca="false">'Datos de condiciones'!A39</f>
        <v>36</v>
      </c>
      <c r="B61" s="37" t="e">
        <f aca="false">'Datos de condiciones'!B39</f>
        <v>#VALUE!</v>
      </c>
      <c r="C61" s="38" t="str">
        <f aca="false">'Datos de condiciones'!C39</f>
        <v/>
      </c>
      <c r="D61" s="39" t="e">
        <f aca="false">'Datos de condiciones'!D39</f>
        <v>#VALUE!</v>
      </c>
      <c r="E61" s="39" t="e">
        <f aca="false">'Datos de condiciones'!E39</f>
        <v>#VALUE!</v>
      </c>
      <c r="F61" s="39" t="e">
        <f aca="false">'Datos de condiciones'!F39</f>
        <v>#VALUE!</v>
      </c>
      <c r="G61" s="40" t="e">
        <f aca="false">'Datos de condiciones'!G39</f>
        <v>#VALUE!</v>
      </c>
      <c r="H61" s="35" t="str">
        <f aca="false">'CERTIFICADO 1'!D41</f>
        <v/>
      </c>
      <c r="I61" s="35" t="str">
        <f aca="false">'CERTIFICADO 1'!E41</f>
        <v/>
      </c>
      <c r="J61" s="41" t="str">
        <f aca="false">'CERTIFICADO 1'!F41</f>
        <v/>
      </c>
      <c r="K61" s="2"/>
      <c r="L61" s="42" t="str">
        <f aca="false">'CERTIFICADO 1'!A41</f>
        <v/>
      </c>
      <c r="M61" s="34" t="e">
        <f aca="false">'CERTIFICADO 1'!B41</f>
        <v>#VALUE!</v>
      </c>
      <c r="N61" s="35" t="str">
        <f aca="false">'CERTIFICADO 1'!C41</f>
        <v/>
      </c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</row>
    <row r="62" customFormat="false" ht="15" hidden="false" customHeight="false" outlineLevel="0" collapsed="false">
      <c r="A62" s="36" t="n">
        <f aca="false">'Datos de condiciones'!A40</f>
        <v>37</v>
      </c>
      <c r="B62" s="37" t="e">
        <f aca="false">'Datos de condiciones'!B40</f>
        <v>#VALUE!</v>
      </c>
      <c r="C62" s="38" t="str">
        <f aca="false">'Datos de condiciones'!C40</f>
        <v/>
      </c>
      <c r="D62" s="39" t="e">
        <f aca="false">'Datos de condiciones'!D40</f>
        <v>#VALUE!</v>
      </c>
      <c r="E62" s="39" t="e">
        <f aca="false">'Datos de condiciones'!E40</f>
        <v>#VALUE!</v>
      </c>
      <c r="F62" s="39" t="e">
        <f aca="false">'Datos de condiciones'!F40</f>
        <v>#VALUE!</v>
      </c>
      <c r="G62" s="40" t="e">
        <f aca="false">'Datos de condiciones'!G40</f>
        <v>#VALUE!</v>
      </c>
      <c r="H62" s="35" t="str">
        <f aca="false">'CERTIFICADO 1'!D42</f>
        <v/>
      </c>
      <c r="I62" s="35" t="str">
        <f aca="false">'CERTIFICADO 1'!E42</f>
        <v/>
      </c>
      <c r="J62" s="41" t="str">
        <f aca="false">'CERTIFICADO 1'!F42</f>
        <v/>
      </c>
      <c r="K62" s="2"/>
      <c r="L62" s="42" t="str">
        <f aca="false">'CERTIFICADO 1'!A42</f>
        <v/>
      </c>
      <c r="M62" s="34" t="e">
        <f aca="false">'CERTIFICADO 1'!B42</f>
        <v>#VALUE!</v>
      </c>
      <c r="N62" s="35" t="str">
        <f aca="false">'CERTIFICADO 1'!C42</f>
        <v/>
      </c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</row>
    <row r="63" customFormat="false" ht="15" hidden="false" customHeight="false" outlineLevel="0" collapsed="false">
      <c r="A63" s="36" t="n">
        <f aca="false">'Datos de condiciones'!A41</f>
        <v>38</v>
      </c>
      <c r="B63" s="37" t="e">
        <f aca="false">'Datos de condiciones'!B41</f>
        <v>#VALUE!</v>
      </c>
      <c r="C63" s="38" t="str">
        <f aca="false">'Datos de condiciones'!C41</f>
        <v/>
      </c>
      <c r="D63" s="39" t="e">
        <f aca="false">'Datos de condiciones'!D41</f>
        <v>#VALUE!</v>
      </c>
      <c r="E63" s="39" t="e">
        <f aca="false">'Datos de condiciones'!E41</f>
        <v>#VALUE!</v>
      </c>
      <c r="F63" s="39" t="e">
        <f aca="false">'Datos de condiciones'!F41</f>
        <v>#VALUE!</v>
      </c>
      <c r="G63" s="40" t="e">
        <f aca="false">'Datos de condiciones'!G41</f>
        <v>#VALUE!</v>
      </c>
      <c r="H63" s="35" t="str">
        <f aca="false">'CERTIFICADO 1'!D43</f>
        <v/>
      </c>
      <c r="I63" s="35" t="str">
        <f aca="false">'CERTIFICADO 1'!E43</f>
        <v/>
      </c>
      <c r="J63" s="41" t="str">
        <f aca="false">'CERTIFICADO 1'!F43</f>
        <v/>
      </c>
      <c r="K63" s="2"/>
      <c r="L63" s="42" t="str">
        <f aca="false">'CERTIFICADO 1'!A43</f>
        <v/>
      </c>
      <c r="M63" s="34" t="e">
        <f aca="false">'CERTIFICADO 1'!B43</f>
        <v>#VALUE!</v>
      </c>
      <c r="N63" s="35" t="str">
        <f aca="false">'CERTIFICADO 1'!C43</f>
        <v/>
      </c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</row>
    <row r="64" customFormat="false" ht="15" hidden="false" customHeight="false" outlineLevel="0" collapsed="false">
      <c r="A64" s="36" t="n">
        <f aca="false">'Datos de condiciones'!A42</f>
        <v>39</v>
      </c>
      <c r="B64" s="37" t="e">
        <f aca="false">'Datos de condiciones'!B42</f>
        <v>#VALUE!</v>
      </c>
      <c r="C64" s="38" t="str">
        <f aca="false">'Datos de condiciones'!C42</f>
        <v/>
      </c>
      <c r="D64" s="39" t="e">
        <f aca="false">'Datos de condiciones'!D42</f>
        <v>#VALUE!</v>
      </c>
      <c r="E64" s="39" t="e">
        <f aca="false">'Datos de condiciones'!E42</f>
        <v>#VALUE!</v>
      </c>
      <c r="F64" s="39" t="e">
        <f aca="false">'Datos de condiciones'!F42</f>
        <v>#VALUE!</v>
      </c>
      <c r="G64" s="40" t="e">
        <f aca="false">'Datos de condiciones'!G42</f>
        <v>#VALUE!</v>
      </c>
      <c r="H64" s="35" t="str">
        <f aca="false">'CERTIFICADO 1'!D44</f>
        <v/>
      </c>
      <c r="I64" s="35" t="str">
        <f aca="false">'CERTIFICADO 1'!E44</f>
        <v/>
      </c>
      <c r="J64" s="41" t="str">
        <f aca="false">'CERTIFICADO 1'!F44</f>
        <v/>
      </c>
      <c r="K64" s="2"/>
      <c r="L64" s="42" t="str">
        <f aca="false">'CERTIFICADO 1'!A44</f>
        <v/>
      </c>
      <c r="M64" s="34" t="e">
        <f aca="false">'CERTIFICADO 1'!B44</f>
        <v>#VALUE!</v>
      </c>
      <c r="N64" s="35" t="str">
        <f aca="false">'CERTIFICADO 1'!C44</f>
        <v/>
      </c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</row>
    <row r="65" customFormat="false" ht="15" hidden="false" customHeight="false" outlineLevel="0" collapsed="false">
      <c r="A65" s="36" t="n">
        <f aca="false">'Datos de condiciones'!A43</f>
        <v>40</v>
      </c>
      <c r="B65" s="37" t="e">
        <f aca="false">'Datos de condiciones'!B43</f>
        <v>#VALUE!</v>
      </c>
      <c r="C65" s="38" t="str">
        <f aca="false">'Datos de condiciones'!C43</f>
        <v/>
      </c>
      <c r="D65" s="39" t="e">
        <f aca="false">'Datos de condiciones'!D43</f>
        <v>#VALUE!</v>
      </c>
      <c r="E65" s="39" t="e">
        <f aca="false">'Datos de condiciones'!E43</f>
        <v>#VALUE!</v>
      </c>
      <c r="F65" s="39" t="e">
        <f aca="false">'Datos de condiciones'!F43</f>
        <v>#VALUE!</v>
      </c>
      <c r="G65" s="40" t="e">
        <f aca="false">'Datos de condiciones'!G43</f>
        <v>#VALUE!</v>
      </c>
      <c r="H65" s="35" t="str">
        <f aca="false">'CERTIFICADO 1'!D45</f>
        <v/>
      </c>
      <c r="I65" s="35" t="str">
        <f aca="false">'CERTIFICADO 1'!E45</f>
        <v/>
      </c>
      <c r="J65" s="41" t="str">
        <f aca="false">'CERTIFICADO 1'!F45</f>
        <v/>
      </c>
      <c r="K65" s="2"/>
      <c r="L65" s="42" t="str">
        <f aca="false">'CERTIFICADO 1'!A45</f>
        <v/>
      </c>
      <c r="M65" s="34" t="e">
        <f aca="false">'CERTIFICADO 1'!B45</f>
        <v>#VALUE!</v>
      </c>
      <c r="N65" s="35" t="str">
        <f aca="false">'CERTIFICADO 1'!C45</f>
        <v/>
      </c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</row>
    <row r="66" customFormat="false" ht="15" hidden="false" customHeight="false" outlineLevel="0" collapsed="false">
      <c r="A66" s="36" t="n">
        <f aca="false">'Datos de condiciones'!A44</f>
        <v>41</v>
      </c>
      <c r="B66" s="37" t="e">
        <f aca="false">'Datos de condiciones'!B44</f>
        <v>#VALUE!</v>
      </c>
      <c r="C66" s="38" t="str">
        <f aca="false">'Datos de condiciones'!C44</f>
        <v/>
      </c>
      <c r="D66" s="39" t="e">
        <f aca="false">'Datos de condiciones'!D44</f>
        <v>#VALUE!</v>
      </c>
      <c r="E66" s="39" t="e">
        <f aca="false">'Datos de condiciones'!E44</f>
        <v>#VALUE!</v>
      </c>
      <c r="F66" s="39" t="e">
        <f aca="false">'Datos de condiciones'!F44</f>
        <v>#VALUE!</v>
      </c>
      <c r="G66" s="40" t="e">
        <f aca="false">'Datos de condiciones'!G44</f>
        <v>#VALUE!</v>
      </c>
      <c r="H66" s="35" t="str">
        <f aca="false">'CERTIFICADO 1'!D46</f>
        <v/>
      </c>
      <c r="I66" s="35" t="str">
        <f aca="false">'CERTIFICADO 1'!E46</f>
        <v/>
      </c>
      <c r="J66" s="41" t="str">
        <f aca="false">'CERTIFICADO 1'!F46</f>
        <v/>
      </c>
      <c r="K66" s="2"/>
      <c r="L66" s="42" t="str">
        <f aca="false">'CERTIFICADO 1'!A46</f>
        <v/>
      </c>
      <c r="M66" s="34" t="e">
        <f aca="false">'CERTIFICADO 1'!B46</f>
        <v>#VALUE!</v>
      </c>
      <c r="N66" s="35" t="str">
        <f aca="false">'CERTIFICADO 1'!C46</f>
        <v/>
      </c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</row>
    <row r="67" customFormat="false" ht="15" hidden="false" customHeight="false" outlineLevel="0" collapsed="false">
      <c r="A67" s="36" t="n">
        <f aca="false">'Datos de condiciones'!A45</f>
        <v>42</v>
      </c>
      <c r="B67" s="37" t="e">
        <f aca="false">'Datos de condiciones'!B45</f>
        <v>#VALUE!</v>
      </c>
      <c r="C67" s="38" t="str">
        <f aca="false">'Datos de condiciones'!C45</f>
        <v/>
      </c>
      <c r="D67" s="39" t="e">
        <f aca="false">'Datos de condiciones'!D45</f>
        <v>#VALUE!</v>
      </c>
      <c r="E67" s="39" t="e">
        <f aca="false">'Datos de condiciones'!E45</f>
        <v>#VALUE!</v>
      </c>
      <c r="F67" s="39" t="e">
        <f aca="false">'Datos de condiciones'!F45</f>
        <v>#VALUE!</v>
      </c>
      <c r="G67" s="40" t="e">
        <f aca="false">'Datos de condiciones'!G45</f>
        <v>#VALUE!</v>
      </c>
      <c r="H67" s="35" t="str">
        <f aca="false">'CERTIFICADO 1'!D47</f>
        <v/>
      </c>
      <c r="I67" s="35" t="str">
        <f aca="false">'CERTIFICADO 1'!E47</f>
        <v/>
      </c>
      <c r="J67" s="41" t="str">
        <f aca="false">'CERTIFICADO 1'!F47</f>
        <v/>
      </c>
      <c r="K67" s="2"/>
      <c r="L67" s="42" t="str">
        <f aca="false">'CERTIFICADO 1'!A47</f>
        <v/>
      </c>
      <c r="M67" s="34" t="e">
        <f aca="false">'CERTIFICADO 1'!B47</f>
        <v>#VALUE!</v>
      </c>
      <c r="N67" s="35" t="str">
        <f aca="false">'CERTIFICADO 1'!C47</f>
        <v/>
      </c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</row>
    <row r="68" customFormat="false" ht="15" hidden="false" customHeight="false" outlineLevel="0" collapsed="false">
      <c r="A68" s="36" t="n">
        <f aca="false">'Datos de condiciones'!A46</f>
        <v>43</v>
      </c>
      <c r="B68" s="37" t="e">
        <f aca="false">'Datos de condiciones'!B46</f>
        <v>#VALUE!</v>
      </c>
      <c r="C68" s="38" t="str">
        <f aca="false">'Datos de condiciones'!C46</f>
        <v/>
      </c>
      <c r="D68" s="39" t="e">
        <f aca="false">'Datos de condiciones'!D46</f>
        <v>#VALUE!</v>
      </c>
      <c r="E68" s="39" t="e">
        <f aca="false">'Datos de condiciones'!E46</f>
        <v>#VALUE!</v>
      </c>
      <c r="F68" s="39" t="e">
        <f aca="false">'Datos de condiciones'!F46</f>
        <v>#VALUE!</v>
      </c>
      <c r="G68" s="40" t="e">
        <f aca="false">'Datos de condiciones'!G46</f>
        <v>#VALUE!</v>
      </c>
      <c r="H68" s="35" t="str">
        <f aca="false">'CERTIFICADO 1'!D48</f>
        <v/>
      </c>
      <c r="I68" s="35" t="str">
        <f aca="false">'CERTIFICADO 1'!E48</f>
        <v/>
      </c>
      <c r="J68" s="41" t="str">
        <f aca="false">'CERTIFICADO 1'!F48</f>
        <v/>
      </c>
      <c r="K68" s="2"/>
      <c r="L68" s="42" t="str">
        <f aca="false">'CERTIFICADO 1'!A48</f>
        <v/>
      </c>
      <c r="M68" s="34" t="e">
        <f aca="false">'CERTIFICADO 1'!B48</f>
        <v>#VALUE!</v>
      </c>
      <c r="N68" s="35" t="str">
        <f aca="false">'CERTIFICADO 1'!C48</f>
        <v/>
      </c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</row>
    <row r="69" customFormat="false" ht="15" hidden="false" customHeight="false" outlineLevel="0" collapsed="false">
      <c r="A69" s="36" t="n">
        <f aca="false">'Datos de condiciones'!A47</f>
        <v>44</v>
      </c>
      <c r="B69" s="37" t="e">
        <f aca="false">'Datos de condiciones'!B47</f>
        <v>#VALUE!</v>
      </c>
      <c r="C69" s="38" t="str">
        <f aca="false">'Datos de condiciones'!C47</f>
        <v/>
      </c>
      <c r="D69" s="39" t="e">
        <f aca="false">'Datos de condiciones'!D47</f>
        <v>#VALUE!</v>
      </c>
      <c r="E69" s="39" t="e">
        <f aca="false">'Datos de condiciones'!E47</f>
        <v>#VALUE!</v>
      </c>
      <c r="F69" s="39" t="e">
        <f aca="false">'Datos de condiciones'!F47</f>
        <v>#VALUE!</v>
      </c>
      <c r="G69" s="40" t="e">
        <f aca="false">'Datos de condiciones'!G47</f>
        <v>#VALUE!</v>
      </c>
      <c r="H69" s="35" t="str">
        <f aca="false">'CERTIFICADO 1'!D49</f>
        <v/>
      </c>
      <c r="I69" s="35" t="str">
        <f aca="false">'CERTIFICADO 1'!E49</f>
        <v/>
      </c>
      <c r="J69" s="41" t="str">
        <f aca="false">'CERTIFICADO 1'!F49</f>
        <v/>
      </c>
      <c r="K69" s="2"/>
      <c r="L69" s="42" t="str">
        <f aca="false">'CERTIFICADO 1'!A49</f>
        <v/>
      </c>
      <c r="M69" s="34" t="e">
        <f aca="false">'CERTIFICADO 1'!B49</f>
        <v>#VALUE!</v>
      </c>
      <c r="N69" s="35" t="str">
        <f aca="false">'CERTIFICADO 1'!C49</f>
        <v/>
      </c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</row>
    <row r="70" customFormat="false" ht="15" hidden="false" customHeight="false" outlineLevel="0" collapsed="false">
      <c r="A70" s="36" t="n">
        <f aca="false">'Datos de condiciones'!A48</f>
        <v>45</v>
      </c>
      <c r="B70" s="37" t="e">
        <f aca="false">'Datos de condiciones'!B48</f>
        <v>#VALUE!</v>
      </c>
      <c r="C70" s="38" t="str">
        <f aca="false">'Datos de condiciones'!C48</f>
        <v/>
      </c>
      <c r="D70" s="39" t="e">
        <f aca="false">'Datos de condiciones'!D48</f>
        <v>#VALUE!</v>
      </c>
      <c r="E70" s="39" t="e">
        <f aca="false">'Datos de condiciones'!E48</f>
        <v>#VALUE!</v>
      </c>
      <c r="F70" s="39" t="e">
        <f aca="false">'Datos de condiciones'!F48</f>
        <v>#VALUE!</v>
      </c>
      <c r="G70" s="40" t="e">
        <f aca="false">'Datos de condiciones'!G48</f>
        <v>#VALUE!</v>
      </c>
      <c r="H70" s="35" t="str">
        <f aca="false">'CERTIFICADO 1'!D50</f>
        <v/>
      </c>
      <c r="I70" s="35" t="str">
        <f aca="false">'CERTIFICADO 1'!E50</f>
        <v/>
      </c>
      <c r="J70" s="41" t="str">
        <f aca="false">'CERTIFICADO 1'!F50</f>
        <v/>
      </c>
      <c r="K70" s="2"/>
      <c r="L70" s="42" t="str">
        <f aca="false">'CERTIFICADO 1'!A50</f>
        <v/>
      </c>
      <c r="M70" s="34" t="e">
        <f aca="false">'CERTIFICADO 1'!B50</f>
        <v>#VALUE!</v>
      </c>
      <c r="N70" s="35" t="str">
        <f aca="false">'CERTIFICADO 1'!C50</f>
        <v/>
      </c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</row>
    <row r="71" customFormat="false" ht="15" hidden="false" customHeight="false" outlineLevel="0" collapsed="false">
      <c r="A71" s="36" t="n">
        <f aca="false">'Datos de condiciones'!A49</f>
        <v>46</v>
      </c>
      <c r="B71" s="37" t="e">
        <f aca="false">'Datos de condiciones'!B49</f>
        <v>#VALUE!</v>
      </c>
      <c r="C71" s="38" t="str">
        <f aca="false">'Datos de condiciones'!C49</f>
        <v/>
      </c>
      <c r="D71" s="39" t="e">
        <f aca="false">'Datos de condiciones'!D49</f>
        <v>#VALUE!</v>
      </c>
      <c r="E71" s="39" t="e">
        <f aca="false">'Datos de condiciones'!E49</f>
        <v>#VALUE!</v>
      </c>
      <c r="F71" s="39" t="e">
        <f aca="false">'Datos de condiciones'!F49</f>
        <v>#VALUE!</v>
      </c>
      <c r="G71" s="40" t="e">
        <f aca="false">'Datos de condiciones'!G49</f>
        <v>#VALUE!</v>
      </c>
      <c r="H71" s="35" t="str">
        <f aca="false">'CERTIFICADO 1'!D51</f>
        <v/>
      </c>
      <c r="I71" s="35" t="str">
        <f aca="false">'CERTIFICADO 1'!E51</f>
        <v/>
      </c>
      <c r="J71" s="41" t="str">
        <f aca="false">'CERTIFICADO 1'!F51</f>
        <v/>
      </c>
      <c r="K71" s="2"/>
      <c r="L71" s="42" t="str">
        <f aca="false">'CERTIFICADO 1'!A51</f>
        <v/>
      </c>
      <c r="M71" s="34" t="e">
        <f aca="false">'CERTIFICADO 1'!B51</f>
        <v>#VALUE!</v>
      </c>
      <c r="N71" s="35" t="str">
        <f aca="false">'CERTIFICADO 1'!C51</f>
        <v/>
      </c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</row>
    <row r="72" customFormat="false" ht="15" hidden="false" customHeight="false" outlineLevel="0" collapsed="false">
      <c r="A72" s="36" t="n">
        <f aca="false">'Datos de condiciones'!A50</f>
        <v>47</v>
      </c>
      <c r="B72" s="37" t="e">
        <f aca="false">'Datos de condiciones'!B50</f>
        <v>#VALUE!</v>
      </c>
      <c r="C72" s="38" t="str">
        <f aca="false">'Datos de condiciones'!C50</f>
        <v/>
      </c>
      <c r="D72" s="39" t="e">
        <f aca="false">'Datos de condiciones'!D50</f>
        <v>#VALUE!</v>
      </c>
      <c r="E72" s="39" t="e">
        <f aca="false">'Datos de condiciones'!E50</f>
        <v>#VALUE!</v>
      </c>
      <c r="F72" s="39" t="e">
        <f aca="false">'Datos de condiciones'!F50</f>
        <v>#VALUE!</v>
      </c>
      <c r="G72" s="40" t="e">
        <f aca="false">'Datos de condiciones'!G50</f>
        <v>#VALUE!</v>
      </c>
      <c r="H72" s="35" t="str">
        <f aca="false">'CERTIFICADO 1'!D52</f>
        <v/>
      </c>
      <c r="I72" s="35" t="str">
        <f aca="false">'CERTIFICADO 1'!E52</f>
        <v/>
      </c>
      <c r="J72" s="41" t="str">
        <f aca="false">'CERTIFICADO 1'!F52</f>
        <v/>
      </c>
      <c r="K72" s="2"/>
      <c r="L72" s="42" t="str">
        <f aca="false">'CERTIFICADO 1'!A52</f>
        <v/>
      </c>
      <c r="M72" s="34" t="e">
        <f aca="false">'CERTIFICADO 1'!B52</f>
        <v>#VALUE!</v>
      </c>
      <c r="N72" s="35" t="str">
        <f aca="false">'CERTIFICADO 1'!C52</f>
        <v/>
      </c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</row>
    <row r="73" customFormat="false" ht="15" hidden="false" customHeight="false" outlineLevel="0" collapsed="false">
      <c r="A73" s="36" t="n">
        <f aca="false">'Datos de condiciones'!A51</f>
        <v>48</v>
      </c>
      <c r="B73" s="37" t="e">
        <f aca="false">'Datos de condiciones'!B51</f>
        <v>#VALUE!</v>
      </c>
      <c r="C73" s="38" t="str">
        <f aca="false">'Datos de condiciones'!C51</f>
        <v/>
      </c>
      <c r="D73" s="39" t="e">
        <f aca="false">'Datos de condiciones'!D51</f>
        <v>#VALUE!</v>
      </c>
      <c r="E73" s="39" t="e">
        <f aca="false">'Datos de condiciones'!E51</f>
        <v>#VALUE!</v>
      </c>
      <c r="F73" s="39" t="e">
        <f aca="false">'Datos de condiciones'!F51</f>
        <v>#VALUE!</v>
      </c>
      <c r="G73" s="40" t="e">
        <f aca="false">'Datos de condiciones'!G51</f>
        <v>#VALUE!</v>
      </c>
      <c r="H73" s="35" t="str">
        <f aca="false">'CERTIFICADO 1'!D53</f>
        <v/>
      </c>
      <c r="I73" s="35" t="str">
        <f aca="false">'CERTIFICADO 1'!E53</f>
        <v/>
      </c>
      <c r="J73" s="41" t="str">
        <f aca="false">'CERTIFICADO 1'!F53</f>
        <v/>
      </c>
      <c r="K73" s="2"/>
      <c r="L73" s="42" t="str">
        <f aca="false">'CERTIFICADO 1'!A53</f>
        <v/>
      </c>
      <c r="M73" s="34" t="e">
        <f aca="false">'CERTIFICADO 1'!B53</f>
        <v>#VALUE!</v>
      </c>
      <c r="N73" s="35" t="str">
        <f aca="false">'CERTIFICADO 1'!C53</f>
        <v/>
      </c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</row>
    <row r="74" customFormat="false" ht="15" hidden="false" customHeight="false" outlineLevel="0" collapsed="false">
      <c r="A74" s="36" t="n">
        <f aca="false">'Datos de condiciones'!A52</f>
        <v>49</v>
      </c>
      <c r="B74" s="37" t="e">
        <f aca="false">'Datos de condiciones'!B52</f>
        <v>#VALUE!</v>
      </c>
      <c r="C74" s="38" t="str">
        <f aca="false">'Datos de condiciones'!C52</f>
        <v/>
      </c>
      <c r="D74" s="39" t="e">
        <f aca="false">'Datos de condiciones'!D52</f>
        <v>#VALUE!</v>
      </c>
      <c r="E74" s="39" t="e">
        <f aca="false">'Datos de condiciones'!E52</f>
        <v>#VALUE!</v>
      </c>
      <c r="F74" s="39" t="e">
        <f aca="false">'Datos de condiciones'!F52</f>
        <v>#VALUE!</v>
      </c>
      <c r="G74" s="40" t="e">
        <f aca="false">'Datos de condiciones'!G52</f>
        <v>#VALUE!</v>
      </c>
      <c r="H74" s="35" t="str">
        <f aca="false">'CERTIFICADO 1'!D54</f>
        <v/>
      </c>
      <c r="I74" s="35" t="str">
        <f aca="false">'CERTIFICADO 1'!E54</f>
        <v/>
      </c>
      <c r="J74" s="41" t="str">
        <f aca="false">'CERTIFICADO 1'!F54</f>
        <v/>
      </c>
      <c r="K74" s="2"/>
      <c r="L74" s="42" t="str">
        <f aca="false">'CERTIFICADO 1'!A54</f>
        <v/>
      </c>
      <c r="M74" s="34" t="e">
        <f aca="false">'CERTIFICADO 1'!B54</f>
        <v>#VALUE!</v>
      </c>
      <c r="N74" s="35" t="str">
        <f aca="false">'CERTIFICADO 1'!C54</f>
        <v/>
      </c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</row>
    <row r="75" customFormat="false" ht="15" hidden="false" customHeight="false" outlineLevel="0" collapsed="false">
      <c r="A75" s="36" t="n">
        <f aca="false">'Datos de condiciones'!A53</f>
        <v>50</v>
      </c>
      <c r="B75" s="37" t="e">
        <f aca="false">'Datos de condiciones'!B53</f>
        <v>#VALUE!</v>
      </c>
      <c r="C75" s="38" t="str">
        <f aca="false">'Datos de condiciones'!C53</f>
        <v/>
      </c>
      <c r="D75" s="39" t="e">
        <f aca="false">'Datos de condiciones'!D53</f>
        <v>#VALUE!</v>
      </c>
      <c r="E75" s="39" t="e">
        <f aca="false">'Datos de condiciones'!E53</f>
        <v>#VALUE!</v>
      </c>
      <c r="F75" s="39" t="e">
        <f aca="false">'Datos de condiciones'!F53</f>
        <v>#VALUE!</v>
      </c>
      <c r="G75" s="40" t="e">
        <f aca="false">'Datos de condiciones'!G53</f>
        <v>#VALUE!</v>
      </c>
      <c r="H75" s="35" t="str">
        <f aca="false">'CERTIFICADO 1'!D55</f>
        <v/>
      </c>
      <c r="I75" s="35" t="str">
        <f aca="false">'CERTIFICADO 1'!E55</f>
        <v/>
      </c>
      <c r="J75" s="41" t="str">
        <f aca="false">'CERTIFICADO 1'!F55</f>
        <v/>
      </c>
      <c r="K75" s="2"/>
      <c r="L75" s="42" t="str">
        <f aca="false">'CERTIFICADO 1'!A55</f>
        <v/>
      </c>
      <c r="M75" s="34" t="e">
        <f aca="false">'CERTIFICADO 1'!B55</f>
        <v>#VALUE!</v>
      </c>
      <c r="N75" s="35" t="str">
        <f aca="false">'CERTIFICADO 1'!C55</f>
        <v/>
      </c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</row>
    <row r="76" customFormat="false" ht="15" hidden="false" customHeight="false" outlineLevel="0" collapsed="false">
      <c r="A76" s="36" t="n">
        <f aca="false">'Datos de condiciones'!A54</f>
        <v>51</v>
      </c>
      <c r="B76" s="37" t="e">
        <f aca="false">'Datos de condiciones'!B54</f>
        <v>#VALUE!</v>
      </c>
      <c r="C76" s="38" t="str">
        <f aca="false">'Datos de condiciones'!C54</f>
        <v/>
      </c>
      <c r="D76" s="39" t="e">
        <f aca="false">'Datos de condiciones'!D54</f>
        <v>#VALUE!</v>
      </c>
      <c r="E76" s="39" t="e">
        <f aca="false">'Datos de condiciones'!E54</f>
        <v>#VALUE!</v>
      </c>
      <c r="F76" s="39" t="e">
        <f aca="false">'Datos de condiciones'!F54</f>
        <v>#VALUE!</v>
      </c>
      <c r="G76" s="40" t="e">
        <f aca="false">'Datos de condiciones'!G54</f>
        <v>#VALUE!</v>
      </c>
      <c r="H76" s="35" t="str">
        <f aca="false">'CERTIFICADO 1'!D56</f>
        <v/>
      </c>
      <c r="I76" s="35" t="str">
        <f aca="false">'CERTIFICADO 1'!E56</f>
        <v/>
      </c>
      <c r="J76" s="41" t="str">
        <f aca="false">'CERTIFICADO 1'!F56</f>
        <v/>
      </c>
      <c r="K76" s="2"/>
      <c r="L76" s="42" t="str">
        <f aca="false">'CERTIFICADO 1'!A56</f>
        <v/>
      </c>
      <c r="M76" s="34" t="e">
        <f aca="false">'CERTIFICADO 1'!B56</f>
        <v>#VALUE!</v>
      </c>
      <c r="N76" s="35" t="str">
        <f aca="false">'CERTIFICADO 1'!C56</f>
        <v/>
      </c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</row>
    <row r="77" customFormat="false" ht="15" hidden="false" customHeight="false" outlineLevel="0" collapsed="false">
      <c r="A77" s="36" t="n">
        <f aca="false">'Datos de condiciones'!A55</f>
        <v>52</v>
      </c>
      <c r="B77" s="37" t="e">
        <f aca="false">'Datos de condiciones'!B55</f>
        <v>#VALUE!</v>
      </c>
      <c r="C77" s="38" t="str">
        <f aca="false">'Datos de condiciones'!C55</f>
        <v/>
      </c>
      <c r="D77" s="39" t="e">
        <f aca="false">'Datos de condiciones'!D55</f>
        <v>#VALUE!</v>
      </c>
      <c r="E77" s="39" t="e">
        <f aca="false">'Datos de condiciones'!E55</f>
        <v>#VALUE!</v>
      </c>
      <c r="F77" s="39" t="e">
        <f aca="false">'Datos de condiciones'!F55</f>
        <v>#VALUE!</v>
      </c>
      <c r="G77" s="40" t="e">
        <f aca="false">'Datos de condiciones'!G55</f>
        <v>#VALUE!</v>
      </c>
      <c r="H77" s="35" t="str">
        <f aca="false">'CERTIFICADO 1'!D57</f>
        <v/>
      </c>
      <c r="I77" s="35" t="str">
        <f aca="false">'CERTIFICADO 1'!E57</f>
        <v/>
      </c>
      <c r="J77" s="41" t="str">
        <f aca="false">'CERTIFICADO 1'!F57</f>
        <v/>
      </c>
      <c r="K77" s="2"/>
      <c r="L77" s="42" t="str">
        <f aca="false">'CERTIFICADO 1'!A57</f>
        <v/>
      </c>
      <c r="M77" s="34" t="e">
        <f aca="false">'CERTIFICADO 1'!B57</f>
        <v>#VALUE!</v>
      </c>
      <c r="N77" s="35" t="str">
        <f aca="false">'CERTIFICADO 1'!C57</f>
        <v/>
      </c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</row>
    <row r="78" customFormat="false" ht="15" hidden="false" customHeight="false" outlineLevel="0" collapsed="false">
      <c r="A78" s="36" t="n">
        <f aca="false">'Datos de condiciones'!A56</f>
        <v>53</v>
      </c>
      <c r="B78" s="37" t="e">
        <f aca="false">'Datos de condiciones'!B56</f>
        <v>#VALUE!</v>
      </c>
      <c r="C78" s="38" t="str">
        <f aca="false">'Datos de condiciones'!C56</f>
        <v/>
      </c>
      <c r="D78" s="39" t="e">
        <f aca="false">'Datos de condiciones'!D56</f>
        <v>#VALUE!</v>
      </c>
      <c r="E78" s="39" t="e">
        <f aca="false">'Datos de condiciones'!E56</f>
        <v>#VALUE!</v>
      </c>
      <c r="F78" s="39" t="e">
        <f aca="false">'Datos de condiciones'!F56</f>
        <v>#VALUE!</v>
      </c>
      <c r="G78" s="40" t="e">
        <f aca="false">'Datos de condiciones'!G56</f>
        <v>#VALUE!</v>
      </c>
      <c r="H78" s="35" t="str">
        <f aca="false">'CERTIFICADO 1'!D58</f>
        <v/>
      </c>
      <c r="I78" s="35" t="str">
        <f aca="false">'CERTIFICADO 1'!E58</f>
        <v/>
      </c>
      <c r="J78" s="41" t="str">
        <f aca="false">'CERTIFICADO 1'!F58</f>
        <v/>
      </c>
      <c r="K78" s="2"/>
      <c r="L78" s="42" t="str">
        <f aca="false">'CERTIFICADO 1'!A58</f>
        <v/>
      </c>
      <c r="M78" s="34" t="e">
        <f aca="false">'CERTIFICADO 1'!B58</f>
        <v>#VALUE!</v>
      </c>
      <c r="N78" s="35" t="str">
        <f aca="false">'CERTIFICADO 1'!C58</f>
        <v/>
      </c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</row>
    <row r="79" customFormat="false" ht="15" hidden="false" customHeight="false" outlineLevel="0" collapsed="false">
      <c r="A79" s="36" t="n">
        <f aca="false">'Datos de condiciones'!A57</f>
        <v>54</v>
      </c>
      <c r="B79" s="37" t="e">
        <f aca="false">'Datos de condiciones'!B57</f>
        <v>#VALUE!</v>
      </c>
      <c r="C79" s="38" t="str">
        <f aca="false">'Datos de condiciones'!C57</f>
        <v/>
      </c>
      <c r="D79" s="39" t="e">
        <f aca="false">'Datos de condiciones'!D57</f>
        <v>#VALUE!</v>
      </c>
      <c r="E79" s="39" t="e">
        <f aca="false">'Datos de condiciones'!E57</f>
        <v>#VALUE!</v>
      </c>
      <c r="F79" s="39" t="e">
        <f aca="false">'Datos de condiciones'!F57</f>
        <v>#VALUE!</v>
      </c>
      <c r="G79" s="40" t="e">
        <f aca="false">'Datos de condiciones'!G57</f>
        <v>#VALUE!</v>
      </c>
      <c r="H79" s="35" t="str">
        <f aca="false">'CERTIFICADO 1'!D59</f>
        <v/>
      </c>
      <c r="I79" s="35" t="str">
        <f aca="false">'CERTIFICADO 1'!E59</f>
        <v/>
      </c>
      <c r="J79" s="41" t="str">
        <f aca="false">'CERTIFICADO 1'!F59</f>
        <v/>
      </c>
      <c r="K79" s="2"/>
      <c r="L79" s="42" t="str">
        <f aca="false">'CERTIFICADO 1'!A59</f>
        <v/>
      </c>
      <c r="M79" s="34" t="e">
        <f aca="false">'CERTIFICADO 1'!B59</f>
        <v>#VALUE!</v>
      </c>
      <c r="N79" s="35" t="str">
        <f aca="false">'CERTIFICADO 1'!C59</f>
        <v/>
      </c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</row>
    <row r="80" customFormat="false" ht="15" hidden="false" customHeight="false" outlineLevel="0" collapsed="false">
      <c r="A80" s="36" t="n">
        <f aca="false">'Datos de condiciones'!A58</f>
        <v>55</v>
      </c>
      <c r="B80" s="37" t="e">
        <f aca="false">'Datos de condiciones'!B58</f>
        <v>#VALUE!</v>
      </c>
      <c r="C80" s="38" t="str">
        <f aca="false">'Datos de condiciones'!C58</f>
        <v/>
      </c>
      <c r="D80" s="39" t="e">
        <f aca="false">'Datos de condiciones'!D58</f>
        <v>#VALUE!</v>
      </c>
      <c r="E80" s="39" t="e">
        <f aca="false">'Datos de condiciones'!E58</f>
        <v>#VALUE!</v>
      </c>
      <c r="F80" s="39" t="e">
        <f aca="false">'Datos de condiciones'!F58</f>
        <v>#VALUE!</v>
      </c>
      <c r="G80" s="40" t="e">
        <f aca="false">'Datos de condiciones'!G58</f>
        <v>#VALUE!</v>
      </c>
      <c r="H80" s="35" t="str">
        <f aca="false">'CERTIFICADO 1'!D60</f>
        <v/>
      </c>
      <c r="I80" s="35" t="str">
        <f aca="false">'CERTIFICADO 1'!E60</f>
        <v/>
      </c>
      <c r="J80" s="41" t="str">
        <f aca="false">'CERTIFICADO 1'!F60</f>
        <v/>
      </c>
      <c r="K80" s="2"/>
      <c r="L80" s="42" t="str">
        <f aca="false">'CERTIFICADO 1'!A60</f>
        <v/>
      </c>
      <c r="M80" s="34" t="e">
        <f aca="false">'CERTIFICADO 1'!B60</f>
        <v>#VALUE!</v>
      </c>
      <c r="N80" s="35" t="str">
        <f aca="false">'CERTIFICADO 1'!C60</f>
        <v/>
      </c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</row>
    <row r="81" customFormat="false" ht="15" hidden="false" customHeight="false" outlineLevel="0" collapsed="false">
      <c r="A81" s="36" t="n">
        <f aca="false">'Datos de condiciones'!A59</f>
        <v>56</v>
      </c>
      <c r="B81" s="37" t="e">
        <f aca="false">'Datos de condiciones'!B59</f>
        <v>#VALUE!</v>
      </c>
      <c r="C81" s="38" t="str">
        <f aca="false">'Datos de condiciones'!C59</f>
        <v/>
      </c>
      <c r="D81" s="39" t="e">
        <f aca="false">'Datos de condiciones'!D59</f>
        <v>#VALUE!</v>
      </c>
      <c r="E81" s="39" t="e">
        <f aca="false">'Datos de condiciones'!E59</f>
        <v>#VALUE!</v>
      </c>
      <c r="F81" s="39" t="e">
        <f aca="false">'Datos de condiciones'!F59</f>
        <v>#VALUE!</v>
      </c>
      <c r="G81" s="40" t="e">
        <f aca="false">'Datos de condiciones'!G59</f>
        <v>#VALUE!</v>
      </c>
      <c r="H81" s="35" t="str">
        <f aca="false">'CERTIFICADO 1'!D61</f>
        <v/>
      </c>
      <c r="I81" s="35" t="str">
        <f aca="false">'CERTIFICADO 1'!E61</f>
        <v/>
      </c>
      <c r="J81" s="41" t="str">
        <f aca="false">'CERTIFICADO 1'!F61</f>
        <v/>
      </c>
      <c r="K81" s="2"/>
      <c r="L81" s="42" t="str">
        <f aca="false">'CERTIFICADO 1'!A61</f>
        <v/>
      </c>
      <c r="M81" s="34" t="e">
        <f aca="false">'CERTIFICADO 1'!B61</f>
        <v>#VALUE!</v>
      </c>
      <c r="N81" s="35" t="str">
        <f aca="false">'CERTIFICADO 1'!C61</f>
        <v/>
      </c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</row>
    <row r="82" customFormat="false" ht="15" hidden="false" customHeight="false" outlineLevel="0" collapsed="false">
      <c r="A82" s="36" t="n">
        <f aca="false">'Datos de condiciones'!A60</f>
        <v>57</v>
      </c>
      <c r="B82" s="37" t="e">
        <f aca="false">'Datos de condiciones'!B60</f>
        <v>#VALUE!</v>
      </c>
      <c r="C82" s="38" t="str">
        <f aca="false">'Datos de condiciones'!C60</f>
        <v/>
      </c>
      <c r="D82" s="39" t="e">
        <f aca="false">'Datos de condiciones'!D60</f>
        <v>#VALUE!</v>
      </c>
      <c r="E82" s="39" t="e">
        <f aca="false">'Datos de condiciones'!E60</f>
        <v>#VALUE!</v>
      </c>
      <c r="F82" s="39" t="e">
        <f aca="false">'Datos de condiciones'!F60</f>
        <v>#VALUE!</v>
      </c>
      <c r="G82" s="40" t="e">
        <f aca="false">'Datos de condiciones'!G60</f>
        <v>#VALUE!</v>
      </c>
      <c r="H82" s="35" t="str">
        <f aca="false">'CERTIFICADO 1'!D62</f>
        <v/>
      </c>
      <c r="I82" s="35" t="str">
        <f aca="false">'CERTIFICADO 1'!E62</f>
        <v/>
      </c>
      <c r="J82" s="41" t="str">
        <f aca="false">'CERTIFICADO 1'!F62</f>
        <v/>
      </c>
      <c r="K82" s="2"/>
      <c r="L82" s="42" t="str">
        <f aca="false">'CERTIFICADO 1'!A62</f>
        <v/>
      </c>
      <c r="M82" s="34" t="e">
        <f aca="false">'CERTIFICADO 1'!B62</f>
        <v>#VALUE!</v>
      </c>
      <c r="N82" s="35" t="str">
        <f aca="false">'CERTIFICADO 1'!C62</f>
        <v/>
      </c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</row>
    <row r="83" customFormat="false" ht="15" hidden="false" customHeight="false" outlineLevel="0" collapsed="false">
      <c r="A83" s="36" t="n">
        <f aca="false">'Datos de condiciones'!A61</f>
        <v>58</v>
      </c>
      <c r="B83" s="37" t="e">
        <f aca="false">'Datos de condiciones'!B61</f>
        <v>#VALUE!</v>
      </c>
      <c r="C83" s="38" t="str">
        <f aca="false">'Datos de condiciones'!C61</f>
        <v/>
      </c>
      <c r="D83" s="39" t="e">
        <f aca="false">'Datos de condiciones'!D61</f>
        <v>#VALUE!</v>
      </c>
      <c r="E83" s="39" t="e">
        <f aca="false">'Datos de condiciones'!E61</f>
        <v>#VALUE!</v>
      </c>
      <c r="F83" s="39" t="e">
        <f aca="false">'Datos de condiciones'!F61</f>
        <v>#VALUE!</v>
      </c>
      <c r="G83" s="40" t="e">
        <f aca="false">'Datos de condiciones'!G61</f>
        <v>#VALUE!</v>
      </c>
      <c r="H83" s="35" t="str">
        <f aca="false">'CERTIFICADO 1'!D63</f>
        <v/>
      </c>
      <c r="I83" s="35" t="str">
        <f aca="false">'CERTIFICADO 1'!E63</f>
        <v/>
      </c>
      <c r="J83" s="41" t="str">
        <f aca="false">'CERTIFICADO 1'!F63</f>
        <v/>
      </c>
      <c r="K83" s="2"/>
      <c r="L83" s="42" t="str">
        <f aca="false">'CERTIFICADO 1'!A63</f>
        <v/>
      </c>
      <c r="M83" s="34" t="e">
        <f aca="false">'CERTIFICADO 1'!B63</f>
        <v>#VALUE!</v>
      </c>
      <c r="N83" s="35" t="str">
        <f aca="false">'CERTIFICADO 1'!C63</f>
        <v/>
      </c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</row>
    <row r="84" customFormat="false" ht="15" hidden="false" customHeight="false" outlineLevel="0" collapsed="false">
      <c r="A84" s="36" t="n">
        <f aca="false">'Datos de condiciones'!A62</f>
        <v>59</v>
      </c>
      <c r="B84" s="37" t="e">
        <f aca="false">'Datos de condiciones'!B62</f>
        <v>#VALUE!</v>
      </c>
      <c r="C84" s="38" t="str">
        <f aca="false">'Datos de condiciones'!C62</f>
        <v/>
      </c>
      <c r="D84" s="39" t="e">
        <f aca="false">'Datos de condiciones'!D62</f>
        <v>#VALUE!</v>
      </c>
      <c r="E84" s="39" t="e">
        <f aca="false">'Datos de condiciones'!E62</f>
        <v>#VALUE!</v>
      </c>
      <c r="F84" s="39" t="e">
        <f aca="false">'Datos de condiciones'!F62</f>
        <v>#VALUE!</v>
      </c>
      <c r="G84" s="40" t="e">
        <f aca="false">'Datos de condiciones'!G62</f>
        <v>#VALUE!</v>
      </c>
      <c r="H84" s="35" t="str">
        <f aca="false">'CERTIFICADO 1'!D64</f>
        <v/>
      </c>
      <c r="I84" s="35" t="str">
        <f aca="false">'CERTIFICADO 1'!E64</f>
        <v/>
      </c>
      <c r="J84" s="41" t="str">
        <f aca="false">'CERTIFICADO 1'!F64</f>
        <v/>
      </c>
      <c r="K84" s="2"/>
      <c r="L84" s="42" t="str">
        <f aca="false">'CERTIFICADO 1'!A64</f>
        <v/>
      </c>
      <c r="M84" s="34" t="e">
        <f aca="false">'CERTIFICADO 1'!B64</f>
        <v>#VALUE!</v>
      </c>
      <c r="N84" s="35" t="str">
        <f aca="false">'CERTIFICADO 1'!C64</f>
        <v/>
      </c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</row>
    <row r="85" customFormat="false" ht="15" hidden="false" customHeight="false" outlineLevel="0" collapsed="false">
      <c r="A85" s="36" t="n">
        <f aca="false">'Datos de condiciones'!A63</f>
        <v>60</v>
      </c>
      <c r="B85" s="37" t="e">
        <f aca="false">'Datos de condiciones'!B63</f>
        <v>#VALUE!</v>
      </c>
      <c r="C85" s="38" t="str">
        <f aca="false">'Datos de condiciones'!C63</f>
        <v/>
      </c>
      <c r="D85" s="39" t="e">
        <f aca="false">'Datos de condiciones'!D63</f>
        <v>#VALUE!</v>
      </c>
      <c r="E85" s="39" t="e">
        <f aca="false">'Datos de condiciones'!E63</f>
        <v>#VALUE!</v>
      </c>
      <c r="F85" s="39" t="e">
        <f aca="false">'Datos de condiciones'!F63</f>
        <v>#VALUE!</v>
      </c>
      <c r="G85" s="40" t="e">
        <f aca="false">'Datos de condiciones'!G63</f>
        <v>#VALUE!</v>
      </c>
      <c r="H85" s="35" t="str">
        <f aca="false">'CERTIFICADO 1'!D65</f>
        <v/>
      </c>
      <c r="I85" s="35" t="str">
        <f aca="false">'CERTIFICADO 1'!E65</f>
        <v/>
      </c>
      <c r="J85" s="41" t="str">
        <f aca="false">'CERTIFICADO 1'!F65</f>
        <v/>
      </c>
      <c r="K85" s="2"/>
      <c r="L85" s="42" t="str">
        <f aca="false">'CERTIFICADO 1'!A65</f>
        <v/>
      </c>
      <c r="M85" s="34" t="e">
        <f aca="false">'CERTIFICADO 1'!B65</f>
        <v>#VALUE!</v>
      </c>
      <c r="N85" s="35" t="str">
        <f aca="false">'CERTIFICADO 1'!C65</f>
        <v/>
      </c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</row>
    <row r="86" customFormat="false" ht="15" hidden="false" customHeight="false" outlineLevel="0" collapsed="false">
      <c r="A86" s="36" t="n">
        <f aca="false">'Datos de condiciones'!A64</f>
        <v>61</v>
      </c>
      <c r="B86" s="37" t="e">
        <f aca="false">'Datos de condiciones'!B64</f>
        <v>#VALUE!</v>
      </c>
      <c r="C86" s="38" t="str">
        <f aca="false">'Datos de condiciones'!C64</f>
        <v/>
      </c>
      <c r="D86" s="39" t="e">
        <f aca="false">'Datos de condiciones'!D64</f>
        <v>#VALUE!</v>
      </c>
      <c r="E86" s="39" t="e">
        <f aca="false">'Datos de condiciones'!E64</f>
        <v>#VALUE!</v>
      </c>
      <c r="F86" s="39" t="e">
        <f aca="false">'Datos de condiciones'!F64</f>
        <v>#VALUE!</v>
      </c>
      <c r="G86" s="40" t="e">
        <f aca="false">'Datos de condiciones'!G64</f>
        <v>#VALUE!</v>
      </c>
      <c r="H86" s="35" t="str">
        <f aca="false">'CERTIFICADO 1'!D66</f>
        <v/>
      </c>
      <c r="I86" s="35" t="str">
        <f aca="false">'CERTIFICADO 1'!E66</f>
        <v/>
      </c>
      <c r="J86" s="41" t="str">
        <f aca="false">'CERTIFICADO 1'!F66</f>
        <v/>
      </c>
      <c r="K86" s="2"/>
      <c r="L86" s="42" t="e">
        <f aca="false">IF(M86="","",L85+1)</f>
        <v>#VALUE!</v>
      </c>
      <c r="M86" s="34" t="e">
        <f aca="false">'CERTIFICADO 1'!B66</f>
        <v>#VALUE!</v>
      </c>
      <c r="N86" s="35" t="str">
        <f aca="false">'CERTIFICADO 1'!C66</f>
        <v/>
      </c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</row>
    <row r="87" customFormat="false" ht="15" hidden="false" customHeight="false" outlineLevel="0" collapsed="false">
      <c r="A87" s="36" t="n">
        <f aca="false">'Datos de condiciones'!A65</f>
        <v>62</v>
      </c>
      <c r="B87" s="37" t="e">
        <f aca="false">'Datos de condiciones'!B65</f>
        <v>#VALUE!</v>
      </c>
      <c r="C87" s="38" t="str">
        <f aca="false">'Datos de condiciones'!C65</f>
        <v/>
      </c>
      <c r="D87" s="39" t="e">
        <f aca="false">'Datos de condiciones'!D65</f>
        <v>#VALUE!</v>
      </c>
      <c r="E87" s="39" t="e">
        <f aca="false">'Datos de condiciones'!E65</f>
        <v>#VALUE!</v>
      </c>
      <c r="F87" s="39" t="e">
        <f aca="false">'Datos de condiciones'!F65</f>
        <v>#VALUE!</v>
      </c>
      <c r="G87" s="40" t="e">
        <f aca="false">'Datos de condiciones'!G65</f>
        <v>#VALUE!</v>
      </c>
      <c r="H87" s="35" t="str">
        <f aca="false">'CERTIFICADO 1'!D67</f>
        <v/>
      </c>
      <c r="I87" s="35" t="str">
        <f aca="false">'CERTIFICADO 1'!E67</f>
        <v/>
      </c>
      <c r="J87" s="41" t="str">
        <f aca="false">'CERTIFICADO 1'!F67</f>
        <v/>
      </c>
      <c r="K87" s="2"/>
      <c r="L87" s="42" t="e">
        <f aca="false">IF(M87="","",L86+1)</f>
        <v>#VALUE!</v>
      </c>
      <c r="M87" s="34" t="e">
        <f aca="false">'CERTIFICADO 1'!B67</f>
        <v>#VALUE!</v>
      </c>
      <c r="N87" s="35" t="str">
        <f aca="false">'CERTIFICADO 1'!C67</f>
        <v/>
      </c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</row>
    <row r="88" customFormat="false" ht="15" hidden="false" customHeight="false" outlineLevel="0" collapsed="false">
      <c r="A88" s="36" t="n">
        <f aca="false">'Datos de condiciones'!A66</f>
        <v>63</v>
      </c>
      <c r="B88" s="37" t="e">
        <f aca="false">'Datos de condiciones'!B66</f>
        <v>#VALUE!</v>
      </c>
      <c r="C88" s="38" t="str">
        <f aca="false">'Datos de condiciones'!C66</f>
        <v/>
      </c>
      <c r="D88" s="39" t="e">
        <f aca="false">'Datos de condiciones'!D66</f>
        <v>#VALUE!</v>
      </c>
      <c r="E88" s="39" t="e">
        <f aca="false">'Datos de condiciones'!E66</f>
        <v>#VALUE!</v>
      </c>
      <c r="F88" s="39" t="e">
        <f aca="false">'Datos de condiciones'!F66</f>
        <v>#VALUE!</v>
      </c>
      <c r="G88" s="40" t="e">
        <f aca="false">'Datos de condiciones'!G66</f>
        <v>#VALUE!</v>
      </c>
      <c r="H88" s="35" t="str">
        <f aca="false">'CERTIFICADO 1'!D68</f>
        <v/>
      </c>
      <c r="I88" s="35" t="str">
        <f aca="false">'CERTIFICADO 1'!E68</f>
        <v/>
      </c>
      <c r="J88" s="41" t="str">
        <f aca="false">'CERTIFICADO 1'!F68</f>
        <v/>
      </c>
      <c r="K88" s="2"/>
      <c r="L88" s="42" t="e">
        <f aca="false">IF(M88="","",L87+1)</f>
        <v>#VALUE!</v>
      </c>
      <c r="M88" s="34" t="e">
        <f aca="false">'CERTIFICADO 1'!B68</f>
        <v>#VALUE!</v>
      </c>
      <c r="N88" s="35" t="str">
        <f aca="false">'CERTIFICADO 1'!C68</f>
        <v/>
      </c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</row>
    <row r="89" customFormat="false" ht="15" hidden="false" customHeight="false" outlineLevel="0" collapsed="false">
      <c r="A89" s="36" t="n">
        <f aca="false">'Datos de condiciones'!A67</f>
        <v>64</v>
      </c>
      <c r="B89" s="37" t="e">
        <f aca="false">'Datos de condiciones'!B67</f>
        <v>#VALUE!</v>
      </c>
      <c r="C89" s="38" t="str">
        <f aca="false">'Datos de condiciones'!C67</f>
        <v/>
      </c>
      <c r="D89" s="39" t="e">
        <f aca="false">'Datos de condiciones'!D67</f>
        <v>#VALUE!</v>
      </c>
      <c r="E89" s="39" t="e">
        <f aca="false">'Datos de condiciones'!E67</f>
        <v>#VALUE!</v>
      </c>
      <c r="F89" s="39" t="e">
        <f aca="false">'Datos de condiciones'!F67</f>
        <v>#VALUE!</v>
      </c>
      <c r="G89" s="40" t="e">
        <f aca="false">'Datos de condiciones'!G67</f>
        <v>#VALUE!</v>
      </c>
      <c r="H89" s="35" t="str">
        <f aca="false">'CERTIFICADO 1'!D69</f>
        <v/>
      </c>
      <c r="I89" s="35" t="str">
        <f aca="false">'CERTIFICADO 1'!E69</f>
        <v/>
      </c>
      <c r="J89" s="41" t="str">
        <f aca="false">'CERTIFICADO 1'!F69</f>
        <v/>
      </c>
      <c r="K89" s="2"/>
      <c r="L89" s="42" t="e">
        <f aca="false">IF(M89="","",L88+1)</f>
        <v>#VALUE!</v>
      </c>
      <c r="M89" s="34" t="e">
        <f aca="false">'CERTIFICADO 1'!B69</f>
        <v>#VALUE!</v>
      </c>
      <c r="N89" s="35" t="str">
        <f aca="false">'CERTIFICADO 1'!C69</f>
        <v/>
      </c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</row>
    <row r="90" customFormat="false" ht="15" hidden="false" customHeight="false" outlineLevel="0" collapsed="false">
      <c r="A90" s="36" t="n">
        <f aca="false">'Datos de condiciones'!A68</f>
        <v>65</v>
      </c>
      <c r="B90" s="37" t="e">
        <f aca="false">'Datos de condiciones'!B68</f>
        <v>#VALUE!</v>
      </c>
      <c r="C90" s="38" t="str">
        <f aca="false">'Datos de condiciones'!C68</f>
        <v/>
      </c>
      <c r="D90" s="39" t="e">
        <f aca="false">'Datos de condiciones'!D68</f>
        <v>#VALUE!</v>
      </c>
      <c r="E90" s="39" t="e">
        <f aca="false">'Datos de condiciones'!E68</f>
        <v>#VALUE!</v>
      </c>
      <c r="F90" s="39" t="e">
        <f aca="false">'Datos de condiciones'!F68</f>
        <v>#VALUE!</v>
      </c>
      <c r="G90" s="40" t="e">
        <f aca="false">'Datos de condiciones'!G68</f>
        <v>#VALUE!</v>
      </c>
      <c r="H90" s="35" t="str">
        <f aca="false">'CERTIFICADO 1'!D70</f>
        <v/>
      </c>
      <c r="I90" s="35" t="str">
        <f aca="false">'CERTIFICADO 1'!E70</f>
        <v/>
      </c>
      <c r="J90" s="41" t="str">
        <f aca="false">'CERTIFICADO 1'!F70</f>
        <v/>
      </c>
      <c r="K90" s="2"/>
      <c r="L90" s="42" t="e">
        <f aca="false">IF(M90="","",L89+1)</f>
        <v>#VALUE!</v>
      </c>
      <c r="M90" s="34" t="e">
        <f aca="false">'CERTIFICADO 1'!B70</f>
        <v>#VALUE!</v>
      </c>
      <c r="N90" s="35" t="str">
        <f aca="false">'CERTIFICADO 1'!C70</f>
        <v/>
      </c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</row>
    <row r="91" customFormat="false" ht="15" hidden="false" customHeight="false" outlineLevel="0" collapsed="false">
      <c r="A91" s="36" t="n">
        <f aca="false">'Datos de condiciones'!A69</f>
        <v>66</v>
      </c>
      <c r="B91" s="37" t="e">
        <f aca="false">'Datos de condiciones'!B69</f>
        <v>#VALUE!</v>
      </c>
      <c r="C91" s="38" t="str">
        <f aca="false">'Datos de condiciones'!C69</f>
        <v/>
      </c>
      <c r="D91" s="39" t="e">
        <f aca="false">'Datos de condiciones'!D69</f>
        <v>#VALUE!</v>
      </c>
      <c r="E91" s="39" t="e">
        <f aca="false">'Datos de condiciones'!E69</f>
        <v>#VALUE!</v>
      </c>
      <c r="F91" s="39" t="e">
        <f aca="false">'Datos de condiciones'!F69</f>
        <v>#VALUE!</v>
      </c>
      <c r="G91" s="40" t="e">
        <f aca="false">'Datos de condiciones'!G69</f>
        <v>#VALUE!</v>
      </c>
      <c r="H91" s="35" t="str">
        <f aca="false">'CERTIFICADO 1'!D71</f>
        <v/>
      </c>
      <c r="I91" s="35" t="str">
        <f aca="false">'CERTIFICADO 1'!E71</f>
        <v/>
      </c>
      <c r="J91" s="41" t="str">
        <f aca="false">'CERTIFICADO 1'!F71</f>
        <v/>
      </c>
      <c r="K91" s="2"/>
      <c r="L91" s="42" t="e">
        <f aca="false">IF(M91="","",L90+1)</f>
        <v>#VALUE!</v>
      </c>
      <c r="M91" s="34" t="e">
        <f aca="false">'CERTIFICADO 1'!B71</f>
        <v>#VALUE!</v>
      </c>
      <c r="N91" s="35" t="str">
        <f aca="false">'CERTIFICADO 1'!C71</f>
        <v/>
      </c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</row>
    <row r="92" customFormat="false" ht="15" hidden="false" customHeight="false" outlineLevel="0" collapsed="false">
      <c r="A92" s="36" t="n">
        <f aca="false">'Datos de condiciones'!A70</f>
        <v>67</v>
      </c>
      <c r="B92" s="37" t="e">
        <f aca="false">'Datos de condiciones'!B70</f>
        <v>#VALUE!</v>
      </c>
      <c r="C92" s="38" t="str">
        <f aca="false">'Datos de condiciones'!C70</f>
        <v/>
      </c>
      <c r="D92" s="39" t="e">
        <f aca="false">'Datos de condiciones'!D70</f>
        <v>#VALUE!</v>
      </c>
      <c r="E92" s="39" t="e">
        <f aca="false">'Datos de condiciones'!E70</f>
        <v>#VALUE!</v>
      </c>
      <c r="F92" s="39" t="e">
        <f aca="false">'Datos de condiciones'!F70</f>
        <v>#VALUE!</v>
      </c>
      <c r="G92" s="40" t="e">
        <f aca="false">'Datos de condiciones'!G70</f>
        <v>#VALUE!</v>
      </c>
      <c r="H92" s="35" t="str">
        <f aca="false">'CERTIFICADO 1'!D72</f>
        <v/>
      </c>
      <c r="I92" s="35" t="str">
        <f aca="false">'CERTIFICADO 1'!E72</f>
        <v/>
      </c>
      <c r="J92" s="41" t="str">
        <f aca="false">'CERTIFICADO 1'!F72</f>
        <v/>
      </c>
      <c r="K92" s="2"/>
      <c r="L92" s="42" t="e">
        <f aca="false">IF(M92="","",L91+1)</f>
        <v>#VALUE!</v>
      </c>
      <c r="M92" s="34" t="e">
        <f aca="false">'CERTIFICADO 1'!B72</f>
        <v>#VALUE!</v>
      </c>
      <c r="N92" s="35" t="str">
        <f aca="false">'CERTIFICADO 1'!C72</f>
        <v/>
      </c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</row>
    <row r="93" customFormat="false" ht="15" hidden="false" customHeight="false" outlineLevel="0" collapsed="false">
      <c r="A93" s="36" t="n">
        <f aca="false">'Datos de condiciones'!A71</f>
        <v>68</v>
      </c>
      <c r="B93" s="37" t="e">
        <f aca="false">'Datos de condiciones'!B71</f>
        <v>#VALUE!</v>
      </c>
      <c r="C93" s="38" t="str">
        <f aca="false">'Datos de condiciones'!C71</f>
        <v/>
      </c>
      <c r="D93" s="39" t="e">
        <f aca="false">'Datos de condiciones'!D71</f>
        <v>#VALUE!</v>
      </c>
      <c r="E93" s="39" t="e">
        <f aca="false">'Datos de condiciones'!E71</f>
        <v>#VALUE!</v>
      </c>
      <c r="F93" s="39" t="e">
        <f aca="false">'Datos de condiciones'!F71</f>
        <v>#VALUE!</v>
      </c>
      <c r="G93" s="40" t="e">
        <f aca="false">'Datos de condiciones'!G71</f>
        <v>#VALUE!</v>
      </c>
      <c r="H93" s="35" t="str">
        <f aca="false">'CERTIFICADO 1'!D73</f>
        <v/>
      </c>
      <c r="I93" s="35" t="str">
        <f aca="false">'CERTIFICADO 1'!E73</f>
        <v/>
      </c>
      <c r="J93" s="41" t="str">
        <f aca="false">'CERTIFICADO 1'!F73</f>
        <v/>
      </c>
      <c r="K93" s="2"/>
      <c r="L93" s="42" t="e">
        <f aca="false">IF(M93="","",L92+1)</f>
        <v>#VALUE!</v>
      </c>
      <c r="M93" s="34" t="e">
        <f aca="false">'CERTIFICADO 1'!B73</f>
        <v>#VALUE!</v>
      </c>
      <c r="N93" s="35" t="str">
        <f aca="false">'CERTIFICADO 1'!C73</f>
        <v/>
      </c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</row>
    <row r="94" customFormat="false" ht="15" hidden="false" customHeight="false" outlineLevel="0" collapsed="false">
      <c r="A94" s="36" t="n">
        <f aca="false">'Datos de condiciones'!A72</f>
        <v>69</v>
      </c>
      <c r="B94" s="37" t="e">
        <f aca="false">'Datos de condiciones'!B72</f>
        <v>#VALUE!</v>
      </c>
      <c r="C94" s="38" t="str">
        <f aca="false">'Datos de condiciones'!C72</f>
        <v/>
      </c>
      <c r="D94" s="39" t="e">
        <f aca="false">'Datos de condiciones'!D72</f>
        <v>#VALUE!</v>
      </c>
      <c r="E94" s="39" t="e">
        <f aca="false">'Datos de condiciones'!E72</f>
        <v>#VALUE!</v>
      </c>
      <c r="F94" s="39" t="e">
        <f aca="false">'Datos de condiciones'!F72</f>
        <v>#VALUE!</v>
      </c>
      <c r="G94" s="40" t="e">
        <f aca="false">'Datos de condiciones'!G72</f>
        <v>#VALUE!</v>
      </c>
      <c r="H94" s="35" t="str">
        <f aca="false">'CERTIFICADO 1'!D74</f>
        <v/>
      </c>
      <c r="I94" s="35" t="str">
        <f aca="false">'CERTIFICADO 1'!E74</f>
        <v/>
      </c>
      <c r="J94" s="41" t="str">
        <f aca="false">'CERTIFICADO 1'!F74</f>
        <v/>
      </c>
      <c r="K94" s="2"/>
      <c r="L94" s="42" t="e">
        <f aca="false">IF(M94="","",L93+1)</f>
        <v>#VALUE!</v>
      </c>
      <c r="M94" s="34" t="e">
        <f aca="false">'CERTIFICADO 1'!B74</f>
        <v>#VALUE!</v>
      </c>
      <c r="N94" s="35" t="str">
        <f aca="false">'CERTIFICADO 1'!C74</f>
        <v/>
      </c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</row>
    <row r="95" customFormat="false" ht="15" hidden="false" customHeight="false" outlineLevel="0" collapsed="false">
      <c r="A95" s="36" t="n">
        <f aca="false">'Datos de condiciones'!A73</f>
        <v>70</v>
      </c>
      <c r="B95" s="37" t="e">
        <f aca="false">'Datos de condiciones'!B73</f>
        <v>#VALUE!</v>
      </c>
      <c r="C95" s="38" t="str">
        <f aca="false">'Datos de condiciones'!C73</f>
        <v/>
      </c>
      <c r="D95" s="39" t="e">
        <f aca="false">'Datos de condiciones'!D73</f>
        <v>#VALUE!</v>
      </c>
      <c r="E95" s="39" t="e">
        <f aca="false">'Datos de condiciones'!E73</f>
        <v>#VALUE!</v>
      </c>
      <c r="F95" s="39" t="e">
        <f aca="false">'Datos de condiciones'!F73</f>
        <v>#VALUE!</v>
      </c>
      <c r="G95" s="40" t="e">
        <f aca="false">'Datos de condiciones'!G73</f>
        <v>#VALUE!</v>
      </c>
      <c r="H95" s="35" t="str">
        <f aca="false">'CERTIFICADO 1'!D75</f>
        <v/>
      </c>
      <c r="I95" s="35" t="str">
        <f aca="false">'CERTIFICADO 1'!E75</f>
        <v/>
      </c>
      <c r="J95" s="41" t="str">
        <f aca="false">'CERTIFICADO 1'!F75</f>
        <v/>
      </c>
      <c r="K95" s="2"/>
      <c r="L95" s="42" t="e">
        <f aca="false">IF(M95="","",L94+1)</f>
        <v>#VALUE!</v>
      </c>
      <c r="M95" s="34" t="e">
        <f aca="false">'CERTIFICADO 1'!B75</f>
        <v>#VALUE!</v>
      </c>
      <c r="N95" s="35" t="str">
        <f aca="false">'CERTIFICADO 1'!C75</f>
        <v/>
      </c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</row>
    <row r="96" customFormat="false" ht="15" hidden="false" customHeight="false" outlineLevel="0" collapsed="false">
      <c r="A96" s="36" t="n">
        <f aca="false">'Datos de condiciones'!A74</f>
        <v>71</v>
      </c>
      <c r="B96" s="37" t="e">
        <f aca="false">'Datos de condiciones'!B74</f>
        <v>#VALUE!</v>
      </c>
      <c r="C96" s="38" t="str">
        <f aca="false">'Datos de condiciones'!C74</f>
        <v/>
      </c>
      <c r="D96" s="39" t="e">
        <f aca="false">'Datos de condiciones'!D74</f>
        <v>#VALUE!</v>
      </c>
      <c r="E96" s="39" t="e">
        <f aca="false">'Datos de condiciones'!E74</f>
        <v>#VALUE!</v>
      </c>
      <c r="F96" s="39" t="e">
        <f aca="false">'Datos de condiciones'!F74</f>
        <v>#VALUE!</v>
      </c>
      <c r="G96" s="40" t="e">
        <f aca="false">'Datos de condiciones'!G74</f>
        <v>#VALUE!</v>
      </c>
      <c r="H96" s="35" t="str">
        <f aca="false">'CERTIFICADO 1'!D76</f>
        <v/>
      </c>
      <c r="I96" s="35" t="str">
        <f aca="false">'CERTIFICADO 1'!E76</f>
        <v/>
      </c>
      <c r="J96" s="41" t="str">
        <f aca="false">'CERTIFICADO 1'!F76</f>
        <v/>
      </c>
      <c r="K96" s="2"/>
      <c r="L96" s="42" t="e">
        <f aca="false">IF(M96="","",L95+1)</f>
        <v>#VALUE!</v>
      </c>
      <c r="M96" s="34" t="e">
        <f aca="false">'CERTIFICADO 1'!B76</f>
        <v>#VALUE!</v>
      </c>
      <c r="N96" s="35" t="str">
        <f aca="false">'CERTIFICADO 1'!C76</f>
        <v/>
      </c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</row>
    <row r="97" customFormat="false" ht="15" hidden="false" customHeight="false" outlineLevel="0" collapsed="false">
      <c r="A97" s="36" t="n">
        <f aca="false">'Datos de condiciones'!A75</f>
        <v>72</v>
      </c>
      <c r="B97" s="37" t="e">
        <f aca="false">'Datos de condiciones'!B75</f>
        <v>#VALUE!</v>
      </c>
      <c r="C97" s="38" t="str">
        <f aca="false">'Datos de condiciones'!C75</f>
        <v/>
      </c>
      <c r="D97" s="39" t="e">
        <f aca="false">'Datos de condiciones'!D75</f>
        <v>#VALUE!</v>
      </c>
      <c r="E97" s="39" t="e">
        <f aca="false">'Datos de condiciones'!E75</f>
        <v>#VALUE!</v>
      </c>
      <c r="F97" s="39" t="e">
        <f aca="false">'Datos de condiciones'!F75</f>
        <v>#VALUE!</v>
      </c>
      <c r="G97" s="40" t="e">
        <f aca="false">'Datos de condiciones'!G75</f>
        <v>#VALUE!</v>
      </c>
      <c r="H97" s="35" t="str">
        <f aca="false">'CERTIFICADO 1'!D77</f>
        <v/>
      </c>
      <c r="I97" s="35" t="str">
        <f aca="false">'CERTIFICADO 1'!E77</f>
        <v/>
      </c>
      <c r="J97" s="41" t="str">
        <f aca="false">'CERTIFICADO 1'!F77</f>
        <v/>
      </c>
      <c r="K97" s="2"/>
      <c r="L97" s="42" t="e">
        <f aca="false">IF(M97="","",L96+1)</f>
        <v>#VALUE!</v>
      </c>
      <c r="M97" s="34" t="e">
        <f aca="false">'CERTIFICADO 1'!B77</f>
        <v>#VALUE!</v>
      </c>
      <c r="N97" s="35" t="str">
        <f aca="false">'CERTIFICADO 1'!C77</f>
        <v/>
      </c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</row>
    <row r="98" customFormat="false" ht="15" hidden="false" customHeight="false" outlineLevel="0" collapsed="false">
      <c r="A98" s="36" t="n">
        <f aca="false">'Datos de condiciones'!A76</f>
        <v>73</v>
      </c>
      <c r="B98" s="37" t="e">
        <f aca="false">'Datos de condiciones'!B76</f>
        <v>#VALUE!</v>
      </c>
      <c r="C98" s="38" t="str">
        <f aca="false">'Datos de condiciones'!C76</f>
        <v/>
      </c>
      <c r="D98" s="39" t="e">
        <f aca="false">'Datos de condiciones'!D76</f>
        <v>#VALUE!</v>
      </c>
      <c r="E98" s="39" t="e">
        <f aca="false">'Datos de condiciones'!E76</f>
        <v>#VALUE!</v>
      </c>
      <c r="F98" s="39" t="e">
        <f aca="false">'Datos de condiciones'!F76</f>
        <v>#VALUE!</v>
      </c>
      <c r="G98" s="40" t="e">
        <f aca="false">'Datos de condiciones'!G76</f>
        <v>#VALUE!</v>
      </c>
      <c r="H98" s="35" t="str">
        <f aca="false">'CERTIFICADO 1'!D78</f>
        <v/>
      </c>
      <c r="I98" s="35" t="str">
        <f aca="false">'CERTIFICADO 1'!E78</f>
        <v/>
      </c>
      <c r="J98" s="41" t="str">
        <f aca="false">'CERTIFICADO 1'!F78</f>
        <v/>
      </c>
      <c r="K98" s="2"/>
      <c r="L98" s="42" t="e">
        <f aca="false">IF(M98="","",L97+1)</f>
        <v>#VALUE!</v>
      </c>
      <c r="M98" s="34" t="e">
        <f aca="false">'CERTIFICADO 1'!B78</f>
        <v>#VALUE!</v>
      </c>
      <c r="N98" s="35" t="str">
        <f aca="false">'CERTIFICADO 1'!C78</f>
        <v/>
      </c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</row>
    <row r="99" customFormat="false" ht="15" hidden="false" customHeight="false" outlineLevel="0" collapsed="false">
      <c r="A99" s="36" t="n">
        <f aca="false">'Datos de condiciones'!A77</f>
        <v>74</v>
      </c>
      <c r="B99" s="37" t="e">
        <f aca="false">'Datos de condiciones'!B77</f>
        <v>#VALUE!</v>
      </c>
      <c r="C99" s="38" t="str">
        <f aca="false">'Datos de condiciones'!C77</f>
        <v/>
      </c>
      <c r="D99" s="39" t="e">
        <f aca="false">'Datos de condiciones'!D77</f>
        <v>#VALUE!</v>
      </c>
      <c r="E99" s="39" t="e">
        <f aca="false">'Datos de condiciones'!E77</f>
        <v>#VALUE!</v>
      </c>
      <c r="F99" s="39" t="e">
        <f aca="false">'Datos de condiciones'!F77</f>
        <v>#VALUE!</v>
      </c>
      <c r="G99" s="40" t="e">
        <f aca="false">'Datos de condiciones'!G77</f>
        <v>#VALUE!</v>
      </c>
      <c r="H99" s="35" t="str">
        <f aca="false">'CERTIFICADO 1'!D79</f>
        <v/>
      </c>
      <c r="I99" s="35" t="str">
        <f aca="false">'CERTIFICADO 1'!E79</f>
        <v/>
      </c>
      <c r="J99" s="41" t="str">
        <f aca="false">'CERTIFICADO 1'!F79</f>
        <v/>
      </c>
      <c r="K99" s="2"/>
      <c r="L99" s="42" t="e">
        <f aca="false">IF(M99="","",L98+1)</f>
        <v>#VALUE!</v>
      </c>
      <c r="M99" s="34" t="e">
        <f aca="false">'CERTIFICADO 1'!B79</f>
        <v>#VALUE!</v>
      </c>
      <c r="N99" s="35" t="str">
        <f aca="false">'CERTIFICADO 1'!C79</f>
        <v/>
      </c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</row>
    <row r="100" customFormat="false" ht="15" hidden="false" customHeight="false" outlineLevel="0" collapsed="false">
      <c r="A100" s="36" t="n">
        <f aca="false">'Datos de condiciones'!A78</f>
        <v>75</v>
      </c>
      <c r="B100" s="37" t="e">
        <f aca="false">'Datos de condiciones'!B78</f>
        <v>#VALUE!</v>
      </c>
      <c r="C100" s="38" t="str">
        <f aca="false">'Datos de condiciones'!C78</f>
        <v/>
      </c>
      <c r="D100" s="39" t="e">
        <f aca="false">'Datos de condiciones'!D78</f>
        <v>#VALUE!</v>
      </c>
      <c r="E100" s="39" t="e">
        <f aca="false">'Datos de condiciones'!E78</f>
        <v>#VALUE!</v>
      </c>
      <c r="F100" s="39" t="e">
        <f aca="false">'Datos de condiciones'!F78</f>
        <v>#VALUE!</v>
      </c>
      <c r="G100" s="40" t="e">
        <f aca="false">'Datos de condiciones'!G78</f>
        <v>#VALUE!</v>
      </c>
      <c r="H100" s="35" t="str">
        <f aca="false">'CERTIFICADO 1'!D80</f>
        <v/>
      </c>
      <c r="I100" s="35" t="str">
        <f aca="false">'CERTIFICADO 1'!E80</f>
        <v/>
      </c>
      <c r="J100" s="41" t="str">
        <f aca="false">'CERTIFICADO 1'!F80</f>
        <v/>
      </c>
      <c r="K100" s="2"/>
      <c r="L100" s="42" t="e">
        <f aca="false">IF(M100="","",L99+1)</f>
        <v>#VALUE!</v>
      </c>
      <c r="M100" s="34" t="e">
        <f aca="false">'CERTIFICADO 1'!B80</f>
        <v>#VALUE!</v>
      </c>
      <c r="N100" s="35" t="str">
        <f aca="false">'CERTIFICADO 1'!C80</f>
        <v/>
      </c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</row>
    <row r="101" customFormat="false" ht="15" hidden="false" customHeight="false" outlineLevel="0" collapsed="false">
      <c r="A101" s="36" t="n">
        <f aca="false">'Datos de condiciones'!A79</f>
        <v>76</v>
      </c>
      <c r="B101" s="37" t="e">
        <f aca="false">'Datos de condiciones'!B79</f>
        <v>#VALUE!</v>
      </c>
      <c r="C101" s="38" t="str">
        <f aca="false">'Datos de condiciones'!C79</f>
        <v/>
      </c>
      <c r="D101" s="39" t="e">
        <f aca="false">'Datos de condiciones'!D79</f>
        <v>#VALUE!</v>
      </c>
      <c r="E101" s="39" t="e">
        <f aca="false">'Datos de condiciones'!E79</f>
        <v>#VALUE!</v>
      </c>
      <c r="F101" s="39" t="e">
        <f aca="false">'Datos de condiciones'!F79</f>
        <v>#VALUE!</v>
      </c>
      <c r="G101" s="40" t="e">
        <f aca="false">'Datos de condiciones'!G79</f>
        <v>#VALUE!</v>
      </c>
      <c r="H101" s="35" t="str">
        <f aca="false">'CERTIFICADO 1'!D81</f>
        <v/>
      </c>
      <c r="I101" s="35" t="str">
        <f aca="false">'CERTIFICADO 1'!E81</f>
        <v/>
      </c>
      <c r="J101" s="41" t="str">
        <f aca="false">'CERTIFICADO 1'!F81</f>
        <v/>
      </c>
      <c r="K101" s="2"/>
      <c r="L101" s="42" t="e">
        <f aca="false">IF(M101="","",L100+1)</f>
        <v>#VALUE!</v>
      </c>
      <c r="M101" s="34" t="e">
        <f aca="false">'CERTIFICADO 1'!B81</f>
        <v>#VALUE!</v>
      </c>
      <c r="N101" s="35" t="str">
        <f aca="false">'CERTIFICADO 1'!C81</f>
        <v/>
      </c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</row>
    <row r="102" customFormat="false" ht="15" hidden="false" customHeight="false" outlineLevel="0" collapsed="false">
      <c r="A102" s="36" t="n">
        <f aca="false">'Datos de condiciones'!A80</f>
        <v>77</v>
      </c>
      <c r="B102" s="37" t="e">
        <f aca="false">'Datos de condiciones'!B80</f>
        <v>#VALUE!</v>
      </c>
      <c r="C102" s="38" t="str">
        <f aca="false">'Datos de condiciones'!C80</f>
        <v/>
      </c>
      <c r="D102" s="39" t="e">
        <f aca="false">'Datos de condiciones'!D80</f>
        <v>#VALUE!</v>
      </c>
      <c r="E102" s="39" t="e">
        <f aca="false">'Datos de condiciones'!E80</f>
        <v>#VALUE!</v>
      </c>
      <c r="F102" s="39" t="e">
        <f aca="false">'Datos de condiciones'!F80</f>
        <v>#VALUE!</v>
      </c>
      <c r="G102" s="40" t="e">
        <f aca="false">'Datos de condiciones'!G80</f>
        <v>#VALUE!</v>
      </c>
      <c r="H102" s="35" t="str">
        <f aca="false">'CERTIFICADO 1'!D82</f>
        <v/>
      </c>
      <c r="I102" s="35" t="str">
        <f aca="false">'CERTIFICADO 1'!E82</f>
        <v/>
      </c>
      <c r="J102" s="41" t="str">
        <f aca="false">'CERTIFICADO 1'!F82</f>
        <v/>
      </c>
      <c r="K102" s="2"/>
      <c r="L102" s="42" t="e">
        <f aca="false">IF(M102="","",L101+1)</f>
        <v>#VALUE!</v>
      </c>
      <c r="M102" s="34" t="e">
        <f aca="false">'CERTIFICADO 1'!B82</f>
        <v>#VALUE!</v>
      </c>
      <c r="N102" s="35" t="str">
        <f aca="false">'CERTIFICADO 1'!C82</f>
        <v/>
      </c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</row>
    <row r="103" customFormat="false" ht="15" hidden="false" customHeight="false" outlineLevel="0" collapsed="false">
      <c r="A103" s="36" t="n">
        <f aca="false">'Datos de condiciones'!A81</f>
        <v>78</v>
      </c>
      <c r="B103" s="37" t="e">
        <f aca="false">'Datos de condiciones'!B81</f>
        <v>#VALUE!</v>
      </c>
      <c r="C103" s="38" t="str">
        <f aca="false">'Datos de condiciones'!C81</f>
        <v/>
      </c>
      <c r="D103" s="39" t="e">
        <f aca="false">'Datos de condiciones'!D81</f>
        <v>#VALUE!</v>
      </c>
      <c r="E103" s="39" t="e">
        <f aca="false">'Datos de condiciones'!E81</f>
        <v>#VALUE!</v>
      </c>
      <c r="F103" s="39" t="e">
        <f aca="false">'Datos de condiciones'!F81</f>
        <v>#VALUE!</v>
      </c>
      <c r="G103" s="40" t="e">
        <f aca="false">'Datos de condiciones'!G81</f>
        <v>#VALUE!</v>
      </c>
      <c r="H103" s="43" t="str">
        <f aca="false">'CERTIFICADO 1'!D83</f>
        <v/>
      </c>
      <c r="I103" s="43" t="str">
        <f aca="false">'CERTIFICADO 1'!E83</f>
        <v/>
      </c>
      <c r="J103" s="44" t="str">
        <f aca="false">'CERTIFICADO 1'!F83</f>
        <v/>
      </c>
      <c r="K103" s="2"/>
      <c r="L103" s="42" t="e">
        <f aca="false">IF(M103="","",L102+1)</f>
        <v>#VALUE!</v>
      </c>
      <c r="M103" s="34" t="e">
        <f aca="false">'CERTIFICADO 1'!B83</f>
        <v>#VALUE!</v>
      </c>
      <c r="N103" s="35" t="str">
        <f aca="false">'CERTIFICADO 1'!C83</f>
        <v/>
      </c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</row>
    <row r="104" customFormat="false" ht="15" hidden="false" customHeight="false" outlineLevel="0" collapsed="false">
      <c r="A104" s="36" t="n">
        <f aca="false">'Datos de condiciones'!A82</f>
        <v>79</v>
      </c>
      <c r="B104" s="37" t="e">
        <f aca="false">'Datos de condiciones'!B82</f>
        <v>#VALUE!</v>
      </c>
      <c r="C104" s="38" t="str">
        <f aca="false">'Datos de condiciones'!C82</f>
        <v/>
      </c>
      <c r="D104" s="39" t="e">
        <f aca="false">'Datos de condiciones'!D82</f>
        <v>#VALUE!</v>
      </c>
      <c r="E104" s="39" t="e">
        <f aca="false">'Datos de condiciones'!E82</f>
        <v>#VALUE!</v>
      </c>
      <c r="F104" s="39" t="e">
        <f aca="false">'Datos de condiciones'!F82</f>
        <v>#VALUE!</v>
      </c>
      <c r="G104" s="40" t="e">
        <f aca="false">'Datos de condiciones'!G82</f>
        <v>#VALUE!</v>
      </c>
      <c r="H104" s="43" t="str">
        <f aca="false">'CERTIFICADO 1'!D84</f>
        <v/>
      </c>
      <c r="I104" s="43" t="str">
        <f aca="false">'CERTIFICADO 1'!E84</f>
        <v/>
      </c>
      <c r="J104" s="44" t="str">
        <f aca="false">'CERTIFICADO 1'!F84</f>
        <v/>
      </c>
      <c r="K104" s="2"/>
      <c r="L104" s="42" t="e">
        <f aca="false">IF(M104="","",L103+1)</f>
        <v>#VALUE!</v>
      </c>
      <c r="M104" s="34" t="e">
        <f aca="false">'CERTIFICADO 1'!B84</f>
        <v>#VALUE!</v>
      </c>
      <c r="N104" s="35" t="str">
        <f aca="false">'CERTIFICADO 1'!C84</f>
        <v/>
      </c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</row>
    <row r="105" customFormat="false" ht="15" hidden="false" customHeight="false" outlineLevel="0" collapsed="false">
      <c r="A105" s="36" t="n">
        <f aca="false">'Datos de condiciones'!A83</f>
        <v>80</v>
      </c>
      <c r="B105" s="37" t="e">
        <f aca="false">'Datos de condiciones'!B83</f>
        <v>#VALUE!</v>
      </c>
      <c r="C105" s="38" t="str">
        <f aca="false">'Datos de condiciones'!C83</f>
        <v/>
      </c>
      <c r="D105" s="39" t="e">
        <f aca="false">'Datos de condiciones'!D83</f>
        <v>#VALUE!</v>
      </c>
      <c r="E105" s="39" t="e">
        <f aca="false">'Datos de condiciones'!E83</f>
        <v>#VALUE!</v>
      </c>
      <c r="F105" s="39" t="e">
        <f aca="false">'Datos de condiciones'!F83</f>
        <v>#VALUE!</v>
      </c>
      <c r="G105" s="40" t="e">
        <f aca="false">'Datos de condiciones'!G83</f>
        <v>#VALUE!</v>
      </c>
      <c r="H105" s="43" t="str">
        <f aca="false">'CERTIFICADO 1'!D85</f>
        <v/>
      </c>
      <c r="I105" s="43" t="str">
        <f aca="false">'CERTIFICADO 1'!E85</f>
        <v/>
      </c>
      <c r="J105" s="44" t="str">
        <f aca="false">'CERTIFICADO 1'!F85</f>
        <v/>
      </c>
      <c r="K105" s="2"/>
      <c r="L105" s="42" t="e">
        <f aca="false">IF(M105="","",L104+1)</f>
        <v>#VALUE!</v>
      </c>
      <c r="M105" s="34" t="e">
        <f aca="false">'CERTIFICADO 1'!B85</f>
        <v>#VALUE!</v>
      </c>
      <c r="N105" s="35" t="str">
        <f aca="false">'CERTIFICADO 1'!C85</f>
        <v/>
      </c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</row>
    <row r="106" customFormat="false" ht="15" hidden="false" customHeight="false" outlineLevel="0" collapsed="false">
      <c r="A106" s="36" t="n">
        <f aca="false">'Datos de condiciones'!A84</f>
        <v>81</v>
      </c>
      <c r="B106" s="37" t="e">
        <f aca="false">'Datos de condiciones'!B84</f>
        <v>#VALUE!</v>
      </c>
      <c r="C106" s="38" t="str">
        <f aca="false">'Datos de condiciones'!C84</f>
        <v/>
      </c>
      <c r="D106" s="39" t="e">
        <f aca="false">'Datos de condiciones'!D84</f>
        <v>#VALUE!</v>
      </c>
      <c r="E106" s="39" t="e">
        <f aca="false">'Datos de condiciones'!E84</f>
        <v>#VALUE!</v>
      </c>
      <c r="F106" s="39" t="e">
        <f aca="false">'Datos de condiciones'!F84</f>
        <v>#VALUE!</v>
      </c>
      <c r="G106" s="40" t="e">
        <f aca="false">'Datos de condiciones'!G84</f>
        <v>#VALUE!</v>
      </c>
      <c r="H106" s="43" t="str">
        <f aca="false">'CERTIFICADO 1'!D86</f>
        <v/>
      </c>
      <c r="I106" s="43" t="str">
        <f aca="false">'CERTIFICADO 1'!E86</f>
        <v/>
      </c>
      <c r="J106" s="44" t="str">
        <f aca="false">'CERTIFICADO 1'!F86</f>
        <v/>
      </c>
      <c r="K106" s="2"/>
      <c r="L106" s="42" t="e">
        <f aca="false">IF(M106="","",L105+1)</f>
        <v>#VALUE!</v>
      </c>
      <c r="M106" s="34" t="e">
        <f aca="false">'CERTIFICADO 1'!B86</f>
        <v>#VALUE!</v>
      </c>
      <c r="N106" s="35" t="str">
        <f aca="false">'CERTIFICADO 1'!C86</f>
        <v/>
      </c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</row>
    <row r="107" customFormat="false" ht="15" hidden="false" customHeight="false" outlineLevel="0" collapsed="false">
      <c r="A107" s="36" t="n">
        <f aca="false">'Datos de condiciones'!A85</f>
        <v>82</v>
      </c>
      <c r="B107" s="37" t="e">
        <f aca="false">'Datos de condiciones'!B85</f>
        <v>#VALUE!</v>
      </c>
      <c r="C107" s="38" t="str">
        <f aca="false">'Datos de condiciones'!C85</f>
        <v/>
      </c>
      <c r="D107" s="39" t="e">
        <f aca="false">'Datos de condiciones'!D85</f>
        <v>#VALUE!</v>
      </c>
      <c r="E107" s="39" t="e">
        <f aca="false">'Datos de condiciones'!E85</f>
        <v>#VALUE!</v>
      </c>
      <c r="F107" s="39" t="e">
        <f aca="false">'Datos de condiciones'!F85</f>
        <v>#VALUE!</v>
      </c>
      <c r="G107" s="40" t="e">
        <f aca="false">'Datos de condiciones'!G85</f>
        <v>#VALUE!</v>
      </c>
      <c r="H107" s="43" t="str">
        <f aca="false">'CERTIFICADO 1'!D87</f>
        <v/>
      </c>
      <c r="I107" s="43" t="str">
        <f aca="false">'CERTIFICADO 1'!E87</f>
        <v/>
      </c>
      <c r="J107" s="44" t="str">
        <f aca="false">'CERTIFICADO 1'!F87</f>
        <v/>
      </c>
      <c r="K107" s="2"/>
      <c r="L107" s="42" t="e">
        <f aca="false">IF(M107="","",L106+1)</f>
        <v>#VALUE!</v>
      </c>
      <c r="M107" s="34" t="e">
        <f aca="false">'CERTIFICADO 1'!B87</f>
        <v>#VALUE!</v>
      </c>
      <c r="N107" s="35" t="str">
        <f aca="false">'CERTIFICADO 1'!C87</f>
        <v/>
      </c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</row>
    <row r="108" customFormat="false" ht="15" hidden="false" customHeight="false" outlineLevel="0" collapsed="false">
      <c r="A108" s="36" t="n">
        <f aca="false">'Datos de condiciones'!A86</f>
        <v>83</v>
      </c>
      <c r="B108" s="37" t="e">
        <f aca="false">'Datos de condiciones'!B86</f>
        <v>#VALUE!</v>
      </c>
      <c r="C108" s="38" t="str">
        <f aca="false">'Datos de condiciones'!C86</f>
        <v/>
      </c>
      <c r="D108" s="39" t="e">
        <f aca="false">'Datos de condiciones'!D86</f>
        <v>#VALUE!</v>
      </c>
      <c r="E108" s="39" t="e">
        <f aca="false">'Datos de condiciones'!E86</f>
        <v>#VALUE!</v>
      </c>
      <c r="F108" s="39" t="e">
        <f aca="false">'Datos de condiciones'!F86</f>
        <v>#VALUE!</v>
      </c>
      <c r="G108" s="40" t="e">
        <f aca="false">'Datos de condiciones'!G86</f>
        <v>#VALUE!</v>
      </c>
      <c r="H108" s="43" t="str">
        <f aca="false">'CERTIFICADO 1'!D88</f>
        <v/>
      </c>
      <c r="I108" s="43" t="str">
        <f aca="false">'CERTIFICADO 1'!E88</f>
        <v/>
      </c>
      <c r="J108" s="44" t="str">
        <f aca="false">'CERTIFICADO 1'!F88</f>
        <v/>
      </c>
      <c r="K108" s="2"/>
      <c r="L108" s="42" t="e">
        <f aca="false">IF(M108="","",L107+1)</f>
        <v>#VALUE!</v>
      </c>
      <c r="M108" s="34" t="e">
        <f aca="false">'CERTIFICADO 1'!B88</f>
        <v>#VALUE!</v>
      </c>
      <c r="N108" s="35" t="str">
        <f aca="false">'CERTIFICADO 1'!C88</f>
        <v/>
      </c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</row>
    <row r="109" customFormat="false" ht="15" hidden="false" customHeight="false" outlineLevel="0" collapsed="false">
      <c r="A109" s="36" t="n">
        <f aca="false">'Datos de condiciones'!A87</f>
        <v>84</v>
      </c>
      <c r="B109" s="37" t="e">
        <f aca="false">'Datos de condiciones'!B87</f>
        <v>#VALUE!</v>
      </c>
      <c r="C109" s="38" t="str">
        <f aca="false">'Datos de condiciones'!C87</f>
        <v/>
      </c>
      <c r="D109" s="39" t="e">
        <f aca="false">'Datos de condiciones'!D87</f>
        <v>#VALUE!</v>
      </c>
      <c r="E109" s="39" t="e">
        <f aca="false">'Datos de condiciones'!E87</f>
        <v>#VALUE!</v>
      </c>
      <c r="F109" s="39" t="e">
        <f aca="false">'Datos de condiciones'!F87</f>
        <v>#VALUE!</v>
      </c>
      <c r="G109" s="40" t="e">
        <f aca="false">'Datos de condiciones'!G87</f>
        <v>#VALUE!</v>
      </c>
      <c r="H109" s="43" t="str">
        <f aca="false">'CERTIFICADO 1'!D89</f>
        <v/>
      </c>
      <c r="I109" s="43" t="str">
        <f aca="false">'CERTIFICADO 1'!E89</f>
        <v/>
      </c>
      <c r="J109" s="44" t="str">
        <f aca="false">'CERTIFICADO 1'!F89</f>
        <v/>
      </c>
      <c r="K109" s="2"/>
      <c r="L109" s="42" t="e">
        <f aca="false">IF(M109="","",L108+1)</f>
        <v>#VALUE!</v>
      </c>
      <c r="M109" s="34" t="e">
        <f aca="false">'CERTIFICADO 1'!B89</f>
        <v>#VALUE!</v>
      </c>
      <c r="N109" s="35" t="str">
        <f aca="false">'CERTIFICADO 1'!C89</f>
        <v/>
      </c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</row>
    <row r="110" customFormat="false" ht="15" hidden="false" customHeight="false" outlineLevel="0" collapsed="false">
      <c r="A110" s="36" t="n">
        <f aca="false">'Datos de condiciones'!A88</f>
        <v>85</v>
      </c>
      <c r="B110" s="37" t="e">
        <f aca="false">'Datos de condiciones'!B88</f>
        <v>#VALUE!</v>
      </c>
      <c r="C110" s="38" t="str">
        <f aca="false">'Datos de condiciones'!C88</f>
        <v/>
      </c>
      <c r="D110" s="39" t="e">
        <f aca="false">'Datos de condiciones'!D88</f>
        <v>#VALUE!</v>
      </c>
      <c r="E110" s="39" t="e">
        <f aca="false">'Datos de condiciones'!E88</f>
        <v>#VALUE!</v>
      </c>
      <c r="F110" s="39" t="e">
        <f aca="false">'Datos de condiciones'!F88</f>
        <v>#VALUE!</v>
      </c>
      <c r="G110" s="40" t="e">
        <f aca="false">'Datos de condiciones'!G88</f>
        <v>#VALUE!</v>
      </c>
      <c r="H110" s="43" t="str">
        <f aca="false">'CERTIFICADO 1'!D90</f>
        <v/>
      </c>
      <c r="I110" s="43" t="str">
        <f aca="false">'CERTIFICADO 1'!E90</f>
        <v/>
      </c>
      <c r="J110" s="44" t="str">
        <f aca="false">'CERTIFICADO 1'!F90</f>
        <v/>
      </c>
      <c r="K110" s="2"/>
      <c r="L110" s="42" t="e">
        <f aca="false">IF(M110="","",L109+1)</f>
        <v>#VALUE!</v>
      </c>
      <c r="M110" s="34" t="e">
        <f aca="false">'CERTIFICADO 1'!B90</f>
        <v>#VALUE!</v>
      </c>
      <c r="N110" s="35" t="str">
        <f aca="false">'CERTIFICADO 1'!C90</f>
        <v/>
      </c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</row>
    <row r="111" customFormat="false" ht="15" hidden="false" customHeight="false" outlineLevel="0" collapsed="false">
      <c r="A111" s="36" t="n">
        <f aca="false">'Datos de condiciones'!A89</f>
        <v>86</v>
      </c>
      <c r="B111" s="37" t="e">
        <f aca="false">'Datos de condiciones'!B89</f>
        <v>#VALUE!</v>
      </c>
      <c r="C111" s="38" t="str">
        <f aca="false">'Datos de condiciones'!C89</f>
        <v/>
      </c>
      <c r="D111" s="39" t="e">
        <f aca="false">'Datos de condiciones'!D89</f>
        <v>#VALUE!</v>
      </c>
      <c r="E111" s="39" t="e">
        <f aca="false">'Datos de condiciones'!E89</f>
        <v>#VALUE!</v>
      </c>
      <c r="F111" s="39" t="e">
        <f aca="false">'Datos de condiciones'!F89</f>
        <v>#VALUE!</v>
      </c>
      <c r="G111" s="40" t="e">
        <f aca="false">'Datos de condiciones'!G89</f>
        <v>#VALUE!</v>
      </c>
      <c r="H111" s="43" t="str">
        <f aca="false">'CERTIFICADO 1'!D91</f>
        <v/>
      </c>
      <c r="I111" s="43" t="str">
        <f aca="false">'CERTIFICADO 1'!E91</f>
        <v/>
      </c>
      <c r="J111" s="44" t="str">
        <f aca="false">'CERTIFICADO 1'!F91</f>
        <v/>
      </c>
      <c r="K111" s="2"/>
      <c r="L111" s="42" t="e">
        <f aca="false">IF(M111="","",L110+1)</f>
        <v>#VALUE!</v>
      </c>
      <c r="M111" s="34" t="e">
        <f aca="false">'CERTIFICADO 1'!B91</f>
        <v>#VALUE!</v>
      </c>
      <c r="N111" s="35" t="str">
        <f aca="false">'CERTIFICADO 1'!C91</f>
        <v/>
      </c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</row>
    <row r="112" customFormat="false" ht="15" hidden="false" customHeight="false" outlineLevel="0" collapsed="false">
      <c r="A112" s="36" t="n">
        <f aca="false">'Datos de condiciones'!A90</f>
        <v>87</v>
      </c>
      <c r="B112" s="37" t="e">
        <f aca="false">'Datos de condiciones'!B90</f>
        <v>#VALUE!</v>
      </c>
      <c r="C112" s="38" t="str">
        <f aca="false">'Datos de condiciones'!C90</f>
        <v/>
      </c>
      <c r="D112" s="39" t="e">
        <f aca="false">'Datos de condiciones'!D90</f>
        <v>#VALUE!</v>
      </c>
      <c r="E112" s="39" t="e">
        <f aca="false">'Datos de condiciones'!E90</f>
        <v>#VALUE!</v>
      </c>
      <c r="F112" s="39" t="e">
        <f aca="false">'Datos de condiciones'!F90</f>
        <v>#VALUE!</v>
      </c>
      <c r="G112" s="40" t="e">
        <f aca="false">'Datos de condiciones'!G90</f>
        <v>#VALUE!</v>
      </c>
      <c r="H112" s="43" t="str">
        <f aca="false">'CERTIFICADO 1'!D92</f>
        <v/>
      </c>
      <c r="I112" s="43" t="str">
        <f aca="false">'CERTIFICADO 1'!E92</f>
        <v/>
      </c>
      <c r="J112" s="44" t="str">
        <f aca="false">'CERTIFICADO 1'!F92</f>
        <v/>
      </c>
      <c r="K112" s="2"/>
      <c r="L112" s="42" t="e">
        <f aca="false">IF(M112="","",L111+1)</f>
        <v>#VALUE!</v>
      </c>
      <c r="M112" s="34" t="e">
        <f aca="false">'CERTIFICADO 1'!B92</f>
        <v>#VALUE!</v>
      </c>
      <c r="N112" s="35" t="str">
        <f aca="false">'CERTIFICADO 1'!C92</f>
        <v/>
      </c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</row>
    <row r="113" customFormat="false" ht="15" hidden="false" customHeight="false" outlineLevel="0" collapsed="false">
      <c r="A113" s="36" t="n">
        <f aca="false">'Datos de condiciones'!A91</f>
        <v>88</v>
      </c>
      <c r="B113" s="37" t="e">
        <f aca="false">'Datos de condiciones'!B91</f>
        <v>#VALUE!</v>
      </c>
      <c r="C113" s="38" t="str">
        <f aca="false">'Datos de condiciones'!C91</f>
        <v/>
      </c>
      <c r="D113" s="39" t="e">
        <f aca="false">'Datos de condiciones'!D91</f>
        <v>#VALUE!</v>
      </c>
      <c r="E113" s="39" t="e">
        <f aca="false">'Datos de condiciones'!E91</f>
        <v>#VALUE!</v>
      </c>
      <c r="F113" s="39" t="e">
        <f aca="false">'Datos de condiciones'!F91</f>
        <v>#VALUE!</v>
      </c>
      <c r="G113" s="40" t="e">
        <f aca="false">'Datos de condiciones'!G91</f>
        <v>#VALUE!</v>
      </c>
      <c r="H113" s="43" t="str">
        <f aca="false">'CERTIFICADO 1'!D93</f>
        <v/>
      </c>
      <c r="I113" s="43" t="str">
        <f aca="false">'CERTIFICADO 1'!E93</f>
        <v/>
      </c>
      <c r="J113" s="44" t="str">
        <f aca="false">'CERTIFICADO 1'!F93</f>
        <v/>
      </c>
      <c r="K113" s="2"/>
      <c r="L113" s="42" t="e">
        <f aca="false">IF(M113="","",L112+1)</f>
        <v>#VALUE!</v>
      </c>
      <c r="M113" s="34" t="e">
        <f aca="false">'CERTIFICADO 1'!B93</f>
        <v>#VALUE!</v>
      </c>
      <c r="N113" s="35" t="str">
        <f aca="false">'CERTIFICADO 1'!C93</f>
        <v/>
      </c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</row>
    <row r="114" customFormat="false" ht="15" hidden="false" customHeight="false" outlineLevel="0" collapsed="false">
      <c r="A114" s="36" t="n">
        <f aca="false">'Datos de condiciones'!A92</f>
        <v>89</v>
      </c>
      <c r="B114" s="37" t="e">
        <f aca="false">'Datos de condiciones'!B92</f>
        <v>#VALUE!</v>
      </c>
      <c r="C114" s="38" t="str">
        <f aca="false">'Datos de condiciones'!C92</f>
        <v/>
      </c>
      <c r="D114" s="39" t="e">
        <f aca="false">'Datos de condiciones'!D92</f>
        <v>#VALUE!</v>
      </c>
      <c r="E114" s="39" t="e">
        <f aca="false">'Datos de condiciones'!E92</f>
        <v>#VALUE!</v>
      </c>
      <c r="F114" s="39" t="e">
        <f aca="false">'Datos de condiciones'!F92</f>
        <v>#VALUE!</v>
      </c>
      <c r="G114" s="40" t="e">
        <f aca="false">'Datos de condiciones'!G92</f>
        <v>#VALUE!</v>
      </c>
      <c r="H114" s="43" t="str">
        <f aca="false">'CERTIFICADO 1'!D94</f>
        <v/>
      </c>
      <c r="I114" s="43" t="str">
        <f aca="false">'CERTIFICADO 1'!E94</f>
        <v/>
      </c>
      <c r="J114" s="44" t="str">
        <f aca="false">'CERTIFICADO 1'!F94</f>
        <v/>
      </c>
      <c r="K114" s="2"/>
      <c r="L114" s="42" t="e">
        <f aca="false">IF(M114="","",L113+1)</f>
        <v>#VALUE!</v>
      </c>
      <c r="M114" s="34" t="e">
        <f aca="false">'CERTIFICADO 1'!B94</f>
        <v>#VALUE!</v>
      </c>
      <c r="N114" s="35" t="str">
        <f aca="false">'CERTIFICADO 1'!C94</f>
        <v/>
      </c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</row>
    <row r="115" customFormat="false" ht="15" hidden="false" customHeight="false" outlineLevel="0" collapsed="false">
      <c r="A115" s="36" t="n">
        <f aca="false">'Datos de condiciones'!A93</f>
        <v>90</v>
      </c>
      <c r="B115" s="37" t="e">
        <f aca="false">'Datos de condiciones'!B93</f>
        <v>#VALUE!</v>
      </c>
      <c r="C115" s="38" t="str">
        <f aca="false">'Datos de condiciones'!C93</f>
        <v/>
      </c>
      <c r="D115" s="39" t="e">
        <f aca="false">'Datos de condiciones'!D93</f>
        <v>#VALUE!</v>
      </c>
      <c r="E115" s="39" t="e">
        <f aca="false">'Datos de condiciones'!E93</f>
        <v>#VALUE!</v>
      </c>
      <c r="F115" s="39" t="e">
        <f aca="false">'Datos de condiciones'!F93</f>
        <v>#VALUE!</v>
      </c>
      <c r="G115" s="40" t="e">
        <f aca="false">'Datos de condiciones'!G93</f>
        <v>#VALUE!</v>
      </c>
      <c r="H115" s="43" t="str">
        <f aca="false">'CERTIFICADO 1'!D95</f>
        <v/>
      </c>
      <c r="I115" s="43" t="str">
        <f aca="false">'CERTIFICADO 1'!E95</f>
        <v/>
      </c>
      <c r="J115" s="44" t="str">
        <f aca="false">'CERTIFICADO 1'!F95</f>
        <v/>
      </c>
      <c r="K115" s="2"/>
      <c r="L115" s="42" t="e">
        <f aca="false">IF(M115="","",L114+1)</f>
        <v>#VALUE!</v>
      </c>
      <c r="M115" s="34" t="e">
        <f aca="false">'CERTIFICADO 1'!B95</f>
        <v>#VALUE!</v>
      </c>
      <c r="N115" s="35" t="str">
        <f aca="false">'CERTIFICADO 1'!C95</f>
        <v/>
      </c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</row>
    <row r="116" customFormat="false" ht="15" hidden="false" customHeight="false" outlineLevel="0" collapsed="false">
      <c r="A116" s="36" t="n">
        <f aca="false">'Datos de condiciones'!A94</f>
        <v>91</v>
      </c>
      <c r="B116" s="37" t="e">
        <f aca="false">'Datos de condiciones'!B94</f>
        <v>#VALUE!</v>
      </c>
      <c r="C116" s="38" t="str">
        <f aca="false">'Datos de condiciones'!C94</f>
        <v/>
      </c>
      <c r="D116" s="39" t="e">
        <f aca="false">'Datos de condiciones'!D94</f>
        <v>#VALUE!</v>
      </c>
      <c r="E116" s="39" t="e">
        <f aca="false">'Datos de condiciones'!E94</f>
        <v>#VALUE!</v>
      </c>
      <c r="F116" s="39" t="e">
        <f aca="false">'Datos de condiciones'!F94</f>
        <v>#VALUE!</v>
      </c>
      <c r="G116" s="40" t="e">
        <f aca="false">'Datos de condiciones'!G94</f>
        <v>#VALUE!</v>
      </c>
      <c r="H116" s="43" t="str">
        <f aca="false">'CERTIFICADO 1'!D96</f>
        <v/>
      </c>
      <c r="I116" s="43" t="str">
        <f aca="false">'CERTIFICADO 1'!E96</f>
        <v/>
      </c>
      <c r="J116" s="44" t="str">
        <f aca="false">'CERTIFICADO 1'!F96</f>
        <v/>
      </c>
      <c r="K116" s="2"/>
      <c r="L116" s="42" t="e">
        <f aca="false">IF(M116="","",L115+1)</f>
        <v>#VALUE!</v>
      </c>
      <c r="M116" s="34" t="e">
        <f aca="false">'CERTIFICADO 1'!B96</f>
        <v>#VALUE!</v>
      </c>
      <c r="N116" s="35" t="str">
        <f aca="false">'CERTIFICADO 1'!C96</f>
        <v/>
      </c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</row>
    <row r="117" customFormat="false" ht="15" hidden="false" customHeight="false" outlineLevel="0" collapsed="false">
      <c r="A117" s="36" t="n">
        <f aca="false">'Datos de condiciones'!A95</f>
        <v>92</v>
      </c>
      <c r="B117" s="37" t="e">
        <f aca="false">'Datos de condiciones'!B95</f>
        <v>#VALUE!</v>
      </c>
      <c r="C117" s="38" t="str">
        <f aca="false">'Datos de condiciones'!C95</f>
        <v/>
      </c>
      <c r="D117" s="39" t="e">
        <f aca="false">'Datos de condiciones'!D95</f>
        <v>#VALUE!</v>
      </c>
      <c r="E117" s="39" t="e">
        <f aca="false">'Datos de condiciones'!E95</f>
        <v>#VALUE!</v>
      </c>
      <c r="F117" s="39" t="e">
        <f aca="false">'Datos de condiciones'!F95</f>
        <v>#VALUE!</v>
      </c>
      <c r="G117" s="40" t="e">
        <f aca="false">'Datos de condiciones'!G95</f>
        <v>#VALUE!</v>
      </c>
      <c r="H117" s="43" t="str">
        <f aca="false">'CERTIFICADO 1'!D97</f>
        <v/>
      </c>
      <c r="I117" s="43" t="str">
        <f aca="false">'CERTIFICADO 1'!E97</f>
        <v/>
      </c>
      <c r="J117" s="44" t="str">
        <f aca="false">'CERTIFICADO 1'!F97</f>
        <v/>
      </c>
      <c r="K117" s="2"/>
      <c r="L117" s="42" t="e">
        <f aca="false">IF(M117="","",L116+1)</f>
        <v>#VALUE!</v>
      </c>
      <c r="M117" s="34" t="e">
        <f aca="false">'CERTIFICADO 1'!B97</f>
        <v>#VALUE!</v>
      </c>
      <c r="N117" s="35" t="str">
        <f aca="false">'CERTIFICADO 1'!C97</f>
        <v/>
      </c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</row>
    <row r="118" customFormat="false" ht="15" hidden="false" customHeight="false" outlineLevel="0" collapsed="false">
      <c r="A118" s="36" t="n">
        <f aca="false">'Datos de condiciones'!A96</f>
        <v>93</v>
      </c>
      <c r="B118" s="37" t="e">
        <f aca="false">'Datos de condiciones'!B96</f>
        <v>#VALUE!</v>
      </c>
      <c r="C118" s="38" t="str">
        <f aca="false">'Datos de condiciones'!C96</f>
        <v/>
      </c>
      <c r="D118" s="39" t="e">
        <f aca="false">'Datos de condiciones'!D96</f>
        <v>#VALUE!</v>
      </c>
      <c r="E118" s="39" t="e">
        <f aca="false">'Datos de condiciones'!E96</f>
        <v>#VALUE!</v>
      </c>
      <c r="F118" s="39" t="e">
        <f aca="false">'Datos de condiciones'!F96</f>
        <v>#VALUE!</v>
      </c>
      <c r="G118" s="40" t="e">
        <f aca="false">'Datos de condiciones'!G96</f>
        <v>#VALUE!</v>
      </c>
      <c r="H118" s="43" t="str">
        <f aca="false">'CERTIFICADO 1'!D98</f>
        <v/>
      </c>
      <c r="I118" s="43" t="str">
        <f aca="false">'CERTIFICADO 1'!E98</f>
        <v/>
      </c>
      <c r="J118" s="44" t="str">
        <f aca="false">'CERTIFICADO 1'!F98</f>
        <v/>
      </c>
      <c r="K118" s="2"/>
      <c r="L118" s="42" t="e">
        <f aca="false">IF(M118="","",L117+1)</f>
        <v>#VALUE!</v>
      </c>
      <c r="M118" s="34" t="e">
        <f aca="false">'CERTIFICADO 1'!B98</f>
        <v>#VALUE!</v>
      </c>
      <c r="N118" s="35" t="str">
        <f aca="false">'CERTIFICADO 1'!C98</f>
        <v/>
      </c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</row>
    <row r="119" customFormat="false" ht="15" hidden="false" customHeight="false" outlineLevel="0" collapsed="false">
      <c r="A119" s="36" t="n">
        <f aca="false">'Datos de condiciones'!A97</f>
        <v>94</v>
      </c>
      <c r="B119" s="37" t="e">
        <f aca="false">'Datos de condiciones'!B97</f>
        <v>#VALUE!</v>
      </c>
      <c r="C119" s="38" t="str">
        <f aca="false">'Datos de condiciones'!C97</f>
        <v/>
      </c>
      <c r="D119" s="39" t="e">
        <f aca="false">'Datos de condiciones'!D97</f>
        <v>#VALUE!</v>
      </c>
      <c r="E119" s="39" t="e">
        <f aca="false">'Datos de condiciones'!E97</f>
        <v>#VALUE!</v>
      </c>
      <c r="F119" s="39" t="e">
        <f aca="false">'Datos de condiciones'!F97</f>
        <v>#VALUE!</v>
      </c>
      <c r="G119" s="40" t="e">
        <f aca="false">'Datos de condiciones'!G97</f>
        <v>#VALUE!</v>
      </c>
      <c r="H119" s="43" t="str">
        <f aca="false">'CERTIFICADO 1'!D99</f>
        <v/>
      </c>
      <c r="I119" s="43" t="str">
        <f aca="false">'CERTIFICADO 1'!E99</f>
        <v/>
      </c>
      <c r="J119" s="44" t="str">
        <f aca="false">'CERTIFICADO 1'!F99</f>
        <v/>
      </c>
      <c r="K119" s="2"/>
      <c r="L119" s="42" t="e">
        <f aca="false">IF(M119="","",L118+1)</f>
        <v>#VALUE!</v>
      </c>
      <c r="M119" s="34" t="e">
        <f aca="false">'CERTIFICADO 1'!B99</f>
        <v>#VALUE!</v>
      </c>
      <c r="N119" s="35" t="str">
        <f aca="false">'CERTIFICADO 1'!C99</f>
        <v/>
      </c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</row>
    <row r="120" customFormat="false" ht="15" hidden="false" customHeight="false" outlineLevel="0" collapsed="false">
      <c r="A120" s="36" t="n">
        <f aca="false">'Datos de condiciones'!A98</f>
        <v>95</v>
      </c>
      <c r="B120" s="37" t="e">
        <f aca="false">'Datos de condiciones'!B98</f>
        <v>#VALUE!</v>
      </c>
      <c r="C120" s="38" t="str">
        <f aca="false">'Datos de condiciones'!C98</f>
        <v/>
      </c>
      <c r="D120" s="39" t="e">
        <f aca="false">'Datos de condiciones'!D98</f>
        <v>#VALUE!</v>
      </c>
      <c r="E120" s="39" t="e">
        <f aca="false">'Datos de condiciones'!E98</f>
        <v>#VALUE!</v>
      </c>
      <c r="F120" s="39" t="e">
        <f aca="false">'Datos de condiciones'!F98</f>
        <v>#VALUE!</v>
      </c>
      <c r="G120" s="40" t="e">
        <f aca="false">'Datos de condiciones'!G98</f>
        <v>#VALUE!</v>
      </c>
      <c r="H120" s="43" t="str">
        <f aca="false">'CERTIFICADO 1'!D100</f>
        <v/>
      </c>
      <c r="I120" s="43" t="str">
        <f aca="false">'CERTIFICADO 1'!E100</f>
        <v/>
      </c>
      <c r="J120" s="44" t="str">
        <f aca="false">'CERTIFICADO 1'!F100</f>
        <v/>
      </c>
      <c r="K120" s="2"/>
      <c r="L120" s="42" t="e">
        <f aca="false">IF(M120="","",L119+1)</f>
        <v>#VALUE!</v>
      </c>
      <c r="M120" s="34" t="e">
        <f aca="false">'CERTIFICADO 1'!B100</f>
        <v>#VALUE!</v>
      </c>
      <c r="N120" s="35" t="str">
        <f aca="false">'CERTIFICADO 1'!C100</f>
        <v/>
      </c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</row>
    <row r="121" customFormat="false" ht="15" hidden="false" customHeight="false" outlineLevel="0" collapsed="false">
      <c r="A121" s="36" t="n">
        <f aca="false">'Datos de condiciones'!A99</f>
        <v>96</v>
      </c>
      <c r="B121" s="37" t="e">
        <f aca="false">'Datos de condiciones'!B99</f>
        <v>#VALUE!</v>
      </c>
      <c r="C121" s="38" t="str">
        <f aca="false">'Datos de condiciones'!C99</f>
        <v/>
      </c>
      <c r="D121" s="39" t="e">
        <f aca="false">'Datos de condiciones'!D99</f>
        <v>#VALUE!</v>
      </c>
      <c r="E121" s="39" t="e">
        <f aca="false">'Datos de condiciones'!E99</f>
        <v>#VALUE!</v>
      </c>
      <c r="F121" s="39" t="e">
        <f aca="false">'Datos de condiciones'!F99</f>
        <v>#VALUE!</v>
      </c>
      <c r="G121" s="40" t="e">
        <f aca="false">'Datos de condiciones'!G99</f>
        <v>#VALUE!</v>
      </c>
      <c r="H121" s="43" t="str">
        <f aca="false">'CERTIFICADO 1'!D101</f>
        <v/>
      </c>
      <c r="I121" s="43" t="str">
        <f aca="false">'CERTIFICADO 1'!E101</f>
        <v/>
      </c>
      <c r="J121" s="44" t="str">
        <f aca="false">'CERTIFICADO 1'!F101</f>
        <v/>
      </c>
      <c r="K121" s="2"/>
      <c r="L121" s="42" t="e">
        <f aca="false">IF(M121="","",L120+1)</f>
        <v>#VALUE!</v>
      </c>
      <c r="M121" s="34" t="e">
        <f aca="false">'CERTIFICADO 1'!B101</f>
        <v>#VALUE!</v>
      </c>
      <c r="N121" s="35" t="str">
        <f aca="false">'CERTIFICADO 1'!C101</f>
        <v/>
      </c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</row>
    <row r="122" customFormat="false" ht="15" hidden="false" customHeight="false" outlineLevel="0" collapsed="false">
      <c r="A122" s="36" t="n">
        <f aca="false">'Datos de condiciones'!A100</f>
        <v>97</v>
      </c>
      <c r="B122" s="37" t="e">
        <f aca="false">'Datos de condiciones'!B100</f>
        <v>#VALUE!</v>
      </c>
      <c r="C122" s="38" t="str">
        <f aca="false">'Datos de condiciones'!C100</f>
        <v/>
      </c>
      <c r="D122" s="39" t="e">
        <f aca="false">'Datos de condiciones'!D100</f>
        <v>#VALUE!</v>
      </c>
      <c r="E122" s="39" t="e">
        <f aca="false">'Datos de condiciones'!E100</f>
        <v>#VALUE!</v>
      </c>
      <c r="F122" s="39" t="e">
        <f aca="false">'Datos de condiciones'!F100</f>
        <v>#VALUE!</v>
      </c>
      <c r="G122" s="40" t="e">
        <f aca="false">'Datos de condiciones'!G100</f>
        <v>#VALUE!</v>
      </c>
      <c r="H122" s="43" t="str">
        <f aca="false">'CERTIFICADO 1'!D102</f>
        <v/>
      </c>
      <c r="I122" s="43" t="str">
        <f aca="false">'CERTIFICADO 1'!E102</f>
        <v/>
      </c>
      <c r="J122" s="44" t="str">
        <f aca="false">'CERTIFICADO 1'!F102</f>
        <v/>
      </c>
      <c r="K122" s="2"/>
      <c r="L122" s="42" t="e">
        <f aca="false">IF(M122="","",L121+1)</f>
        <v>#VALUE!</v>
      </c>
      <c r="M122" s="34" t="e">
        <f aca="false">'CERTIFICADO 1'!B102</f>
        <v>#VALUE!</v>
      </c>
      <c r="N122" s="35" t="str">
        <f aca="false">'CERTIFICADO 1'!C102</f>
        <v/>
      </c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</row>
    <row r="123" customFormat="false" ht="15" hidden="false" customHeight="false" outlineLevel="0" collapsed="false">
      <c r="A123" s="36" t="n">
        <f aca="false">'Datos de condiciones'!A101</f>
        <v>98</v>
      </c>
      <c r="B123" s="37" t="e">
        <f aca="false">'Datos de condiciones'!B101</f>
        <v>#VALUE!</v>
      </c>
      <c r="C123" s="38" t="str">
        <f aca="false">'Datos de condiciones'!C101</f>
        <v/>
      </c>
      <c r="D123" s="39" t="e">
        <f aca="false">'Datos de condiciones'!D101</f>
        <v>#VALUE!</v>
      </c>
      <c r="E123" s="39" t="e">
        <f aca="false">'Datos de condiciones'!E101</f>
        <v>#VALUE!</v>
      </c>
      <c r="F123" s="39" t="e">
        <f aca="false">'Datos de condiciones'!F101</f>
        <v>#VALUE!</v>
      </c>
      <c r="G123" s="40" t="e">
        <f aca="false">'Datos de condiciones'!G101</f>
        <v>#VALUE!</v>
      </c>
      <c r="H123" s="43" t="str">
        <f aca="false">'CERTIFICADO 1'!D103</f>
        <v/>
      </c>
      <c r="I123" s="43" t="str">
        <f aca="false">'CERTIFICADO 1'!E103</f>
        <v/>
      </c>
      <c r="J123" s="44" t="str">
        <f aca="false">'CERTIFICADO 1'!F103</f>
        <v/>
      </c>
      <c r="K123" s="2"/>
      <c r="L123" s="42" t="e">
        <f aca="false">IF(M123="","",L122+1)</f>
        <v>#VALUE!</v>
      </c>
      <c r="M123" s="34" t="e">
        <f aca="false">'CERTIFICADO 1'!B103</f>
        <v>#VALUE!</v>
      </c>
      <c r="N123" s="35" t="str">
        <f aca="false">'CERTIFICADO 1'!C103</f>
        <v/>
      </c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</row>
    <row r="124" customFormat="false" ht="15" hidden="false" customHeight="false" outlineLevel="0" collapsed="false">
      <c r="A124" s="36" t="n">
        <f aca="false">'Datos de condiciones'!A102</f>
        <v>99</v>
      </c>
      <c r="B124" s="37" t="e">
        <f aca="false">'Datos de condiciones'!B102</f>
        <v>#VALUE!</v>
      </c>
      <c r="C124" s="38" t="str">
        <f aca="false">'Datos de condiciones'!C102</f>
        <v/>
      </c>
      <c r="D124" s="39" t="e">
        <f aca="false">'Datos de condiciones'!D102</f>
        <v>#VALUE!</v>
      </c>
      <c r="E124" s="39" t="e">
        <f aca="false">'Datos de condiciones'!E102</f>
        <v>#VALUE!</v>
      </c>
      <c r="F124" s="39" t="e">
        <f aca="false">'Datos de condiciones'!F102</f>
        <v>#VALUE!</v>
      </c>
      <c r="G124" s="40" t="e">
        <f aca="false">'Datos de condiciones'!G102</f>
        <v>#VALUE!</v>
      </c>
      <c r="H124" s="43" t="str">
        <f aca="false">'CERTIFICADO 1'!D104</f>
        <v/>
      </c>
      <c r="I124" s="43" t="str">
        <f aca="false">'CERTIFICADO 1'!E104</f>
        <v/>
      </c>
      <c r="J124" s="44" t="str">
        <f aca="false">'CERTIFICADO 1'!F104</f>
        <v/>
      </c>
      <c r="K124" s="2"/>
      <c r="L124" s="42" t="e">
        <f aca="false">IF(M124="","",L123+1)</f>
        <v>#VALUE!</v>
      </c>
      <c r="M124" s="34" t="e">
        <f aca="false">'CERTIFICADO 1'!B104</f>
        <v>#VALUE!</v>
      </c>
      <c r="N124" s="35" t="str">
        <f aca="false">'CERTIFICADO 1'!C104</f>
        <v/>
      </c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</row>
    <row r="125" customFormat="false" ht="15" hidden="false" customHeight="false" outlineLevel="0" collapsed="false">
      <c r="A125" s="36" t="n">
        <f aca="false">'Datos de condiciones'!A103</f>
        <v>100</v>
      </c>
      <c r="B125" s="37" t="e">
        <f aca="false">'Datos de condiciones'!B103</f>
        <v>#VALUE!</v>
      </c>
      <c r="C125" s="38" t="str">
        <f aca="false">'Datos de condiciones'!C103</f>
        <v/>
      </c>
      <c r="D125" s="39" t="e">
        <f aca="false">'Datos de condiciones'!D103</f>
        <v>#VALUE!</v>
      </c>
      <c r="E125" s="39" t="e">
        <f aca="false">'Datos de condiciones'!E103</f>
        <v>#VALUE!</v>
      </c>
      <c r="F125" s="39" t="e">
        <f aca="false">'Datos de condiciones'!F103</f>
        <v>#VALUE!</v>
      </c>
      <c r="G125" s="40" t="e">
        <f aca="false">'Datos de condiciones'!G103</f>
        <v>#VALUE!</v>
      </c>
      <c r="H125" s="43" t="str">
        <f aca="false">'CERTIFICADO 1'!D105</f>
        <v/>
      </c>
      <c r="I125" s="43" t="str">
        <f aca="false">'CERTIFICADO 1'!E105</f>
        <v/>
      </c>
      <c r="J125" s="44" t="str">
        <f aca="false">'CERTIFICADO 1'!F105</f>
        <v/>
      </c>
      <c r="K125" s="2"/>
      <c r="L125" s="42" t="e">
        <f aca="false">IF(M125="","",L124+1)</f>
        <v>#VALUE!</v>
      </c>
      <c r="M125" s="34" t="e">
        <f aca="false">'CERTIFICADO 1'!B105</f>
        <v>#VALUE!</v>
      </c>
      <c r="N125" s="35" t="str">
        <f aca="false">'CERTIFICADO 1'!C105</f>
        <v/>
      </c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</row>
    <row r="126" customFormat="false" ht="15" hidden="false" customHeight="false" outlineLevel="0" collapsed="false">
      <c r="A126" s="36" t="n">
        <f aca="false">'Datos de condiciones'!A104</f>
        <v>101</v>
      </c>
      <c r="B126" s="37" t="e">
        <f aca="false">'Datos de condiciones'!B104</f>
        <v>#VALUE!</v>
      </c>
      <c r="C126" s="38" t="str">
        <f aca="false">'Datos de condiciones'!C104</f>
        <v/>
      </c>
      <c r="D126" s="39" t="e">
        <f aca="false">'Datos de condiciones'!D104</f>
        <v>#VALUE!</v>
      </c>
      <c r="E126" s="39" t="e">
        <f aca="false">'Datos de condiciones'!E104</f>
        <v>#VALUE!</v>
      </c>
      <c r="F126" s="39" t="e">
        <f aca="false">'Datos de condiciones'!F104</f>
        <v>#VALUE!</v>
      </c>
      <c r="G126" s="40" t="e">
        <f aca="false">'Datos de condiciones'!G104</f>
        <v>#VALUE!</v>
      </c>
      <c r="H126" s="43" t="str">
        <f aca="false">'CERTIFICADO 1'!D106</f>
        <v/>
      </c>
      <c r="I126" s="43" t="str">
        <f aca="false">'CERTIFICADO 1'!E106</f>
        <v/>
      </c>
      <c r="J126" s="44" t="str">
        <f aca="false">'CERTIFICADO 1'!F106</f>
        <v/>
      </c>
      <c r="K126" s="2"/>
      <c r="L126" s="42" t="e">
        <f aca="false">IF(M126="","",L125+1)</f>
        <v>#VALUE!</v>
      </c>
      <c r="M126" s="34" t="e">
        <f aca="false">'CERTIFICADO 1'!B106</f>
        <v>#VALUE!</v>
      </c>
      <c r="N126" s="35" t="str">
        <f aca="false">'CERTIFICADO 1'!C106</f>
        <v/>
      </c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</row>
    <row r="127" customFormat="false" ht="15" hidden="false" customHeight="false" outlineLevel="0" collapsed="false">
      <c r="A127" s="36" t="n">
        <f aca="false">'Datos de condiciones'!A105</f>
        <v>102</v>
      </c>
      <c r="B127" s="37" t="e">
        <f aca="false">'Datos de condiciones'!B105</f>
        <v>#VALUE!</v>
      </c>
      <c r="C127" s="38" t="str">
        <f aca="false">'Datos de condiciones'!C105</f>
        <v/>
      </c>
      <c r="D127" s="39" t="e">
        <f aca="false">'Datos de condiciones'!D105</f>
        <v>#VALUE!</v>
      </c>
      <c r="E127" s="39" t="e">
        <f aca="false">'Datos de condiciones'!E105</f>
        <v>#VALUE!</v>
      </c>
      <c r="F127" s="39" t="e">
        <f aca="false">'Datos de condiciones'!F105</f>
        <v>#VALUE!</v>
      </c>
      <c r="G127" s="40" t="e">
        <f aca="false">'Datos de condiciones'!G105</f>
        <v>#VALUE!</v>
      </c>
      <c r="H127" s="43" t="str">
        <f aca="false">'CERTIFICADO 1'!D107</f>
        <v/>
      </c>
      <c r="I127" s="43" t="str">
        <f aca="false">'CERTIFICADO 1'!E107</f>
        <v/>
      </c>
      <c r="J127" s="44" t="str">
        <f aca="false">'CERTIFICADO 1'!F107</f>
        <v/>
      </c>
      <c r="K127" s="2"/>
      <c r="L127" s="42" t="e">
        <f aca="false">IF(M127="","",L126+1)</f>
        <v>#VALUE!</v>
      </c>
      <c r="M127" s="34" t="e">
        <f aca="false">'CERTIFICADO 1'!B107</f>
        <v>#VALUE!</v>
      </c>
      <c r="N127" s="35" t="str">
        <f aca="false">'CERTIFICADO 1'!C107</f>
        <v/>
      </c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</row>
    <row r="128" customFormat="false" ht="15" hidden="false" customHeight="false" outlineLevel="0" collapsed="false">
      <c r="A128" s="36" t="n">
        <f aca="false">'Datos de condiciones'!A106</f>
        <v>103</v>
      </c>
      <c r="B128" s="37" t="e">
        <f aca="false">'Datos de condiciones'!B106</f>
        <v>#VALUE!</v>
      </c>
      <c r="C128" s="38" t="str">
        <f aca="false">'Datos de condiciones'!C106</f>
        <v/>
      </c>
      <c r="D128" s="39" t="e">
        <f aca="false">'Datos de condiciones'!D106</f>
        <v>#VALUE!</v>
      </c>
      <c r="E128" s="39" t="e">
        <f aca="false">'Datos de condiciones'!E106</f>
        <v>#VALUE!</v>
      </c>
      <c r="F128" s="39" t="e">
        <f aca="false">'Datos de condiciones'!F106</f>
        <v>#VALUE!</v>
      </c>
      <c r="G128" s="40" t="e">
        <f aca="false">'Datos de condiciones'!G106</f>
        <v>#VALUE!</v>
      </c>
      <c r="H128" s="43" t="str">
        <f aca="false">'CERTIFICADO 1'!D108</f>
        <v/>
      </c>
      <c r="I128" s="43" t="str">
        <f aca="false">'CERTIFICADO 1'!E108</f>
        <v/>
      </c>
      <c r="J128" s="44" t="str">
        <f aca="false">'CERTIFICADO 1'!F108</f>
        <v/>
      </c>
      <c r="K128" s="2"/>
      <c r="L128" s="42" t="e">
        <f aca="false">IF(M128="","",L127+1)</f>
        <v>#VALUE!</v>
      </c>
      <c r="M128" s="34" t="e">
        <f aca="false">'CERTIFICADO 1'!B108</f>
        <v>#VALUE!</v>
      </c>
      <c r="N128" s="35" t="str">
        <f aca="false">'CERTIFICADO 1'!C108</f>
        <v/>
      </c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</row>
    <row r="129" customFormat="false" ht="15" hidden="false" customHeight="false" outlineLevel="0" collapsed="false">
      <c r="A129" s="36"/>
      <c r="B129" s="37"/>
      <c r="C129" s="38"/>
      <c r="D129" s="39"/>
      <c r="E129" s="39"/>
      <c r="F129" s="39"/>
      <c r="G129" s="40"/>
      <c r="H129" s="43" t="str">
        <f aca="false">'CERTIFICADO 1'!D109</f>
        <v/>
      </c>
      <c r="I129" s="45" t="str">
        <f aca="false">'CERTIFICADO 1'!E109</f>
        <v/>
      </c>
      <c r="J129" s="46" t="str">
        <f aca="false">'CERTIFICADO 1'!F109</f>
        <v/>
      </c>
      <c r="K129" s="2"/>
      <c r="L129" s="42" t="e">
        <f aca="false">IF(M129="","",L128+1)</f>
        <v>#VALUE!</v>
      </c>
      <c r="M129" s="34" t="e">
        <f aca="false">'CERTIFICADO 1'!B109</f>
        <v>#VALUE!</v>
      </c>
      <c r="N129" s="35" t="str">
        <f aca="false">'CERTIFICADO 1'!C109</f>
        <v/>
      </c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</row>
    <row r="130" customFormat="false" ht="15" hidden="false" customHeight="false" outlineLevel="0" collapsed="false">
      <c r="A130" s="36"/>
      <c r="B130" s="37"/>
      <c r="C130" s="38"/>
      <c r="D130" s="39"/>
      <c r="E130" s="39"/>
      <c r="F130" s="39"/>
      <c r="G130" s="40"/>
      <c r="H130" s="43" t="str">
        <f aca="false">'CERTIFICADO 1'!D110</f>
        <v/>
      </c>
      <c r="I130" s="45" t="str">
        <f aca="false">'CERTIFICADO 1'!E110</f>
        <v/>
      </c>
      <c r="J130" s="46" t="str">
        <f aca="false">'CERTIFICADO 1'!F110</f>
        <v/>
      </c>
      <c r="K130" s="2"/>
      <c r="L130" s="42" t="e">
        <f aca="false">IF(M130="","",L129+1)</f>
        <v>#VALUE!</v>
      </c>
      <c r="M130" s="34" t="e">
        <f aca="false">'CERTIFICADO 1'!B110</f>
        <v>#VALUE!</v>
      </c>
      <c r="N130" s="35" t="str">
        <f aca="false">'CERTIFICADO 1'!C110</f>
        <v/>
      </c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</row>
    <row r="131" customFormat="false" ht="15" hidden="false" customHeight="false" outlineLevel="0" collapsed="false">
      <c r="A131" s="36"/>
      <c r="B131" s="37"/>
      <c r="C131" s="38"/>
      <c r="D131" s="39"/>
      <c r="E131" s="39"/>
      <c r="F131" s="39"/>
      <c r="G131" s="40"/>
      <c r="H131" s="43" t="str">
        <f aca="false">'CERTIFICADO 1'!D111</f>
        <v/>
      </c>
      <c r="I131" s="45" t="str">
        <f aca="false">'CERTIFICADO 1'!E111</f>
        <v/>
      </c>
      <c r="J131" s="46" t="str">
        <f aca="false">'CERTIFICADO 1'!F111</f>
        <v/>
      </c>
      <c r="K131" s="2"/>
      <c r="L131" s="42" t="e">
        <f aca="false">IF(M131="","",L130+1)</f>
        <v>#VALUE!</v>
      </c>
      <c r="M131" s="34" t="e">
        <f aca="false">'CERTIFICADO 1'!B111</f>
        <v>#VALUE!</v>
      </c>
      <c r="N131" s="35" t="str">
        <f aca="false">'CERTIFICADO 1'!C111</f>
        <v/>
      </c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</row>
    <row r="132" customFormat="false" ht="15" hidden="false" customHeight="false" outlineLevel="0" collapsed="false">
      <c r="A132" s="36"/>
      <c r="B132" s="37"/>
      <c r="C132" s="38"/>
      <c r="D132" s="39"/>
      <c r="E132" s="39"/>
      <c r="F132" s="39"/>
      <c r="G132" s="40"/>
      <c r="H132" s="43" t="str">
        <f aca="false">'CERTIFICADO 1'!D112</f>
        <v/>
      </c>
      <c r="I132" s="45" t="str">
        <f aca="false">'CERTIFICADO 1'!E112</f>
        <v/>
      </c>
      <c r="J132" s="46" t="str">
        <f aca="false">'CERTIFICADO 1'!F112</f>
        <v/>
      </c>
      <c r="K132" s="2"/>
      <c r="L132" s="42" t="e">
        <f aca="false">IF(M132="","",L131+1)</f>
        <v>#VALUE!</v>
      </c>
      <c r="M132" s="34" t="e">
        <f aca="false">'CERTIFICADO 1'!B112</f>
        <v>#VALUE!</v>
      </c>
      <c r="N132" s="35" t="str">
        <f aca="false">'CERTIFICADO 1'!C112</f>
        <v/>
      </c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</row>
    <row r="133" customFormat="false" ht="15" hidden="false" customHeight="false" outlineLevel="0" collapsed="false">
      <c r="A133" s="36"/>
      <c r="B133" s="37"/>
      <c r="C133" s="38"/>
      <c r="D133" s="39"/>
      <c r="E133" s="39"/>
      <c r="F133" s="39"/>
      <c r="G133" s="40"/>
      <c r="H133" s="43" t="str">
        <f aca="false">'CERTIFICADO 1'!D113</f>
        <v/>
      </c>
      <c r="I133" s="45" t="str">
        <f aca="false">'CERTIFICADO 1'!E113</f>
        <v/>
      </c>
      <c r="J133" s="46" t="str">
        <f aca="false">'CERTIFICADO 1'!F113</f>
        <v/>
      </c>
      <c r="K133" s="2"/>
      <c r="L133" s="42" t="e">
        <f aca="false">IF(M133="","",L132+1)</f>
        <v>#VALUE!</v>
      </c>
      <c r="M133" s="34" t="e">
        <f aca="false">'CERTIFICADO 1'!B113</f>
        <v>#VALUE!</v>
      </c>
      <c r="N133" s="35" t="str">
        <f aca="false">'CERTIFICADO 1'!C113</f>
        <v/>
      </c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</row>
    <row r="134" customFormat="false" ht="15" hidden="false" customHeight="false" outlineLevel="0" collapsed="false">
      <c r="A134" s="36"/>
      <c r="B134" s="37"/>
      <c r="C134" s="38"/>
      <c r="D134" s="39"/>
      <c r="E134" s="39"/>
      <c r="F134" s="39"/>
      <c r="G134" s="40"/>
      <c r="H134" s="43" t="str">
        <f aca="false">'CERTIFICADO 1'!D114</f>
        <v/>
      </c>
      <c r="I134" s="45" t="str">
        <f aca="false">'CERTIFICADO 1'!E114</f>
        <v/>
      </c>
      <c r="J134" s="46" t="str">
        <f aca="false">'CERTIFICADO 1'!F114</f>
        <v/>
      </c>
      <c r="K134" s="2"/>
      <c r="L134" s="42" t="e">
        <f aca="false">IF(M134="","",L133+1)</f>
        <v>#VALUE!</v>
      </c>
      <c r="M134" s="34" t="e">
        <f aca="false">'CERTIFICADO 1'!B114</f>
        <v>#VALUE!</v>
      </c>
      <c r="N134" s="35" t="str">
        <f aca="false">'CERTIFICADO 1'!C114</f>
        <v/>
      </c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</row>
    <row r="135" customFormat="false" ht="15" hidden="false" customHeight="false" outlineLevel="0" collapsed="false">
      <c r="A135" s="36"/>
      <c r="B135" s="37"/>
      <c r="C135" s="38"/>
      <c r="D135" s="39"/>
      <c r="E135" s="39"/>
      <c r="F135" s="39"/>
      <c r="G135" s="40"/>
      <c r="H135" s="43" t="str">
        <f aca="false">'CERTIFICADO 1'!D115</f>
        <v/>
      </c>
      <c r="I135" s="45" t="str">
        <f aca="false">'CERTIFICADO 1'!E115</f>
        <v/>
      </c>
      <c r="J135" s="46" t="str">
        <f aca="false">'CERTIFICADO 1'!F115</f>
        <v/>
      </c>
      <c r="K135" s="2"/>
      <c r="L135" s="42" t="e">
        <f aca="false">IF(M135="","",L134+1)</f>
        <v>#VALUE!</v>
      </c>
      <c r="M135" s="34" t="e">
        <f aca="false">'CERTIFICADO 1'!B115</f>
        <v>#VALUE!</v>
      </c>
      <c r="N135" s="35" t="str">
        <f aca="false">'CERTIFICADO 1'!C115</f>
        <v/>
      </c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</row>
    <row r="136" customFormat="false" ht="15" hidden="false" customHeight="false" outlineLevel="0" collapsed="false">
      <c r="A136" s="36"/>
      <c r="B136" s="37"/>
      <c r="C136" s="38"/>
      <c r="D136" s="39"/>
      <c r="E136" s="39"/>
      <c r="F136" s="39"/>
      <c r="G136" s="40"/>
      <c r="H136" s="43" t="str">
        <f aca="false">'CERTIFICADO 1'!D116</f>
        <v/>
      </c>
      <c r="I136" s="45" t="str">
        <f aca="false">'CERTIFICADO 1'!E116</f>
        <v/>
      </c>
      <c r="J136" s="46" t="str">
        <f aca="false">'CERTIFICADO 1'!F116</f>
        <v/>
      </c>
      <c r="K136" s="2"/>
      <c r="L136" s="42" t="e">
        <f aca="false">IF(M136="","",L135+1)</f>
        <v>#VALUE!</v>
      </c>
      <c r="M136" s="34" t="e">
        <f aca="false">'CERTIFICADO 1'!B116</f>
        <v>#VALUE!</v>
      </c>
      <c r="N136" s="35" t="str">
        <f aca="false">'CERTIFICADO 1'!C116</f>
        <v/>
      </c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</row>
    <row r="137" customFormat="false" ht="15" hidden="false" customHeight="false" outlineLevel="0" collapsed="false">
      <c r="A137" s="47"/>
      <c r="B137" s="48"/>
      <c r="C137" s="49"/>
      <c r="D137" s="50"/>
      <c r="E137" s="50"/>
      <c r="F137" s="50"/>
      <c r="G137" s="51"/>
      <c r="H137" s="52" t="str">
        <f aca="false">'CERTIFICADO 1'!D117</f>
        <v/>
      </c>
      <c r="I137" s="53" t="str">
        <f aca="false">'CERTIFICADO 1'!E117</f>
        <v/>
      </c>
      <c r="J137" s="54" t="str">
        <f aca="false">'CERTIFICADO 1'!F117</f>
        <v/>
      </c>
      <c r="K137" s="2"/>
      <c r="L137" s="55" t="e">
        <f aca="false">IF(M137="","",L136+1)</f>
        <v>#VALUE!</v>
      </c>
      <c r="M137" s="56" t="e">
        <f aca="false">'CERTIFICADO 1'!B117</f>
        <v>#VALUE!</v>
      </c>
      <c r="N137" s="57" t="str">
        <f aca="false">'CERTIFICADO 1'!C117</f>
        <v/>
      </c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</row>
    <row r="138" customFormat="false" ht="15" hidden="false" customHeight="fals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</row>
    <row r="139" customFormat="false" ht="15" hidden="false" customHeight="fals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</row>
    <row r="140" customFormat="false" ht="15" hidden="false" customHeight="fals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</row>
    <row r="141" customFormat="false" ht="15" hidden="false" customHeight="fals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</row>
    <row r="142" customFormat="false" ht="15" hidden="false" customHeight="fals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</row>
    <row r="143" customFormat="false" ht="15" hidden="false" customHeight="fals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</row>
    <row r="144" customFormat="false" ht="15" hidden="false" customHeight="fals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</row>
    <row r="145" customFormat="false" ht="15" hidden="false" customHeight="fals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</row>
    <row r="146" customFormat="false" ht="15" hidden="false" customHeight="fals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</row>
    <row r="147" customFormat="false" ht="15" hidden="false" customHeight="fals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</row>
    <row r="148" customFormat="false" ht="15" hidden="false" customHeight="fals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</row>
    <row r="149" customFormat="false" ht="15" hidden="false" customHeight="fals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</row>
    <row r="150" customFormat="false" ht="15" hidden="false" customHeight="fals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</row>
    <row r="151" customFormat="false" ht="15" hidden="false" customHeight="fals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</row>
    <row r="152" customFormat="false" ht="15" hidden="false" customHeight="fals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</row>
    <row r="153" customFormat="false" ht="15" hidden="false" customHeight="fals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</row>
    <row r="154" customFormat="false" ht="15" hidden="false" customHeight="fals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</row>
    <row r="155" customFormat="false" ht="15" hidden="false" customHeight="fals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</row>
    <row r="156" customFormat="false" ht="15" hidden="false" customHeight="fals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</row>
    <row r="157" customFormat="false" ht="15" hidden="false" customHeight="fals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</row>
    <row r="158" customFormat="false" ht="15" hidden="false" customHeight="fals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</row>
    <row r="159" customFormat="false" ht="15" hidden="false" customHeight="fals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</row>
    <row r="160" customFormat="false" ht="15" hidden="false" customHeight="fals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</row>
    <row r="161" customFormat="false" ht="15" hidden="false" customHeight="fals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</row>
    <row r="162" customFormat="false" ht="15" hidden="false" customHeight="fals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</row>
    <row r="163" customFormat="false" ht="15" hidden="false" customHeight="fals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</row>
    <row r="164" customFormat="false" ht="15" hidden="false" customHeight="fals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</row>
    <row r="165" customFormat="false" ht="15" hidden="false" customHeight="fals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</row>
    <row r="166" customFormat="false" ht="15" hidden="false" customHeight="fals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</row>
    <row r="167" customFormat="false" ht="15" hidden="false" customHeight="fals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</row>
    <row r="168" customFormat="false" ht="15" hidden="false" customHeight="fals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</row>
    <row r="169" customFormat="false" ht="15" hidden="false" customHeight="fals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</row>
    <row r="170" customFormat="false" ht="15" hidden="false" customHeight="fals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</row>
    <row r="171" customFormat="false" ht="15" hidden="false" customHeight="fals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</row>
    <row r="172" customFormat="false" ht="15" hidden="false" customHeight="fals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</row>
    <row r="173" customFormat="false" ht="15" hidden="false" customHeight="fals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</row>
    <row r="174" customFormat="false" ht="15" hidden="false" customHeight="fals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</row>
    <row r="175" customFormat="false" ht="15" hidden="false" customHeight="fals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</row>
    <row r="176" customFormat="false" ht="15" hidden="false" customHeight="fals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</row>
    <row r="177" customFormat="false" ht="15" hidden="false" customHeight="fals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</row>
    <row r="178" customFormat="false" ht="15" hidden="false" customHeight="fals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</row>
    <row r="179" customFormat="false" ht="15" hidden="false" customHeight="fals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</row>
    <row r="180" customFormat="false" ht="15" hidden="false" customHeight="fals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</row>
    <row r="181" customFormat="false" ht="15" hidden="false" customHeight="fals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</row>
    <row r="182" customFormat="false" ht="15" hidden="false" customHeight="fals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</row>
    <row r="183" customFormat="false" ht="15" hidden="false" customHeight="fals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</row>
    <row r="184" customFormat="false" ht="15" hidden="false" customHeight="fals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</row>
    <row r="185" customFormat="false" ht="15" hidden="false" customHeight="fals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</row>
    <row r="186" customFormat="false" ht="15" hidden="false" customHeight="fals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</row>
    <row r="187" customFormat="false" ht="15" hidden="false" customHeight="fals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</row>
    <row r="188" customFormat="false" ht="15" hidden="false" customHeight="fals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</row>
    <row r="189" customFormat="false" ht="15" hidden="false" customHeight="fals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</row>
    <row r="190" customFormat="false" ht="15" hidden="false" customHeight="fals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</row>
    <row r="191" customFormat="false" ht="15" hidden="false" customHeight="fals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</row>
    <row r="192" customFormat="false" ht="15" hidden="false" customHeight="fals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</row>
    <row r="193" customFormat="false" ht="15" hidden="false" customHeight="false" outlineLevel="0" collapsed="false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</row>
    <row r="194" customFormat="false" ht="15" hidden="false" customHeight="false" outlineLevel="0" collapsed="false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</row>
    <row r="195" customFormat="false" ht="15" hidden="false" customHeight="false" outlineLevel="0" collapsed="false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</row>
    <row r="196" customFormat="false" ht="15" hidden="false" customHeight="false" outlineLevel="0" collapsed="false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</row>
    <row r="197" customFormat="false" ht="15" hidden="false" customHeight="false" outlineLevel="0" collapsed="false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</row>
    <row r="198" customFormat="false" ht="15" hidden="false" customHeight="false" outlineLevel="0" collapsed="false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</row>
    <row r="199" customFormat="false" ht="15" hidden="false" customHeight="false" outlineLevel="0" collapsed="false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</row>
    <row r="200" customFormat="false" ht="15" hidden="false" customHeight="false" outlineLevel="0" collapsed="false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</row>
    <row r="201" customFormat="false" ht="15" hidden="false" customHeight="false" outlineLevel="0" collapsed="false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</row>
    <row r="202" customFormat="false" ht="15" hidden="false" customHeight="false" outlineLevel="0" collapsed="false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</row>
    <row r="203" customFormat="false" ht="15" hidden="false" customHeight="false" outlineLevel="0" collapsed="false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</row>
    <row r="204" customFormat="false" ht="15" hidden="false" customHeight="false" outlineLevel="0" collapsed="false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</row>
    <row r="205" customFormat="false" ht="15" hidden="false" customHeight="false" outlineLevel="0" collapsed="false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</row>
    <row r="206" customFormat="false" ht="15" hidden="false" customHeight="false" outlineLevel="0" collapsed="false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</row>
    <row r="207" customFormat="false" ht="15" hidden="false" customHeight="false" outlineLevel="0" collapsed="false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</row>
    <row r="208" customFormat="false" ht="15" hidden="false" customHeight="false" outlineLevel="0" collapsed="false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</row>
    <row r="209" customFormat="false" ht="15" hidden="false" customHeight="false" outlineLevel="0" collapsed="false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</row>
    <row r="210" customFormat="false" ht="15" hidden="false" customHeight="false" outlineLevel="0" collapsed="false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</row>
    <row r="211" customFormat="false" ht="15" hidden="false" customHeight="false" outlineLevel="0" collapsed="false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</row>
    <row r="212" customFormat="false" ht="15" hidden="false" customHeight="false" outlineLevel="0" collapsed="false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</row>
    <row r="213" customFormat="false" ht="15" hidden="false" customHeight="false" outlineLevel="0" collapsed="false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</row>
    <row r="214" customFormat="false" ht="15" hidden="false" customHeight="false" outlineLevel="0" collapsed="false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</row>
    <row r="215" customFormat="false" ht="15" hidden="false" customHeight="false" outlineLevel="0" collapsed="false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</row>
    <row r="216" customFormat="false" ht="15" hidden="false" customHeight="false" outlineLevel="0" collapsed="false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</row>
    <row r="217" customFormat="false" ht="15" hidden="false" customHeight="false" outlineLevel="0" collapsed="false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</row>
    <row r="218" customFormat="false" ht="15" hidden="false" customHeight="false" outlineLevel="0" collapsed="false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</row>
    <row r="219" customFormat="false" ht="15" hidden="false" customHeight="false" outlineLevel="0" collapsed="false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</row>
    <row r="220" customFormat="false" ht="15" hidden="false" customHeight="false" outlineLevel="0" collapsed="false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</row>
    <row r="221" customFormat="false" ht="15" hidden="false" customHeight="false" outlineLevel="0" collapsed="false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</row>
    <row r="222" customFormat="false" ht="15" hidden="false" customHeight="false" outlineLevel="0" collapsed="false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</row>
    <row r="223" customFormat="false" ht="15" hidden="false" customHeight="false" outlineLevel="0" collapsed="false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</row>
    <row r="224" customFormat="false" ht="15" hidden="false" customHeight="false" outlineLevel="0" collapsed="false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</row>
    <row r="225" customFormat="false" ht="15" hidden="false" customHeight="false" outlineLevel="0" collapsed="false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</row>
    <row r="226" customFormat="false" ht="15" hidden="false" customHeight="false" outlineLevel="0" collapsed="false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</row>
    <row r="227" customFormat="false" ht="15" hidden="false" customHeight="false" outlineLevel="0" collapsed="false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</row>
    <row r="228" customFormat="false" ht="15" hidden="false" customHeight="false" outlineLevel="0" collapsed="false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</row>
    <row r="229" customFormat="false" ht="15" hidden="false" customHeight="false" outlineLevel="0" collapsed="false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</row>
    <row r="230" customFormat="false" ht="15" hidden="false" customHeight="false" outlineLevel="0" collapsed="false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</row>
    <row r="231" customFormat="false" ht="15" hidden="false" customHeight="false" outlineLevel="0" collapsed="false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</row>
    <row r="232" customFormat="false" ht="15" hidden="false" customHeight="false" outlineLevel="0" collapsed="false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</row>
    <row r="233" customFormat="false" ht="15" hidden="false" customHeight="false" outlineLevel="0" collapsed="false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</row>
    <row r="234" customFormat="false" ht="15" hidden="false" customHeight="false" outlineLevel="0" collapsed="false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</row>
    <row r="235" customFormat="false" ht="15" hidden="false" customHeight="false" outlineLevel="0" collapsed="false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</row>
    <row r="236" customFormat="false" ht="15" hidden="false" customHeight="false" outlineLevel="0" collapsed="false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</row>
    <row r="237" customFormat="false" ht="15" hidden="false" customHeight="false" outlineLevel="0" collapsed="false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</row>
    <row r="238" customFormat="false" ht="15" hidden="false" customHeight="false" outlineLevel="0" collapsed="false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</row>
    <row r="239" customFormat="false" ht="15" hidden="false" customHeight="false" outlineLevel="0" collapsed="false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</row>
    <row r="240" customFormat="false" ht="15" hidden="false" customHeight="false" outlineLevel="0" collapsed="false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</row>
    <row r="241" customFormat="false" ht="15" hidden="false" customHeight="false" outlineLevel="0" collapsed="false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</row>
    <row r="242" customFormat="false" ht="15" hidden="false" customHeight="false" outlineLevel="0" collapsed="false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</row>
    <row r="243" customFormat="false" ht="15" hidden="false" customHeight="false" outlineLevel="0" collapsed="false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</row>
    <row r="244" customFormat="false" ht="15" hidden="false" customHeight="false" outlineLevel="0" collapsed="false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</row>
    <row r="245" customFormat="false" ht="15" hidden="false" customHeight="false" outlineLevel="0" collapsed="false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</row>
    <row r="246" customFormat="false" ht="15" hidden="false" customHeight="false" outlineLevel="0" collapsed="false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</row>
    <row r="247" customFormat="false" ht="15" hidden="false" customHeight="false" outlineLevel="0" collapsed="false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</row>
    <row r="248" customFormat="false" ht="15" hidden="false" customHeight="false" outlineLevel="0" collapsed="false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</row>
    <row r="249" customFormat="false" ht="15" hidden="false" customHeight="false" outlineLevel="0" collapsed="false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</row>
    <row r="250" customFormat="false" ht="15" hidden="false" customHeight="false" outlineLevel="0" collapsed="false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</row>
    <row r="251" customFormat="false" ht="15" hidden="false" customHeight="false" outlineLevel="0" collapsed="false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</row>
    <row r="252" customFormat="false" ht="15" hidden="false" customHeight="false" outlineLevel="0" collapsed="false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</row>
    <row r="253" customFormat="false" ht="15" hidden="false" customHeight="false" outlineLevel="0" collapsed="false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</row>
    <row r="254" customFormat="false" ht="15" hidden="false" customHeight="false" outlineLevel="0" collapsed="false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</row>
    <row r="255" customFormat="false" ht="15" hidden="false" customHeight="false" outlineLevel="0" collapsed="false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</row>
    <row r="256" customFormat="false" ht="15" hidden="false" customHeight="false" outlineLevel="0" collapsed="false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</row>
    <row r="257" customFormat="false" ht="15" hidden="false" customHeight="false" outlineLevel="0" collapsed="false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</row>
    <row r="258" customFormat="false" ht="15" hidden="false" customHeight="false" outlineLevel="0" collapsed="false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</row>
    <row r="259" customFormat="false" ht="15" hidden="false" customHeight="false" outlineLevel="0" collapsed="false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</row>
    <row r="260" customFormat="false" ht="15" hidden="false" customHeight="false" outlineLevel="0" collapsed="false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</row>
    <row r="261" customFormat="false" ht="15" hidden="false" customHeight="false" outlineLevel="0" collapsed="false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</row>
    <row r="262" customFormat="false" ht="15" hidden="false" customHeight="false" outlineLevel="0" collapsed="false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</row>
    <row r="263" customFormat="false" ht="15" hidden="false" customHeight="false" outlineLevel="0" collapsed="false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</row>
    <row r="264" customFormat="false" ht="15" hidden="false" customHeight="false" outlineLevel="0" collapsed="false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</row>
    <row r="265" customFormat="false" ht="15" hidden="false" customHeight="false" outlineLevel="0" collapsed="false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</row>
    <row r="266" customFormat="false" ht="15" hidden="false" customHeight="false" outlineLevel="0" collapsed="false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</row>
    <row r="267" customFormat="false" ht="15" hidden="false" customHeight="false" outlineLevel="0" collapsed="false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</row>
    <row r="268" customFormat="false" ht="15" hidden="false" customHeight="false" outlineLevel="0" collapsed="false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</row>
    <row r="269" customFormat="false" ht="15" hidden="false" customHeight="false" outlineLevel="0" collapsed="false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</row>
    <row r="270" customFormat="false" ht="15" hidden="false" customHeight="false" outlineLevel="0" collapsed="false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</row>
    <row r="271" customFormat="false" ht="15" hidden="false" customHeight="false" outlineLevel="0" collapsed="false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</row>
    <row r="272" customFormat="false" ht="15" hidden="false" customHeight="false" outlineLevel="0" collapsed="false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</row>
    <row r="273" customFormat="false" ht="15" hidden="false" customHeight="false" outlineLevel="0" collapsed="false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</row>
    <row r="274" customFormat="false" ht="15" hidden="false" customHeight="false" outlineLevel="0" collapsed="false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</row>
    <row r="275" customFormat="false" ht="15" hidden="false" customHeight="false" outlineLevel="0" collapsed="false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</row>
    <row r="276" customFormat="false" ht="15" hidden="false" customHeight="false" outlineLevel="0" collapsed="false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</row>
    <row r="277" customFormat="false" ht="15" hidden="false" customHeight="false" outlineLevel="0" collapsed="false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</row>
    <row r="278" customFormat="false" ht="15" hidden="false" customHeight="false" outlineLevel="0" collapsed="false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</row>
    <row r="279" customFormat="false" ht="15" hidden="false" customHeight="false" outlineLevel="0" collapsed="false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</row>
    <row r="280" customFormat="false" ht="15" hidden="false" customHeight="false" outlineLevel="0" collapsed="false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</row>
    <row r="281" customFormat="false" ht="15" hidden="false" customHeight="false" outlineLevel="0" collapsed="false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</row>
    <row r="282" customFormat="false" ht="15" hidden="false" customHeight="false" outlineLevel="0" collapsed="false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</row>
    <row r="283" customFormat="false" ht="15" hidden="false" customHeight="false" outlineLevel="0" collapsed="false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</row>
    <row r="284" customFormat="false" ht="15" hidden="false" customHeight="false" outlineLevel="0" collapsed="false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</row>
    <row r="285" customFormat="false" ht="15" hidden="false" customHeight="false" outlineLevel="0" collapsed="false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</row>
    <row r="286" customFormat="false" ht="15" hidden="false" customHeight="false" outlineLevel="0" collapsed="false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</row>
    <row r="287" customFormat="false" ht="15" hidden="false" customHeight="false" outlineLevel="0" collapsed="false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</row>
    <row r="288" customFormat="false" ht="15" hidden="false" customHeight="false" outlineLevel="0" collapsed="false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</row>
    <row r="289" customFormat="false" ht="15" hidden="false" customHeight="false" outlineLevel="0" collapsed="false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</row>
    <row r="290" customFormat="false" ht="15" hidden="false" customHeight="false" outlineLevel="0" collapsed="false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</row>
    <row r="291" customFormat="false" ht="15" hidden="false" customHeight="false" outlineLevel="0" collapsed="false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</row>
    <row r="292" customFormat="false" ht="15" hidden="false" customHeight="false" outlineLevel="0" collapsed="false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</row>
    <row r="293" customFormat="false" ht="15" hidden="false" customHeight="false" outlineLevel="0" collapsed="false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</row>
    <row r="294" customFormat="false" ht="15" hidden="false" customHeight="false" outlineLevel="0" collapsed="false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</row>
    <row r="295" customFormat="false" ht="15" hidden="false" customHeight="false" outlineLevel="0" collapsed="false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</row>
    <row r="296" customFormat="false" ht="15" hidden="false" customHeight="false" outlineLevel="0" collapsed="false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</row>
    <row r="297" customFormat="false" ht="15" hidden="false" customHeight="false" outlineLevel="0" collapsed="false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</row>
    <row r="298" customFormat="false" ht="15" hidden="false" customHeight="false" outlineLevel="0" collapsed="false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</row>
    <row r="299" customFormat="false" ht="15" hidden="false" customHeight="false" outlineLevel="0" collapsed="false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</row>
    <row r="300" customFormat="false" ht="15" hidden="false" customHeight="false" outlineLevel="0" collapsed="false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</row>
    <row r="301" customFormat="false" ht="15" hidden="false" customHeight="false" outlineLevel="0" collapsed="false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</row>
    <row r="302" customFormat="false" ht="15" hidden="false" customHeight="false" outlineLevel="0" collapsed="false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</row>
    <row r="303" customFormat="false" ht="15" hidden="false" customHeight="false" outlineLevel="0" collapsed="false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</row>
    <row r="304" customFormat="false" ht="15" hidden="false" customHeight="false" outlineLevel="0" collapsed="false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</row>
    <row r="305" customFormat="false" ht="15" hidden="false" customHeight="false" outlineLevel="0" collapsed="false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</row>
    <row r="306" customFormat="false" ht="15" hidden="false" customHeight="false" outlineLevel="0" collapsed="false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</row>
    <row r="307" customFormat="false" ht="15" hidden="false" customHeight="false" outlineLevel="0" collapsed="false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</row>
    <row r="308" customFormat="false" ht="15" hidden="false" customHeight="false" outlineLevel="0" collapsed="false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</row>
    <row r="309" customFormat="false" ht="15" hidden="false" customHeight="false" outlineLevel="0" collapsed="false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</row>
    <row r="310" customFormat="false" ht="15" hidden="false" customHeight="false" outlineLevel="0" collapsed="false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</row>
    <row r="311" customFormat="false" ht="15" hidden="false" customHeight="false" outlineLevel="0" collapsed="false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</row>
    <row r="312" customFormat="false" ht="15" hidden="false" customHeight="false" outlineLevel="0" collapsed="false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</row>
    <row r="313" customFormat="false" ht="15" hidden="false" customHeight="false" outlineLevel="0" collapsed="false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</row>
    <row r="314" customFormat="false" ht="15" hidden="false" customHeight="false" outlineLevel="0" collapsed="false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</row>
    <row r="315" customFormat="false" ht="15" hidden="false" customHeight="false" outlineLevel="0" collapsed="false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</row>
    <row r="316" customFormat="false" ht="15" hidden="false" customHeight="false" outlineLevel="0" collapsed="false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</row>
    <row r="317" customFormat="false" ht="15" hidden="false" customHeight="false" outlineLevel="0" collapsed="false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</row>
    <row r="318" customFormat="false" ht="15" hidden="false" customHeight="false" outlineLevel="0" collapsed="false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</row>
    <row r="319" customFormat="false" ht="15" hidden="false" customHeight="false" outlineLevel="0" collapsed="false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</row>
    <row r="320" customFormat="false" ht="15" hidden="false" customHeight="false" outlineLevel="0" collapsed="false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</row>
    <row r="321" customFormat="false" ht="15" hidden="false" customHeight="false" outlineLevel="0" collapsed="false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</row>
    <row r="322" customFormat="false" ht="15" hidden="false" customHeight="false" outlineLevel="0" collapsed="false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</row>
    <row r="323" customFormat="false" ht="15" hidden="false" customHeight="false" outlineLevel="0" collapsed="false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</row>
    <row r="324" customFormat="false" ht="15" hidden="false" customHeight="false" outlineLevel="0" collapsed="false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</row>
    <row r="325" customFormat="false" ht="15" hidden="false" customHeight="false" outlineLevel="0" collapsed="false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</row>
    <row r="326" customFormat="false" ht="15" hidden="false" customHeight="false" outlineLevel="0" collapsed="false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</row>
    <row r="327" customFormat="false" ht="15" hidden="false" customHeight="false" outlineLevel="0" collapsed="false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</row>
    <row r="328" customFormat="false" ht="15" hidden="false" customHeight="false" outlineLevel="0" collapsed="false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</row>
    <row r="329" customFormat="false" ht="15" hidden="false" customHeight="false" outlineLevel="0" collapsed="false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</row>
    <row r="330" customFormat="false" ht="15" hidden="false" customHeight="false" outlineLevel="0" collapsed="false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</row>
    <row r="331" customFormat="false" ht="15" hidden="false" customHeight="false" outlineLevel="0" collapsed="false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</row>
    <row r="332" customFormat="false" ht="15" hidden="false" customHeight="false" outlineLevel="0" collapsed="false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</row>
    <row r="333" customFormat="false" ht="15" hidden="false" customHeight="false" outlineLevel="0" collapsed="false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</row>
    <row r="334" customFormat="false" ht="15" hidden="false" customHeight="false" outlineLevel="0" collapsed="false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</row>
    <row r="335" customFormat="false" ht="15" hidden="false" customHeight="false" outlineLevel="0" collapsed="false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</row>
    <row r="336" customFormat="false" ht="15" hidden="false" customHeight="false" outlineLevel="0" collapsed="false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</row>
    <row r="337" customFormat="false" ht="15" hidden="false" customHeight="false" outlineLevel="0" collapsed="false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</row>
    <row r="338" customFormat="false" ht="15" hidden="false" customHeight="false" outlineLevel="0" collapsed="false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</row>
    <row r="339" customFormat="false" ht="15" hidden="false" customHeight="false" outlineLevel="0" collapsed="false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</row>
    <row r="340" customFormat="false" ht="15" hidden="false" customHeight="false" outlineLevel="0" collapsed="false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</row>
    <row r="341" customFormat="false" ht="15" hidden="false" customHeight="false" outlineLevel="0" collapsed="false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</row>
    <row r="342" customFormat="false" ht="15" hidden="false" customHeight="false" outlineLevel="0" collapsed="false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</row>
    <row r="343" customFormat="false" ht="15" hidden="false" customHeight="false" outlineLevel="0" collapsed="false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</row>
    <row r="344" customFormat="false" ht="15" hidden="false" customHeight="false" outlineLevel="0" collapsed="false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</row>
    <row r="345" customFormat="false" ht="15" hidden="false" customHeight="false" outlineLevel="0" collapsed="false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</row>
    <row r="346" customFormat="false" ht="15" hidden="false" customHeight="false" outlineLevel="0" collapsed="false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</row>
    <row r="347" customFormat="false" ht="15" hidden="false" customHeight="false" outlineLevel="0" collapsed="false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</row>
    <row r="348" customFormat="false" ht="15" hidden="false" customHeight="false" outlineLevel="0" collapsed="false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</row>
    <row r="349" customFormat="false" ht="15" hidden="false" customHeight="false" outlineLevel="0" collapsed="false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</row>
    <row r="350" customFormat="false" ht="15" hidden="false" customHeight="false" outlineLevel="0" collapsed="false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</row>
    <row r="351" customFormat="false" ht="15" hidden="false" customHeight="false" outlineLevel="0" collapsed="false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</row>
    <row r="352" customFormat="false" ht="15" hidden="false" customHeight="false" outlineLevel="0" collapsed="false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</row>
    <row r="353" customFormat="false" ht="15" hidden="false" customHeight="false" outlineLevel="0" collapsed="false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</row>
    <row r="354" customFormat="false" ht="15" hidden="false" customHeight="false" outlineLevel="0" collapsed="false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</row>
    <row r="355" customFormat="false" ht="15" hidden="false" customHeight="false" outlineLevel="0" collapsed="false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</row>
    <row r="356" customFormat="false" ht="15" hidden="false" customHeight="false" outlineLevel="0" collapsed="false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</row>
    <row r="357" customFormat="false" ht="15" hidden="false" customHeight="false" outlineLevel="0" collapsed="false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</row>
    <row r="358" customFormat="false" ht="15" hidden="false" customHeight="false" outlineLevel="0" collapsed="false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</row>
    <row r="359" customFormat="false" ht="15" hidden="false" customHeight="false" outlineLevel="0" collapsed="false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</row>
    <row r="360" customFormat="false" ht="15" hidden="false" customHeight="false" outlineLevel="0" collapsed="false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</row>
    <row r="361" customFormat="false" ht="15" hidden="false" customHeight="false" outlineLevel="0" collapsed="false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</row>
    <row r="362" customFormat="false" ht="15" hidden="false" customHeight="false" outlineLevel="0" collapsed="false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</row>
    <row r="363" customFormat="false" ht="15" hidden="false" customHeight="false" outlineLevel="0" collapsed="false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</row>
    <row r="364" customFormat="false" ht="15" hidden="false" customHeight="false" outlineLevel="0" collapsed="false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</row>
    <row r="365" customFormat="false" ht="15" hidden="false" customHeight="false" outlineLevel="0" collapsed="false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</row>
    <row r="366" customFormat="false" ht="15" hidden="false" customHeight="false" outlineLevel="0" collapsed="false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</row>
    <row r="367" customFormat="false" ht="15" hidden="false" customHeight="false" outlineLevel="0" collapsed="false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</row>
    <row r="368" customFormat="false" ht="15" hidden="false" customHeight="false" outlineLevel="0" collapsed="false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</row>
    <row r="369" customFormat="false" ht="15" hidden="false" customHeight="false" outlineLevel="0" collapsed="false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</row>
    <row r="370" customFormat="false" ht="15" hidden="false" customHeight="false" outlineLevel="0" collapsed="false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</row>
    <row r="371" customFormat="false" ht="15" hidden="false" customHeight="false" outlineLevel="0" collapsed="false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</row>
    <row r="372" customFormat="false" ht="15" hidden="false" customHeight="false" outlineLevel="0" collapsed="false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</row>
    <row r="373" customFormat="false" ht="15" hidden="false" customHeight="false" outlineLevel="0" collapsed="false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</row>
    <row r="374" customFormat="false" ht="15" hidden="false" customHeight="false" outlineLevel="0" collapsed="false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</row>
    <row r="375" customFormat="false" ht="15" hidden="false" customHeight="false" outlineLevel="0" collapsed="false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</row>
    <row r="376" customFormat="false" ht="15" hidden="false" customHeight="false" outlineLevel="0" collapsed="false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</row>
    <row r="377" customFormat="false" ht="15" hidden="false" customHeight="false" outlineLevel="0" collapsed="false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</row>
    <row r="378" customFormat="false" ht="15" hidden="false" customHeight="false" outlineLevel="0" collapsed="false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</row>
    <row r="379" customFormat="false" ht="15" hidden="false" customHeight="false" outlineLevel="0" collapsed="false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</row>
    <row r="380" customFormat="false" ht="15" hidden="false" customHeight="false" outlineLevel="0" collapsed="false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</row>
    <row r="381" customFormat="false" ht="15" hidden="false" customHeight="false" outlineLevel="0" collapsed="false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</row>
    <row r="382" customFormat="false" ht="15" hidden="false" customHeight="false" outlineLevel="0" collapsed="false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</row>
    <row r="383" customFormat="false" ht="15" hidden="false" customHeight="false" outlineLevel="0" collapsed="false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</row>
    <row r="384" customFormat="false" ht="15" hidden="false" customHeight="false" outlineLevel="0" collapsed="false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</row>
    <row r="385" customFormat="false" ht="15" hidden="false" customHeight="false" outlineLevel="0" collapsed="false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</row>
    <row r="386" customFormat="false" ht="15" hidden="false" customHeight="false" outlineLevel="0" collapsed="false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</row>
    <row r="387" customFormat="false" ht="15" hidden="false" customHeight="false" outlineLevel="0" collapsed="false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</row>
    <row r="388" customFormat="false" ht="15" hidden="false" customHeight="false" outlineLevel="0" collapsed="false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</row>
    <row r="389" customFormat="false" ht="15" hidden="false" customHeight="false" outlineLevel="0" collapsed="false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</row>
    <row r="390" customFormat="false" ht="15" hidden="false" customHeight="false" outlineLevel="0" collapsed="false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</row>
    <row r="391" customFormat="false" ht="15" hidden="false" customHeight="false" outlineLevel="0" collapsed="false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</row>
    <row r="392" customFormat="false" ht="15" hidden="false" customHeight="false" outlineLevel="0" collapsed="false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</row>
    <row r="393" customFormat="false" ht="15" hidden="false" customHeight="false" outlineLevel="0" collapsed="false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</row>
    <row r="394" customFormat="false" ht="15" hidden="false" customHeight="false" outlineLevel="0" collapsed="false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</row>
    <row r="395" customFormat="false" ht="15" hidden="false" customHeight="false" outlineLevel="0" collapsed="false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</row>
    <row r="396" customFormat="false" ht="15" hidden="false" customHeight="false" outlineLevel="0" collapsed="false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</row>
    <row r="397" customFormat="false" ht="15" hidden="false" customHeight="false" outlineLevel="0" collapsed="false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</row>
    <row r="398" customFormat="false" ht="15" hidden="false" customHeight="false" outlineLevel="0" collapsed="false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</row>
    <row r="399" customFormat="false" ht="15" hidden="false" customHeight="false" outlineLevel="0" collapsed="false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</row>
    <row r="400" customFormat="false" ht="15" hidden="false" customHeight="false" outlineLevel="0" collapsed="false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</row>
    <row r="401" customFormat="false" ht="15" hidden="false" customHeight="false" outlineLevel="0" collapsed="false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</row>
    <row r="402" customFormat="false" ht="15" hidden="false" customHeight="false" outlineLevel="0" collapsed="false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</row>
    <row r="403" customFormat="false" ht="15" hidden="false" customHeight="false" outlineLevel="0" collapsed="false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</row>
    <row r="404" customFormat="false" ht="15" hidden="false" customHeight="false" outlineLevel="0" collapsed="false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</row>
    <row r="405" customFormat="false" ht="15" hidden="false" customHeight="false" outlineLevel="0" collapsed="false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</row>
    <row r="406" customFormat="false" ht="15" hidden="false" customHeight="false" outlineLevel="0" collapsed="false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</row>
    <row r="407" customFormat="false" ht="15" hidden="false" customHeight="false" outlineLevel="0" collapsed="false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</row>
    <row r="408" customFormat="false" ht="15" hidden="false" customHeight="false" outlineLevel="0" collapsed="false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</row>
    <row r="409" customFormat="false" ht="15" hidden="false" customHeight="false" outlineLevel="0" collapsed="false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</row>
    <row r="410" customFormat="false" ht="15" hidden="false" customHeight="false" outlineLevel="0" collapsed="false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</row>
    <row r="411" customFormat="false" ht="15" hidden="false" customHeight="false" outlineLevel="0" collapsed="false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</row>
    <row r="412" customFormat="false" ht="15" hidden="false" customHeight="false" outlineLevel="0" collapsed="false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</row>
    <row r="413" customFormat="false" ht="15" hidden="false" customHeight="false" outlineLevel="0" collapsed="false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</row>
    <row r="414" customFormat="false" ht="15" hidden="false" customHeight="false" outlineLevel="0" collapsed="false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</row>
    <row r="415" customFormat="false" ht="15" hidden="false" customHeight="false" outlineLevel="0" collapsed="false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</row>
    <row r="416" customFormat="false" ht="15" hidden="false" customHeight="false" outlineLevel="0" collapsed="false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</row>
    <row r="417" customFormat="false" ht="15" hidden="false" customHeight="false" outlineLevel="0" collapsed="false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</row>
    <row r="418" customFormat="false" ht="15" hidden="false" customHeight="false" outlineLevel="0" collapsed="false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</row>
    <row r="419" customFormat="false" ht="15" hidden="false" customHeight="false" outlineLevel="0" collapsed="false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</row>
    <row r="420" customFormat="false" ht="15" hidden="false" customHeight="false" outlineLevel="0" collapsed="false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</row>
    <row r="421" customFormat="false" ht="15" hidden="false" customHeight="false" outlineLevel="0" collapsed="false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</row>
    <row r="422" customFormat="false" ht="15" hidden="false" customHeight="false" outlineLevel="0" collapsed="false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</row>
    <row r="423" customFormat="false" ht="15" hidden="false" customHeight="false" outlineLevel="0" collapsed="false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</row>
    <row r="424" customFormat="false" ht="15" hidden="false" customHeight="false" outlineLevel="0" collapsed="false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</row>
    <row r="425" customFormat="false" ht="15" hidden="false" customHeight="false" outlineLevel="0" collapsed="false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</row>
    <row r="426" customFormat="false" ht="15" hidden="false" customHeight="false" outlineLevel="0" collapsed="false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</row>
    <row r="427" customFormat="false" ht="15" hidden="false" customHeight="false" outlineLevel="0" collapsed="false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</row>
    <row r="428" customFormat="false" ht="15" hidden="false" customHeight="false" outlineLevel="0" collapsed="false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</row>
    <row r="429" customFormat="false" ht="15" hidden="false" customHeight="false" outlineLevel="0" collapsed="false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</row>
    <row r="430" customFormat="false" ht="15" hidden="false" customHeight="false" outlineLevel="0" collapsed="false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</row>
    <row r="431" customFormat="false" ht="15" hidden="false" customHeight="false" outlineLevel="0" collapsed="false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</row>
    <row r="432" customFormat="false" ht="15" hidden="false" customHeight="false" outlineLevel="0" collapsed="false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</row>
    <row r="433" customFormat="false" ht="15" hidden="false" customHeight="false" outlineLevel="0" collapsed="false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</row>
    <row r="434" customFormat="false" ht="15" hidden="false" customHeight="false" outlineLevel="0" collapsed="false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</row>
    <row r="435" customFormat="false" ht="15" hidden="false" customHeight="false" outlineLevel="0" collapsed="false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</row>
    <row r="436" customFormat="false" ht="15" hidden="false" customHeight="false" outlineLevel="0" collapsed="false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</row>
    <row r="437" customFormat="false" ht="15" hidden="false" customHeight="false" outlineLevel="0" collapsed="false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</row>
    <row r="438" customFormat="false" ht="15" hidden="false" customHeight="false" outlineLevel="0" collapsed="false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</row>
    <row r="439" customFormat="false" ht="15" hidden="false" customHeight="false" outlineLevel="0" collapsed="false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</row>
    <row r="440" customFormat="false" ht="15" hidden="false" customHeight="false" outlineLevel="0" collapsed="false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</row>
    <row r="441" customFormat="false" ht="15" hidden="false" customHeight="false" outlineLevel="0" collapsed="false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</row>
    <row r="442" customFormat="false" ht="15" hidden="false" customHeight="false" outlineLevel="0" collapsed="false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</row>
    <row r="443" customFormat="false" ht="15" hidden="false" customHeight="false" outlineLevel="0" collapsed="false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</row>
    <row r="444" customFormat="false" ht="15" hidden="false" customHeight="false" outlineLevel="0" collapsed="false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</row>
    <row r="445" customFormat="false" ht="15" hidden="false" customHeight="false" outlineLevel="0" collapsed="false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</row>
    <row r="446" customFormat="false" ht="15" hidden="false" customHeight="false" outlineLevel="0" collapsed="false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</row>
    <row r="447" customFormat="false" ht="15" hidden="false" customHeight="false" outlineLevel="0" collapsed="false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</row>
    <row r="448" customFormat="false" ht="15" hidden="false" customHeight="false" outlineLevel="0" collapsed="false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</row>
    <row r="449" customFormat="false" ht="15" hidden="false" customHeight="false" outlineLevel="0" collapsed="false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</row>
    <row r="450" customFormat="false" ht="15" hidden="false" customHeight="false" outlineLevel="0" collapsed="false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</row>
    <row r="451" customFormat="false" ht="15" hidden="false" customHeight="false" outlineLevel="0" collapsed="false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</row>
    <row r="452" customFormat="false" ht="15" hidden="false" customHeight="false" outlineLevel="0" collapsed="false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</row>
    <row r="453" customFormat="false" ht="15" hidden="false" customHeight="false" outlineLevel="0" collapsed="false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</row>
    <row r="454" customFormat="false" ht="15" hidden="false" customHeight="false" outlineLevel="0" collapsed="false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</row>
    <row r="455" customFormat="false" ht="15" hidden="false" customHeight="false" outlineLevel="0" collapsed="false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</row>
    <row r="456" customFormat="false" ht="15" hidden="false" customHeight="false" outlineLevel="0" collapsed="false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</row>
    <row r="457" customFormat="false" ht="15" hidden="false" customHeight="false" outlineLevel="0" collapsed="false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</row>
    <row r="458" customFormat="false" ht="15" hidden="false" customHeight="false" outlineLevel="0" collapsed="false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</row>
    <row r="459" customFormat="false" ht="15" hidden="false" customHeight="false" outlineLevel="0" collapsed="false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</row>
    <row r="460" customFormat="false" ht="15" hidden="false" customHeight="false" outlineLevel="0" collapsed="false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</row>
    <row r="461" customFormat="false" ht="15" hidden="false" customHeight="false" outlineLevel="0" collapsed="false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</row>
    <row r="462" customFormat="false" ht="15" hidden="false" customHeight="false" outlineLevel="0" collapsed="false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</row>
    <row r="463" customFormat="false" ht="15" hidden="false" customHeight="false" outlineLevel="0" collapsed="false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</row>
    <row r="464" customFormat="false" ht="15" hidden="false" customHeight="false" outlineLevel="0" collapsed="false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</row>
    <row r="465" customFormat="false" ht="15" hidden="false" customHeight="false" outlineLevel="0" collapsed="false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</row>
    <row r="466" customFormat="false" ht="15" hidden="false" customHeight="false" outlineLevel="0" collapsed="false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</row>
    <row r="467" customFormat="false" ht="15" hidden="false" customHeight="false" outlineLevel="0" collapsed="false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</row>
    <row r="468" customFormat="false" ht="15" hidden="false" customHeight="false" outlineLevel="0" collapsed="false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</row>
    <row r="469" customFormat="false" ht="15" hidden="false" customHeight="false" outlineLevel="0" collapsed="false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</row>
    <row r="470" customFormat="false" ht="15" hidden="false" customHeight="false" outlineLevel="0" collapsed="false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</row>
    <row r="471" customFormat="false" ht="15" hidden="false" customHeight="false" outlineLevel="0" collapsed="false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</row>
    <row r="472" customFormat="false" ht="15" hidden="false" customHeight="false" outlineLevel="0" collapsed="false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</row>
    <row r="473" customFormat="false" ht="15" hidden="false" customHeight="false" outlineLevel="0" collapsed="false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</row>
    <row r="474" customFormat="false" ht="15" hidden="false" customHeight="false" outlineLevel="0" collapsed="false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</row>
    <row r="475" customFormat="false" ht="15" hidden="false" customHeight="false" outlineLevel="0" collapsed="false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</row>
    <row r="476" customFormat="false" ht="15" hidden="false" customHeight="false" outlineLevel="0" collapsed="false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</row>
    <row r="477" customFormat="false" ht="15" hidden="false" customHeight="false" outlineLevel="0" collapsed="false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</row>
    <row r="478" customFormat="false" ht="15" hidden="false" customHeight="false" outlineLevel="0" collapsed="false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</row>
    <row r="479" customFormat="false" ht="15" hidden="false" customHeight="false" outlineLevel="0" collapsed="false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</row>
    <row r="480" customFormat="false" ht="15" hidden="false" customHeight="false" outlineLevel="0" collapsed="false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</row>
    <row r="481" customFormat="false" ht="15" hidden="false" customHeight="false" outlineLevel="0" collapsed="false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</row>
    <row r="482" customFormat="false" ht="15" hidden="false" customHeight="false" outlineLevel="0" collapsed="false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</row>
    <row r="483" customFormat="false" ht="15" hidden="false" customHeight="false" outlineLevel="0" collapsed="false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</row>
    <row r="484" customFormat="false" ht="15" hidden="false" customHeight="false" outlineLevel="0" collapsed="false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</row>
    <row r="485" customFormat="false" ht="15" hidden="false" customHeight="false" outlineLevel="0" collapsed="false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</row>
    <row r="486" customFormat="false" ht="15" hidden="false" customHeight="false" outlineLevel="0" collapsed="false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</row>
    <row r="487" customFormat="false" ht="15" hidden="false" customHeight="false" outlineLevel="0" collapsed="false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</row>
    <row r="488" customFormat="false" ht="15" hidden="false" customHeight="false" outlineLevel="0" collapsed="false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</row>
    <row r="489" customFormat="false" ht="15" hidden="false" customHeight="false" outlineLevel="0" collapsed="false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</row>
    <row r="490" customFormat="false" ht="15" hidden="false" customHeight="false" outlineLevel="0" collapsed="false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</row>
    <row r="491" customFormat="false" ht="15" hidden="false" customHeight="false" outlineLevel="0" collapsed="false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</row>
    <row r="492" customFormat="false" ht="15" hidden="false" customHeight="false" outlineLevel="0" collapsed="false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</row>
    <row r="493" customFormat="false" ht="15" hidden="false" customHeight="false" outlineLevel="0" collapsed="false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</row>
    <row r="494" customFormat="false" ht="15" hidden="false" customHeight="false" outlineLevel="0" collapsed="false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</row>
    <row r="495" customFormat="false" ht="15" hidden="false" customHeight="false" outlineLevel="0" collapsed="false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</row>
    <row r="496" customFormat="false" ht="15" hidden="false" customHeight="false" outlineLevel="0" collapsed="false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</row>
    <row r="497" customFormat="false" ht="15" hidden="false" customHeight="false" outlineLevel="0" collapsed="false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</row>
    <row r="498" customFormat="false" ht="15" hidden="false" customHeight="false" outlineLevel="0" collapsed="false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</row>
    <row r="499" customFormat="false" ht="15" hidden="false" customHeight="false" outlineLevel="0" collapsed="false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</row>
    <row r="500" customFormat="false" ht="15" hidden="false" customHeight="false" outlineLevel="0" collapsed="false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</row>
    <row r="501" customFormat="false" ht="15" hidden="false" customHeight="false" outlineLevel="0" collapsed="false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</row>
    <row r="502" customFormat="false" ht="15" hidden="false" customHeight="false" outlineLevel="0" collapsed="false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</row>
    <row r="503" customFormat="false" ht="15" hidden="false" customHeight="false" outlineLevel="0" collapsed="false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</row>
    <row r="504" customFormat="false" ht="15" hidden="false" customHeight="false" outlineLevel="0" collapsed="false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</row>
    <row r="505" customFormat="false" ht="15" hidden="false" customHeight="false" outlineLevel="0" collapsed="false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</row>
    <row r="506" customFormat="false" ht="15" hidden="false" customHeight="false" outlineLevel="0" collapsed="false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</row>
    <row r="507" customFormat="false" ht="15" hidden="false" customHeight="false" outlineLevel="0" collapsed="false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</row>
    <row r="508" customFormat="false" ht="15" hidden="false" customHeight="false" outlineLevel="0" collapsed="false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</row>
    <row r="509" customFormat="false" ht="15" hidden="false" customHeight="false" outlineLevel="0" collapsed="false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</row>
    <row r="510" customFormat="false" ht="15" hidden="false" customHeight="false" outlineLevel="0" collapsed="false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</row>
    <row r="511" customFormat="false" ht="15" hidden="false" customHeight="false" outlineLevel="0" collapsed="false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</row>
    <row r="512" customFormat="false" ht="15" hidden="false" customHeight="false" outlineLevel="0" collapsed="false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</row>
    <row r="513" customFormat="false" ht="15" hidden="false" customHeight="false" outlineLevel="0" collapsed="false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</row>
    <row r="514" customFormat="false" ht="15" hidden="false" customHeight="false" outlineLevel="0" collapsed="false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</row>
    <row r="515" customFormat="false" ht="15" hidden="false" customHeight="false" outlineLevel="0" collapsed="false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</row>
    <row r="516" customFormat="false" ht="15" hidden="false" customHeight="false" outlineLevel="0" collapsed="false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</row>
    <row r="517" customFormat="false" ht="15" hidden="false" customHeight="false" outlineLevel="0" collapsed="false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</row>
    <row r="518" customFormat="false" ht="15" hidden="false" customHeight="false" outlineLevel="0" collapsed="false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</row>
    <row r="519" customFormat="false" ht="15" hidden="false" customHeight="false" outlineLevel="0" collapsed="false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</row>
    <row r="520" customFormat="false" ht="15" hidden="false" customHeight="false" outlineLevel="0" collapsed="false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</row>
    <row r="521" customFormat="false" ht="15" hidden="false" customHeight="false" outlineLevel="0" collapsed="false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</row>
    <row r="522" customFormat="false" ht="15" hidden="false" customHeight="false" outlineLevel="0" collapsed="false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</row>
    <row r="523" customFormat="false" ht="15" hidden="false" customHeight="false" outlineLevel="0" collapsed="false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</row>
    <row r="524" customFormat="false" ht="15" hidden="false" customHeight="false" outlineLevel="0" collapsed="false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</row>
    <row r="525" customFormat="false" ht="15" hidden="false" customHeight="false" outlineLevel="0" collapsed="false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</row>
    <row r="526" customFormat="false" ht="15" hidden="false" customHeight="false" outlineLevel="0" collapsed="false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</row>
    <row r="527" customFormat="false" ht="15" hidden="false" customHeight="false" outlineLevel="0" collapsed="false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</row>
    <row r="528" customFormat="false" ht="15" hidden="false" customHeight="false" outlineLevel="0" collapsed="false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</row>
    <row r="529" customFormat="false" ht="15" hidden="false" customHeight="false" outlineLevel="0" collapsed="false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</row>
    <row r="530" customFormat="false" ht="15" hidden="false" customHeight="false" outlineLevel="0" collapsed="false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</row>
    <row r="531" customFormat="false" ht="15" hidden="false" customHeight="false" outlineLevel="0" collapsed="false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</row>
    <row r="532" customFormat="false" ht="15" hidden="false" customHeight="false" outlineLevel="0" collapsed="false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</row>
    <row r="533" customFormat="false" ht="15" hidden="false" customHeight="false" outlineLevel="0" collapsed="false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</row>
    <row r="534" customFormat="false" ht="15" hidden="false" customHeight="false" outlineLevel="0" collapsed="false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</row>
    <row r="535" customFormat="false" ht="15" hidden="false" customHeight="false" outlineLevel="0" collapsed="false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</row>
    <row r="536" customFormat="false" ht="15" hidden="false" customHeight="false" outlineLevel="0" collapsed="false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</row>
    <row r="537" customFormat="false" ht="15" hidden="false" customHeight="false" outlineLevel="0" collapsed="false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</row>
    <row r="538" customFormat="false" ht="15" hidden="false" customHeight="false" outlineLevel="0" collapsed="false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</row>
    <row r="539" customFormat="false" ht="15" hidden="false" customHeight="false" outlineLevel="0" collapsed="false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</row>
    <row r="540" customFormat="false" ht="15" hidden="false" customHeight="false" outlineLevel="0" collapsed="false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</row>
    <row r="541" customFormat="false" ht="15" hidden="false" customHeight="false" outlineLevel="0" collapsed="false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</row>
    <row r="542" customFormat="false" ht="15" hidden="false" customHeight="false" outlineLevel="0" collapsed="false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</row>
    <row r="543" customFormat="false" ht="15" hidden="false" customHeight="false" outlineLevel="0" collapsed="false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</row>
    <row r="544" customFormat="false" ht="15" hidden="false" customHeight="false" outlineLevel="0" collapsed="false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</row>
    <row r="545" customFormat="false" ht="15" hidden="false" customHeight="false" outlineLevel="0" collapsed="false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</row>
    <row r="546" customFormat="false" ht="15" hidden="false" customHeight="false" outlineLevel="0" collapsed="false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</row>
    <row r="547" customFormat="false" ht="15" hidden="false" customHeight="false" outlineLevel="0" collapsed="false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</row>
    <row r="548" customFormat="false" ht="15" hidden="false" customHeight="false" outlineLevel="0" collapsed="false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</row>
    <row r="549" customFormat="false" ht="15" hidden="false" customHeight="false" outlineLevel="0" collapsed="false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</row>
    <row r="550" customFormat="false" ht="15" hidden="false" customHeight="false" outlineLevel="0" collapsed="false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</row>
    <row r="551" customFormat="false" ht="15" hidden="false" customHeight="false" outlineLevel="0" collapsed="false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</row>
    <row r="552" customFormat="false" ht="15" hidden="false" customHeight="false" outlineLevel="0" collapsed="false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</row>
    <row r="553" customFormat="false" ht="15" hidden="false" customHeight="false" outlineLevel="0" collapsed="false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</row>
    <row r="554" customFormat="false" ht="15" hidden="false" customHeight="false" outlineLevel="0" collapsed="false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</row>
    <row r="555" customFormat="false" ht="15" hidden="false" customHeight="false" outlineLevel="0" collapsed="false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</row>
    <row r="556" customFormat="false" ht="15" hidden="false" customHeight="false" outlineLevel="0" collapsed="false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</row>
    <row r="557" customFormat="false" ht="15" hidden="false" customHeight="false" outlineLevel="0" collapsed="false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</row>
    <row r="558" customFormat="false" ht="15" hidden="false" customHeight="false" outlineLevel="0" collapsed="false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</row>
    <row r="559" customFormat="false" ht="15" hidden="false" customHeight="false" outlineLevel="0" collapsed="false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</row>
    <row r="560" customFormat="false" ht="15" hidden="false" customHeight="false" outlineLevel="0" collapsed="false"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</row>
    <row r="561" customFormat="false" ht="15" hidden="false" customHeight="false" outlineLevel="0" collapsed="false"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</row>
    <row r="562" customFormat="false" ht="15" hidden="false" customHeight="false" outlineLevel="0" collapsed="false"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</row>
    <row r="563" customFormat="false" ht="15" hidden="false" customHeight="false" outlineLevel="0" collapsed="false"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</row>
    <row r="564" customFormat="false" ht="15" hidden="false" customHeight="false" outlineLevel="0" collapsed="false"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</row>
    <row r="565" customFormat="false" ht="15" hidden="false" customHeight="false" outlineLevel="0" collapsed="false"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</row>
    <row r="566" customFormat="false" ht="15" hidden="false" customHeight="false" outlineLevel="0" collapsed="false"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</row>
    <row r="567" customFormat="false" ht="15" hidden="false" customHeight="false" outlineLevel="0" collapsed="false"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</row>
    <row r="568" customFormat="false" ht="15" hidden="false" customHeight="false" outlineLevel="0" collapsed="false"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</row>
    <row r="569" customFormat="false" ht="15" hidden="false" customHeight="false" outlineLevel="0" collapsed="false"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</row>
    <row r="570" customFormat="false" ht="15" hidden="false" customHeight="false" outlineLevel="0" collapsed="false"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</row>
    <row r="571" customFormat="false" ht="15" hidden="false" customHeight="false" outlineLevel="0" collapsed="false"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</row>
    <row r="572" customFormat="false" ht="15" hidden="false" customHeight="false" outlineLevel="0" collapsed="false"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</row>
    <row r="573" customFormat="false" ht="15" hidden="false" customHeight="false" outlineLevel="0" collapsed="false"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</row>
    <row r="574" customFormat="false" ht="15" hidden="false" customHeight="false" outlineLevel="0" collapsed="false"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</row>
    <row r="575" customFormat="false" ht="15" hidden="false" customHeight="false" outlineLevel="0" collapsed="false"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</row>
    <row r="576" customFormat="false" ht="15" hidden="false" customHeight="false" outlineLevel="0" collapsed="false"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</row>
    <row r="577" customFormat="false" ht="15" hidden="false" customHeight="false" outlineLevel="0" collapsed="false"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</row>
    <row r="578" customFormat="false" ht="15" hidden="false" customHeight="false" outlineLevel="0" collapsed="false"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</row>
    <row r="579" customFormat="false" ht="15" hidden="false" customHeight="false" outlineLevel="0" collapsed="false"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</row>
    <row r="580" customFormat="false" ht="15" hidden="false" customHeight="false" outlineLevel="0" collapsed="false"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</row>
    <row r="581" customFormat="false" ht="15" hidden="false" customHeight="false" outlineLevel="0" collapsed="false"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</row>
    <row r="582" customFormat="false" ht="15" hidden="false" customHeight="false" outlineLevel="0" collapsed="false"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</row>
    <row r="583" customFormat="false" ht="15" hidden="false" customHeight="false" outlineLevel="0" collapsed="false"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</row>
    <row r="584" customFormat="false" ht="15" hidden="false" customHeight="false" outlineLevel="0" collapsed="false"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</row>
    <row r="585" customFormat="false" ht="15" hidden="false" customHeight="false" outlineLevel="0" collapsed="false"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</row>
    <row r="586" customFormat="false" ht="15" hidden="false" customHeight="false" outlineLevel="0" collapsed="false"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</row>
    <row r="587" customFormat="false" ht="15" hidden="false" customHeight="false" outlineLevel="0" collapsed="false"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</row>
    <row r="588" customFormat="false" ht="15" hidden="false" customHeight="false" outlineLevel="0" collapsed="false"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</row>
    <row r="589" customFormat="false" ht="15" hidden="false" customHeight="false" outlineLevel="0" collapsed="false"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</row>
    <row r="590" customFormat="false" ht="15" hidden="false" customHeight="false" outlineLevel="0" collapsed="false"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</row>
    <row r="591" customFormat="false" ht="15" hidden="false" customHeight="false" outlineLevel="0" collapsed="false"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</row>
    <row r="592" customFormat="false" ht="15" hidden="false" customHeight="false" outlineLevel="0" collapsed="false"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</row>
    <row r="593" customFormat="false" ht="15" hidden="false" customHeight="false" outlineLevel="0" collapsed="false"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</row>
    <row r="594" customFormat="false" ht="15" hidden="false" customHeight="false" outlineLevel="0" collapsed="false"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</row>
    <row r="595" customFormat="false" ht="15" hidden="false" customHeight="false" outlineLevel="0" collapsed="false"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</row>
    <row r="596" customFormat="false" ht="15" hidden="false" customHeight="false" outlineLevel="0" collapsed="false"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</row>
    <row r="597" customFormat="false" ht="15" hidden="false" customHeight="false" outlineLevel="0" collapsed="false"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</row>
    <row r="598" customFormat="false" ht="15" hidden="false" customHeight="false" outlineLevel="0" collapsed="false"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</row>
    <row r="599" customFormat="false" ht="15" hidden="false" customHeight="false" outlineLevel="0" collapsed="false"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</row>
    <row r="600" customFormat="false" ht="15" hidden="false" customHeight="false" outlineLevel="0" collapsed="false"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</row>
    <row r="601" customFormat="false" ht="15" hidden="false" customHeight="false" outlineLevel="0" collapsed="false"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</row>
    <row r="602" customFormat="false" ht="15" hidden="false" customHeight="false" outlineLevel="0" collapsed="false"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</row>
    <row r="603" customFormat="false" ht="15" hidden="false" customHeight="false" outlineLevel="0" collapsed="false"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</row>
    <row r="604" customFormat="false" ht="15" hidden="false" customHeight="false" outlineLevel="0" collapsed="false"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</row>
    <row r="605" customFormat="false" ht="15" hidden="false" customHeight="false" outlineLevel="0" collapsed="false"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</row>
    <row r="606" customFormat="false" ht="15" hidden="false" customHeight="false" outlineLevel="0" collapsed="false"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</row>
    <row r="607" customFormat="false" ht="15" hidden="false" customHeight="false" outlineLevel="0" collapsed="false"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</row>
    <row r="608" customFormat="false" ht="15" hidden="false" customHeight="false" outlineLevel="0" collapsed="false"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</row>
    <row r="609" customFormat="false" ht="15" hidden="false" customHeight="false" outlineLevel="0" collapsed="false"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</row>
    <row r="610" customFormat="false" ht="15" hidden="false" customHeight="false" outlineLevel="0" collapsed="false"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</row>
    <row r="611" customFormat="false" ht="15" hidden="false" customHeight="false" outlineLevel="0" collapsed="false"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</row>
    <row r="612" customFormat="false" ht="15" hidden="false" customHeight="false" outlineLevel="0" collapsed="false"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</row>
    <row r="613" customFormat="false" ht="15" hidden="false" customHeight="false" outlineLevel="0" collapsed="false"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</row>
    <row r="614" customFormat="false" ht="15" hidden="false" customHeight="false" outlineLevel="0" collapsed="false"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</row>
    <row r="615" customFormat="false" ht="15" hidden="false" customHeight="false" outlineLevel="0" collapsed="false"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</row>
    <row r="616" customFormat="false" ht="15" hidden="false" customHeight="false" outlineLevel="0" collapsed="false"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</row>
    <row r="617" customFormat="false" ht="15" hidden="false" customHeight="false" outlineLevel="0" collapsed="false"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</row>
    <row r="618" customFormat="false" ht="15" hidden="false" customHeight="false" outlineLevel="0" collapsed="false"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</row>
    <row r="619" customFormat="false" ht="15" hidden="false" customHeight="false" outlineLevel="0" collapsed="false"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</row>
    <row r="620" customFormat="false" ht="15" hidden="false" customHeight="false" outlineLevel="0" collapsed="false"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</row>
    <row r="621" customFormat="false" ht="15" hidden="false" customHeight="false" outlineLevel="0" collapsed="false"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</row>
    <row r="622" customFormat="false" ht="15" hidden="false" customHeight="false" outlineLevel="0" collapsed="false"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</row>
    <row r="623" customFormat="false" ht="15" hidden="false" customHeight="false" outlineLevel="0" collapsed="false"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</row>
    <row r="624" customFormat="false" ht="15" hidden="false" customHeight="false" outlineLevel="0" collapsed="false"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</row>
    <row r="625" customFormat="false" ht="15" hidden="false" customHeight="false" outlineLevel="0" collapsed="false"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</row>
    <row r="626" customFormat="false" ht="15" hidden="false" customHeight="false" outlineLevel="0" collapsed="false"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</row>
    <row r="627" customFormat="false" ht="15" hidden="false" customHeight="false" outlineLevel="0" collapsed="false"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</row>
    <row r="628" customFormat="false" ht="15" hidden="false" customHeight="false" outlineLevel="0" collapsed="false"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</row>
    <row r="629" customFormat="false" ht="15" hidden="false" customHeight="false" outlineLevel="0" collapsed="false"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</row>
    <row r="630" customFormat="false" ht="15" hidden="false" customHeight="false" outlineLevel="0" collapsed="false"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</row>
    <row r="631" customFormat="false" ht="15" hidden="false" customHeight="false" outlineLevel="0" collapsed="false"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</row>
    <row r="632" customFormat="false" ht="15" hidden="false" customHeight="false" outlineLevel="0" collapsed="false"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</row>
    <row r="633" customFormat="false" ht="15" hidden="false" customHeight="false" outlineLevel="0" collapsed="false"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</row>
    <row r="634" customFormat="false" ht="15" hidden="false" customHeight="false" outlineLevel="0" collapsed="false"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</row>
    <row r="635" customFormat="false" ht="15" hidden="false" customHeight="false" outlineLevel="0" collapsed="false"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</row>
    <row r="636" customFormat="false" ht="15" hidden="false" customHeight="false" outlineLevel="0" collapsed="false"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</row>
    <row r="637" customFormat="false" ht="15" hidden="false" customHeight="false" outlineLevel="0" collapsed="false"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</row>
    <row r="638" customFormat="false" ht="15" hidden="false" customHeight="false" outlineLevel="0" collapsed="false"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</row>
    <row r="639" customFormat="false" ht="15" hidden="false" customHeight="false" outlineLevel="0" collapsed="false"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</row>
    <row r="640" customFormat="false" ht="15" hidden="false" customHeight="false" outlineLevel="0" collapsed="false"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</row>
    <row r="641" customFormat="false" ht="15" hidden="false" customHeight="false" outlineLevel="0" collapsed="false"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</row>
    <row r="642" customFormat="false" ht="15" hidden="false" customHeight="false" outlineLevel="0" collapsed="false"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</row>
    <row r="643" customFormat="false" ht="15" hidden="false" customHeight="false" outlineLevel="0" collapsed="false"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</row>
    <row r="644" customFormat="false" ht="15" hidden="false" customHeight="false" outlineLevel="0" collapsed="false"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</row>
    <row r="645" customFormat="false" ht="15" hidden="false" customHeight="false" outlineLevel="0" collapsed="false"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</row>
    <row r="646" customFormat="false" ht="15" hidden="false" customHeight="false" outlineLevel="0" collapsed="false"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</row>
    <row r="647" customFormat="false" ht="15" hidden="false" customHeight="false" outlineLevel="0" collapsed="false"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</row>
    <row r="648" customFormat="false" ht="15" hidden="false" customHeight="false" outlineLevel="0" collapsed="false"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</row>
    <row r="649" customFormat="false" ht="15" hidden="false" customHeight="false" outlineLevel="0" collapsed="false"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</row>
    <row r="650" customFormat="false" ht="15" hidden="false" customHeight="false" outlineLevel="0" collapsed="false"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</row>
    <row r="651" customFormat="false" ht="15" hidden="false" customHeight="false" outlineLevel="0" collapsed="false"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</row>
    <row r="652" customFormat="false" ht="15" hidden="false" customHeight="false" outlineLevel="0" collapsed="false"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</row>
    <row r="653" customFormat="false" ht="15" hidden="false" customHeight="false" outlineLevel="0" collapsed="false"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</row>
    <row r="654" customFormat="false" ht="15" hidden="false" customHeight="false" outlineLevel="0" collapsed="false"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</row>
    <row r="655" customFormat="false" ht="15" hidden="false" customHeight="false" outlineLevel="0" collapsed="false"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</row>
    <row r="656" customFormat="false" ht="15" hidden="false" customHeight="false" outlineLevel="0" collapsed="false"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</row>
    <row r="657" customFormat="false" ht="15" hidden="false" customHeight="false" outlineLevel="0" collapsed="false"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</row>
    <row r="658" customFormat="false" ht="15" hidden="false" customHeight="false" outlineLevel="0" collapsed="false"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</row>
    <row r="659" customFormat="false" ht="15" hidden="false" customHeight="false" outlineLevel="0" collapsed="false"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</row>
    <row r="660" customFormat="false" ht="15" hidden="false" customHeight="false" outlineLevel="0" collapsed="false"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</row>
    <row r="661" customFormat="false" ht="15" hidden="false" customHeight="false" outlineLevel="0" collapsed="false"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</row>
    <row r="662" customFormat="false" ht="15" hidden="false" customHeight="false" outlineLevel="0" collapsed="false"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</row>
    <row r="663" customFormat="false" ht="15" hidden="false" customHeight="false" outlineLevel="0" collapsed="false"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</row>
    <row r="664" customFormat="false" ht="15" hidden="false" customHeight="false" outlineLevel="0" collapsed="false"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</row>
    <row r="665" customFormat="false" ht="15" hidden="false" customHeight="false" outlineLevel="0" collapsed="false"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</row>
    <row r="666" customFormat="false" ht="15" hidden="false" customHeight="false" outlineLevel="0" collapsed="false"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</row>
    <row r="667" customFormat="false" ht="15" hidden="false" customHeight="false" outlineLevel="0" collapsed="false"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</row>
    <row r="668" customFormat="false" ht="15" hidden="false" customHeight="false" outlineLevel="0" collapsed="false"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</row>
    <row r="669" customFormat="false" ht="15" hidden="false" customHeight="false" outlineLevel="0" collapsed="false"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</row>
    <row r="670" customFormat="false" ht="15" hidden="false" customHeight="false" outlineLevel="0" collapsed="false"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</row>
    <row r="671" customFormat="false" ht="15" hidden="false" customHeight="false" outlineLevel="0" collapsed="false"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</row>
    <row r="672" customFormat="false" ht="15" hidden="false" customHeight="false" outlineLevel="0" collapsed="false"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</row>
    <row r="673" customFormat="false" ht="15" hidden="false" customHeight="false" outlineLevel="0" collapsed="false"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</row>
    <row r="674" customFormat="false" ht="15" hidden="false" customHeight="false" outlineLevel="0" collapsed="false"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</row>
    <row r="675" customFormat="false" ht="15" hidden="false" customHeight="false" outlineLevel="0" collapsed="false"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</row>
    <row r="676" customFormat="false" ht="15" hidden="false" customHeight="false" outlineLevel="0" collapsed="false"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</row>
    <row r="677" customFormat="false" ht="15" hidden="false" customHeight="false" outlineLevel="0" collapsed="false"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</row>
    <row r="678" customFormat="false" ht="15" hidden="false" customHeight="false" outlineLevel="0" collapsed="false"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</row>
    <row r="679" customFormat="false" ht="15" hidden="false" customHeight="false" outlineLevel="0" collapsed="false"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</row>
    <row r="680" customFormat="false" ht="15" hidden="false" customHeight="false" outlineLevel="0" collapsed="false"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</row>
    <row r="681" customFormat="false" ht="15" hidden="false" customHeight="false" outlineLevel="0" collapsed="false"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</row>
    <row r="682" customFormat="false" ht="15" hidden="false" customHeight="false" outlineLevel="0" collapsed="false"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</row>
    <row r="683" customFormat="false" ht="15" hidden="false" customHeight="false" outlineLevel="0" collapsed="false"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</row>
    <row r="684" customFormat="false" ht="15" hidden="false" customHeight="false" outlineLevel="0" collapsed="false"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</row>
    <row r="685" customFormat="false" ht="15" hidden="false" customHeight="false" outlineLevel="0" collapsed="false"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</row>
    <row r="686" customFormat="false" ht="15" hidden="false" customHeight="false" outlineLevel="0" collapsed="false"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</row>
    <row r="687" customFormat="false" ht="15" hidden="false" customHeight="false" outlineLevel="0" collapsed="false"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</row>
    <row r="688" customFormat="false" ht="15" hidden="false" customHeight="false" outlineLevel="0" collapsed="false"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</row>
    <row r="689" customFormat="false" ht="15" hidden="false" customHeight="false" outlineLevel="0" collapsed="false"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</row>
    <row r="690" customFormat="false" ht="15" hidden="false" customHeight="false" outlineLevel="0" collapsed="false"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</row>
    <row r="691" customFormat="false" ht="15" hidden="false" customHeight="false" outlineLevel="0" collapsed="false"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</row>
    <row r="692" customFormat="false" ht="15" hidden="false" customHeight="false" outlineLevel="0" collapsed="false"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</row>
    <row r="693" customFormat="false" ht="15" hidden="false" customHeight="false" outlineLevel="0" collapsed="false"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</row>
    <row r="694" customFormat="false" ht="15" hidden="false" customHeight="false" outlineLevel="0" collapsed="false"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</row>
    <row r="695" customFormat="false" ht="15" hidden="false" customHeight="false" outlineLevel="0" collapsed="false"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</row>
    <row r="696" customFormat="false" ht="15" hidden="false" customHeight="false" outlineLevel="0" collapsed="false"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</row>
    <row r="697" customFormat="false" ht="15" hidden="false" customHeight="false" outlineLevel="0" collapsed="false"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</row>
    <row r="698" customFormat="false" ht="15" hidden="false" customHeight="false" outlineLevel="0" collapsed="false"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</row>
    <row r="699" customFormat="false" ht="15" hidden="false" customHeight="false" outlineLevel="0" collapsed="false"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</row>
    <row r="700" customFormat="false" ht="15" hidden="false" customHeight="false" outlineLevel="0" collapsed="false"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</row>
    <row r="701" customFormat="false" ht="15" hidden="false" customHeight="false" outlineLevel="0" collapsed="false"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</row>
  </sheetData>
  <mergeCells count="46">
    <mergeCell ref="A2:H2"/>
    <mergeCell ref="A3:C3"/>
    <mergeCell ref="D3:H3"/>
    <mergeCell ref="A4:C4"/>
    <mergeCell ref="D4:H4"/>
    <mergeCell ref="A5:C5"/>
    <mergeCell ref="D5:H5"/>
    <mergeCell ref="A6:C6"/>
    <mergeCell ref="D6:H6"/>
    <mergeCell ref="A7:C7"/>
    <mergeCell ref="D7:H7"/>
    <mergeCell ref="A8:C8"/>
    <mergeCell ref="D8:H8"/>
    <mergeCell ref="A9:C9"/>
    <mergeCell ref="D9:H9"/>
    <mergeCell ref="A10:C10"/>
    <mergeCell ref="D10:H10"/>
    <mergeCell ref="A11:C11"/>
    <mergeCell ref="D11:H11"/>
    <mergeCell ref="A12:H12"/>
    <mergeCell ref="A13:H13"/>
    <mergeCell ref="A14:C14"/>
    <mergeCell ref="D14:H14"/>
    <mergeCell ref="A15:C15"/>
    <mergeCell ref="D15:H15"/>
    <mergeCell ref="A16:C16"/>
    <mergeCell ref="D16:H16"/>
    <mergeCell ref="A17:C17"/>
    <mergeCell ref="D17:H17"/>
    <mergeCell ref="A18:C18"/>
    <mergeCell ref="D18:H18"/>
    <mergeCell ref="A19:C19"/>
    <mergeCell ref="D19:H19"/>
    <mergeCell ref="A20:C20"/>
    <mergeCell ref="D20:H20"/>
    <mergeCell ref="A21:C21"/>
    <mergeCell ref="D21:H21"/>
    <mergeCell ref="A23:A25"/>
    <mergeCell ref="B23:B25"/>
    <mergeCell ref="C23:C24"/>
    <mergeCell ref="L23:L25"/>
    <mergeCell ref="D24:D25"/>
    <mergeCell ref="E24:E25"/>
    <mergeCell ref="F24:F25"/>
    <mergeCell ref="G24:G25"/>
    <mergeCell ref="M24:M25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1" scale="100" fitToWidth="1" fitToHeight="5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P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0.597656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8.5"/>
    <col collapsed="false" customWidth="true" hidden="false" outlineLevel="0" max="3" min="3" style="1" width="34.17"/>
    <col collapsed="false" customWidth="true" hidden="false" outlineLevel="0" max="4" min="4" style="1" width="32"/>
    <col collapsed="false" customWidth="true" hidden="false" outlineLevel="0" max="6" min="6" style="1" width="13.5"/>
    <col collapsed="false" customWidth="true" hidden="false" outlineLevel="0" max="13" min="13" style="1" width="11.33"/>
    <col collapsed="false" customWidth="true" hidden="false" outlineLevel="0" max="16" min="16" style="1" width="50"/>
  </cols>
  <sheetData>
    <row r="1" customFormat="false" ht="27" hidden="false" customHeight="true" outlineLevel="0" collapsed="false">
      <c r="A1" s="58" t="s">
        <v>2</v>
      </c>
      <c r="B1" s="58"/>
      <c r="C1" s="58"/>
      <c r="D1" s="58"/>
    </row>
    <row r="2" customFormat="false" ht="15" hidden="false" customHeight="true" outlineLevel="0" collapsed="false">
      <c r="A2" s="59" t="s">
        <v>3</v>
      </c>
      <c r="B2" s="60" t="s">
        <v>4</v>
      </c>
      <c r="C2" s="61" t="s">
        <v>5</v>
      </c>
      <c r="D2" s="62" t="s">
        <v>6</v>
      </c>
      <c r="P2" s="63" t="s">
        <v>7</v>
      </c>
    </row>
    <row r="3" customFormat="false" ht="15" hidden="false" customHeight="false" outlineLevel="0" collapsed="false">
      <c r="A3" s="59"/>
      <c r="B3" s="60"/>
      <c r="C3" s="61"/>
      <c r="D3" s="62"/>
      <c r="P3" s="64" t="s">
        <v>8</v>
      </c>
    </row>
    <row r="4" customFormat="false" ht="15" hidden="false" customHeight="false" outlineLevel="0" collapsed="false">
      <c r="A4" s="65" t="n">
        <v>1</v>
      </c>
      <c r="B4" s="66" t="n">
        <v>0</v>
      </c>
      <c r="C4" s="67" t="n">
        <v>140022</v>
      </c>
      <c r="D4" s="68"/>
      <c r="P4" s="64" t="s">
        <v>9</v>
      </c>
    </row>
    <row r="5" customFormat="false" ht="15" hidden="false" customHeight="false" outlineLevel="0" collapsed="false">
      <c r="A5" s="69" t="n">
        <v>2</v>
      </c>
      <c r="B5" s="66" t="n">
        <v>2</v>
      </c>
      <c r="C5" s="67" t="n">
        <v>140033</v>
      </c>
      <c r="D5" s="70"/>
      <c r="P5" s="64" t="s">
        <v>10</v>
      </c>
    </row>
    <row r="6" customFormat="false" ht="15" hidden="false" customHeight="false" outlineLevel="0" collapsed="false">
      <c r="A6" s="69" t="n">
        <v>3</v>
      </c>
      <c r="B6" s="66" t="n">
        <v>3</v>
      </c>
      <c r="C6" s="67" t="n">
        <v>140016</v>
      </c>
      <c r="D6" s="70"/>
      <c r="P6" s="64" t="s">
        <v>11</v>
      </c>
    </row>
    <row r="7" customFormat="false" ht="15" hidden="false" customHeight="false" outlineLevel="0" collapsed="false">
      <c r="A7" s="69" t="n">
        <v>4</v>
      </c>
      <c r="B7" s="66"/>
      <c r="C7" s="67"/>
      <c r="D7" s="70"/>
      <c r="P7" s="64"/>
    </row>
    <row r="8" customFormat="false" ht="15.75" hidden="false" customHeight="false" outlineLevel="0" collapsed="false">
      <c r="A8" s="69" t="n">
        <v>5</v>
      </c>
      <c r="B8" s="66"/>
      <c r="C8" s="67"/>
      <c r="D8" s="70"/>
      <c r="P8" s="71"/>
    </row>
    <row r="9" customFormat="false" ht="15" hidden="false" customHeight="false" outlineLevel="0" collapsed="false">
      <c r="A9" s="69" t="n">
        <v>6</v>
      </c>
      <c r="B9" s="66"/>
      <c r="C9" s="67"/>
      <c r="D9" s="70"/>
    </row>
    <row r="10" customFormat="false" ht="15" hidden="false" customHeight="false" outlineLevel="0" collapsed="false">
      <c r="A10" s="69" t="n">
        <v>7</v>
      </c>
      <c r="B10" s="66"/>
      <c r="C10" s="67"/>
      <c r="D10" s="70"/>
    </row>
    <row r="11" customFormat="false" ht="15" hidden="false" customHeight="false" outlineLevel="0" collapsed="false">
      <c r="A11" s="69" t="n">
        <v>8</v>
      </c>
      <c r="B11" s="66"/>
      <c r="C11" s="67"/>
      <c r="D11" s="70"/>
    </row>
    <row r="12" customFormat="false" ht="15" hidden="false" customHeight="false" outlineLevel="0" collapsed="false">
      <c r="A12" s="69" t="n">
        <v>9</v>
      </c>
      <c r="B12" s="66"/>
      <c r="C12" s="67"/>
      <c r="D12" s="70"/>
    </row>
    <row r="13" customFormat="false" ht="15" hidden="false" customHeight="false" outlineLevel="0" collapsed="false">
      <c r="A13" s="69" t="n">
        <v>10</v>
      </c>
      <c r="B13" s="66"/>
      <c r="C13" s="67"/>
      <c r="D13" s="70"/>
    </row>
    <row r="14" customFormat="false" ht="15" hidden="false" customHeight="false" outlineLevel="0" collapsed="false">
      <c r="A14" s="69" t="n">
        <v>11</v>
      </c>
      <c r="B14" s="66"/>
      <c r="C14" s="67"/>
      <c r="D14" s="70"/>
    </row>
    <row r="15" customFormat="false" ht="15" hidden="false" customHeight="false" outlineLevel="0" collapsed="false">
      <c r="A15" s="69" t="n">
        <v>12</v>
      </c>
      <c r="B15" s="66"/>
      <c r="C15" s="67"/>
      <c r="D15" s="70"/>
    </row>
    <row r="16" customFormat="false" ht="15" hidden="false" customHeight="false" outlineLevel="0" collapsed="false">
      <c r="A16" s="69" t="n">
        <v>13</v>
      </c>
      <c r="B16" s="66"/>
      <c r="C16" s="67"/>
      <c r="D16" s="70"/>
    </row>
    <row r="17" customFormat="false" ht="15" hidden="false" customHeight="false" outlineLevel="0" collapsed="false">
      <c r="A17" s="69" t="n">
        <v>14</v>
      </c>
      <c r="B17" s="66"/>
      <c r="C17" s="67"/>
      <c r="D17" s="70"/>
    </row>
    <row r="18" customFormat="false" ht="15" hidden="false" customHeight="false" outlineLevel="0" collapsed="false">
      <c r="A18" s="69" t="n">
        <v>15</v>
      </c>
      <c r="B18" s="66"/>
      <c r="C18" s="67"/>
      <c r="D18" s="70"/>
    </row>
    <row r="19" customFormat="false" ht="15" hidden="false" customHeight="false" outlineLevel="0" collapsed="false">
      <c r="A19" s="69" t="n">
        <v>16</v>
      </c>
      <c r="B19" s="66"/>
      <c r="C19" s="67"/>
      <c r="D19" s="70"/>
    </row>
    <row r="20" customFormat="false" ht="15" hidden="false" customHeight="false" outlineLevel="0" collapsed="false">
      <c r="A20" s="69" t="n">
        <v>17</v>
      </c>
      <c r="B20" s="66"/>
      <c r="C20" s="67"/>
      <c r="D20" s="70"/>
    </row>
    <row r="21" customFormat="false" ht="15" hidden="false" customHeight="false" outlineLevel="0" collapsed="false">
      <c r="A21" s="69" t="n">
        <v>18</v>
      </c>
      <c r="B21" s="66"/>
      <c r="C21" s="67"/>
      <c r="D21" s="70"/>
    </row>
    <row r="22" customFormat="false" ht="15" hidden="false" customHeight="false" outlineLevel="0" collapsed="false">
      <c r="A22" s="69" t="n">
        <v>19</v>
      </c>
      <c r="B22" s="66"/>
      <c r="C22" s="67"/>
      <c r="D22" s="70"/>
    </row>
    <row r="23" customFormat="false" ht="15" hidden="false" customHeight="false" outlineLevel="0" collapsed="false">
      <c r="A23" s="69" t="n">
        <v>20</v>
      </c>
      <c r="B23" s="66"/>
      <c r="C23" s="67"/>
      <c r="D23" s="70"/>
    </row>
    <row r="24" customFormat="false" ht="15" hidden="false" customHeight="false" outlineLevel="0" collapsed="false">
      <c r="A24" s="69" t="n">
        <v>21</v>
      </c>
      <c r="B24" s="66"/>
      <c r="C24" s="67"/>
      <c r="D24" s="70"/>
    </row>
    <row r="25" customFormat="false" ht="15" hidden="false" customHeight="false" outlineLevel="0" collapsed="false">
      <c r="A25" s="69" t="n">
        <v>22</v>
      </c>
      <c r="B25" s="66"/>
      <c r="C25" s="67"/>
      <c r="D25" s="70"/>
    </row>
    <row r="26" customFormat="false" ht="15" hidden="false" customHeight="false" outlineLevel="0" collapsed="false">
      <c r="A26" s="69" t="n">
        <v>23</v>
      </c>
      <c r="B26" s="66"/>
      <c r="C26" s="67"/>
      <c r="D26" s="70"/>
    </row>
    <row r="27" customFormat="false" ht="15" hidden="false" customHeight="false" outlineLevel="0" collapsed="false">
      <c r="A27" s="69" t="n">
        <v>24</v>
      </c>
      <c r="B27" s="66"/>
      <c r="C27" s="67"/>
      <c r="D27" s="70"/>
    </row>
    <row r="28" customFormat="false" ht="15" hidden="false" customHeight="false" outlineLevel="0" collapsed="false">
      <c r="A28" s="69" t="n">
        <v>25</v>
      </c>
      <c r="B28" s="66"/>
      <c r="C28" s="67"/>
      <c r="D28" s="70"/>
    </row>
    <row r="29" customFormat="false" ht="15" hidden="false" customHeight="false" outlineLevel="0" collapsed="false">
      <c r="A29" s="69" t="n">
        <v>26</v>
      </c>
      <c r="B29" s="66"/>
      <c r="C29" s="67"/>
      <c r="D29" s="70"/>
    </row>
    <row r="30" customFormat="false" ht="15" hidden="false" customHeight="false" outlineLevel="0" collapsed="false">
      <c r="A30" s="69" t="n">
        <v>27</v>
      </c>
      <c r="B30" s="66"/>
      <c r="C30" s="67"/>
      <c r="D30" s="70"/>
    </row>
    <row r="31" customFormat="false" ht="15" hidden="false" customHeight="false" outlineLevel="0" collapsed="false">
      <c r="A31" s="69" t="n">
        <v>28</v>
      </c>
      <c r="B31" s="66"/>
      <c r="C31" s="67"/>
      <c r="D31" s="70"/>
    </row>
    <row r="32" customFormat="false" ht="15" hidden="false" customHeight="false" outlineLevel="0" collapsed="false">
      <c r="A32" s="69" t="n">
        <v>29</v>
      </c>
      <c r="B32" s="66"/>
      <c r="C32" s="67"/>
      <c r="D32" s="70"/>
    </row>
    <row r="33" customFormat="false" ht="15" hidden="false" customHeight="false" outlineLevel="0" collapsed="false">
      <c r="A33" s="69" t="n">
        <v>30</v>
      </c>
      <c r="B33" s="66"/>
      <c r="C33" s="67"/>
      <c r="D33" s="70"/>
    </row>
    <row r="34" customFormat="false" ht="15" hidden="false" customHeight="false" outlineLevel="0" collapsed="false">
      <c r="A34" s="69" t="n">
        <v>31</v>
      </c>
      <c r="B34" s="66"/>
      <c r="C34" s="67"/>
      <c r="D34" s="70"/>
    </row>
    <row r="35" customFormat="false" ht="15" hidden="false" customHeight="false" outlineLevel="0" collapsed="false">
      <c r="A35" s="69" t="n">
        <v>32</v>
      </c>
      <c r="B35" s="66"/>
      <c r="C35" s="67"/>
      <c r="D35" s="70"/>
    </row>
    <row r="36" customFormat="false" ht="15" hidden="false" customHeight="false" outlineLevel="0" collapsed="false">
      <c r="A36" s="69" t="n">
        <v>33</v>
      </c>
      <c r="B36" s="66"/>
      <c r="C36" s="67"/>
      <c r="D36" s="70"/>
    </row>
    <row r="37" customFormat="false" ht="15" hidden="false" customHeight="false" outlineLevel="0" collapsed="false">
      <c r="A37" s="69" t="n">
        <v>34</v>
      </c>
      <c r="B37" s="66"/>
      <c r="C37" s="67"/>
      <c r="D37" s="70"/>
    </row>
    <row r="38" customFormat="false" ht="15" hidden="false" customHeight="false" outlineLevel="0" collapsed="false">
      <c r="A38" s="69" t="n">
        <v>35</v>
      </c>
      <c r="B38" s="66"/>
      <c r="C38" s="67"/>
      <c r="D38" s="70"/>
    </row>
    <row r="39" customFormat="false" ht="15" hidden="false" customHeight="false" outlineLevel="0" collapsed="false">
      <c r="A39" s="69" t="n">
        <v>36</v>
      </c>
      <c r="B39" s="66"/>
      <c r="C39" s="67"/>
      <c r="D39" s="70"/>
    </row>
    <row r="40" customFormat="false" ht="15" hidden="false" customHeight="false" outlineLevel="0" collapsed="false">
      <c r="A40" s="69" t="n">
        <v>37</v>
      </c>
      <c r="B40" s="66"/>
      <c r="C40" s="67"/>
      <c r="D40" s="70"/>
    </row>
    <row r="41" customFormat="false" ht="15" hidden="false" customHeight="false" outlineLevel="0" collapsed="false">
      <c r="A41" s="69" t="n">
        <v>38</v>
      </c>
      <c r="B41" s="66"/>
      <c r="C41" s="67"/>
      <c r="D41" s="70"/>
    </row>
    <row r="42" customFormat="false" ht="15" hidden="false" customHeight="false" outlineLevel="0" collapsed="false">
      <c r="A42" s="69" t="n">
        <v>39</v>
      </c>
      <c r="B42" s="66"/>
      <c r="C42" s="67"/>
      <c r="D42" s="70"/>
    </row>
    <row r="43" customFormat="false" ht="15" hidden="false" customHeight="false" outlineLevel="0" collapsed="false">
      <c r="A43" s="69" t="n">
        <v>40</v>
      </c>
      <c r="B43" s="66"/>
      <c r="C43" s="67"/>
      <c r="D43" s="70"/>
    </row>
    <row r="44" customFormat="false" ht="15" hidden="false" customHeight="false" outlineLevel="0" collapsed="false">
      <c r="A44" s="69" t="n">
        <v>41</v>
      </c>
      <c r="B44" s="66"/>
      <c r="C44" s="67"/>
      <c r="D44" s="70"/>
    </row>
    <row r="45" customFormat="false" ht="15" hidden="false" customHeight="false" outlineLevel="0" collapsed="false">
      <c r="A45" s="69" t="n">
        <v>42</v>
      </c>
      <c r="B45" s="66"/>
      <c r="C45" s="67"/>
      <c r="D45" s="70"/>
    </row>
    <row r="46" customFormat="false" ht="15" hidden="false" customHeight="false" outlineLevel="0" collapsed="false">
      <c r="A46" s="69" t="n">
        <v>43</v>
      </c>
      <c r="B46" s="66"/>
      <c r="C46" s="67"/>
      <c r="D46" s="70"/>
    </row>
    <row r="47" customFormat="false" ht="15" hidden="false" customHeight="false" outlineLevel="0" collapsed="false">
      <c r="A47" s="69" t="n">
        <v>44</v>
      </c>
      <c r="B47" s="66"/>
      <c r="C47" s="67"/>
      <c r="D47" s="70"/>
    </row>
    <row r="48" customFormat="false" ht="15" hidden="false" customHeight="false" outlineLevel="0" collapsed="false">
      <c r="A48" s="69" t="n">
        <v>45</v>
      </c>
      <c r="B48" s="66"/>
      <c r="C48" s="67"/>
      <c r="D48" s="70"/>
    </row>
    <row r="49" customFormat="false" ht="15" hidden="false" customHeight="false" outlineLevel="0" collapsed="false">
      <c r="A49" s="69" t="n">
        <v>46</v>
      </c>
      <c r="B49" s="66"/>
      <c r="C49" s="67"/>
      <c r="D49" s="70"/>
    </row>
    <row r="50" customFormat="false" ht="15" hidden="false" customHeight="false" outlineLevel="0" collapsed="false">
      <c r="A50" s="69" t="n">
        <v>47</v>
      </c>
      <c r="B50" s="66"/>
      <c r="C50" s="67"/>
      <c r="D50" s="70"/>
    </row>
    <row r="51" customFormat="false" ht="15" hidden="false" customHeight="false" outlineLevel="0" collapsed="false">
      <c r="A51" s="69" t="n">
        <v>48</v>
      </c>
      <c r="B51" s="66"/>
      <c r="C51" s="67"/>
      <c r="D51" s="70"/>
    </row>
    <row r="52" customFormat="false" ht="15" hidden="false" customHeight="false" outlineLevel="0" collapsed="false">
      <c r="A52" s="69" t="n">
        <v>49</v>
      </c>
      <c r="B52" s="66"/>
      <c r="C52" s="67"/>
      <c r="D52" s="70"/>
    </row>
    <row r="53" customFormat="false" ht="15" hidden="false" customHeight="false" outlineLevel="0" collapsed="false">
      <c r="A53" s="69" t="n">
        <v>50</v>
      </c>
      <c r="B53" s="66"/>
      <c r="C53" s="67"/>
      <c r="D53" s="70"/>
    </row>
    <row r="54" customFormat="false" ht="15" hidden="false" customHeight="false" outlineLevel="0" collapsed="false">
      <c r="A54" s="69" t="n">
        <v>51</v>
      </c>
      <c r="B54" s="66"/>
      <c r="C54" s="67"/>
      <c r="D54" s="70"/>
    </row>
    <row r="55" customFormat="false" ht="15" hidden="false" customHeight="false" outlineLevel="0" collapsed="false">
      <c r="A55" s="69" t="n">
        <v>52</v>
      </c>
      <c r="B55" s="66"/>
      <c r="C55" s="67"/>
      <c r="D55" s="70"/>
    </row>
    <row r="56" customFormat="false" ht="15" hidden="false" customHeight="false" outlineLevel="0" collapsed="false">
      <c r="A56" s="69" t="n">
        <v>53</v>
      </c>
      <c r="B56" s="66"/>
      <c r="C56" s="67"/>
      <c r="D56" s="70"/>
    </row>
    <row r="57" customFormat="false" ht="15" hidden="false" customHeight="false" outlineLevel="0" collapsed="false">
      <c r="A57" s="69" t="n">
        <v>54</v>
      </c>
      <c r="B57" s="66"/>
      <c r="C57" s="67"/>
      <c r="D57" s="70"/>
    </row>
    <row r="58" customFormat="false" ht="15" hidden="false" customHeight="false" outlineLevel="0" collapsed="false">
      <c r="A58" s="69" t="n">
        <v>55</v>
      </c>
      <c r="B58" s="66"/>
      <c r="C58" s="67"/>
      <c r="D58" s="70"/>
    </row>
    <row r="59" customFormat="false" ht="15" hidden="false" customHeight="false" outlineLevel="0" collapsed="false">
      <c r="A59" s="69" t="n">
        <v>56</v>
      </c>
      <c r="B59" s="66"/>
      <c r="C59" s="67"/>
      <c r="D59" s="70"/>
    </row>
    <row r="60" customFormat="false" ht="15" hidden="false" customHeight="false" outlineLevel="0" collapsed="false">
      <c r="A60" s="69" t="n">
        <v>57</v>
      </c>
      <c r="B60" s="66"/>
      <c r="C60" s="67"/>
      <c r="D60" s="70"/>
    </row>
    <row r="61" customFormat="false" ht="15" hidden="false" customHeight="false" outlineLevel="0" collapsed="false">
      <c r="A61" s="69" t="n">
        <v>58</v>
      </c>
      <c r="B61" s="66"/>
      <c r="C61" s="67"/>
      <c r="D61" s="70"/>
    </row>
    <row r="62" customFormat="false" ht="15" hidden="false" customHeight="false" outlineLevel="0" collapsed="false">
      <c r="A62" s="69" t="n">
        <v>59</v>
      </c>
      <c r="B62" s="66"/>
      <c r="C62" s="67"/>
      <c r="D62" s="70"/>
    </row>
    <row r="63" customFormat="false" ht="15" hidden="false" customHeight="false" outlineLevel="0" collapsed="false">
      <c r="A63" s="69" t="n">
        <v>60</v>
      </c>
      <c r="B63" s="66"/>
      <c r="C63" s="67"/>
      <c r="D63" s="70"/>
    </row>
    <row r="64" customFormat="false" ht="15" hidden="false" customHeight="false" outlineLevel="0" collapsed="false">
      <c r="A64" s="69" t="n">
        <v>61</v>
      </c>
      <c r="B64" s="66"/>
      <c r="C64" s="67"/>
      <c r="D64" s="70"/>
    </row>
    <row r="65" customFormat="false" ht="15" hidden="false" customHeight="false" outlineLevel="0" collapsed="false">
      <c r="A65" s="69" t="n">
        <v>62</v>
      </c>
      <c r="B65" s="66"/>
      <c r="C65" s="67"/>
      <c r="D65" s="70"/>
    </row>
    <row r="66" customFormat="false" ht="15" hidden="false" customHeight="false" outlineLevel="0" collapsed="false">
      <c r="A66" s="69" t="n">
        <v>63</v>
      </c>
      <c r="B66" s="66"/>
      <c r="C66" s="67"/>
      <c r="D66" s="70"/>
    </row>
    <row r="67" customFormat="false" ht="15" hidden="false" customHeight="false" outlineLevel="0" collapsed="false">
      <c r="A67" s="69" t="n">
        <v>64</v>
      </c>
      <c r="B67" s="66"/>
      <c r="C67" s="67"/>
      <c r="D67" s="70"/>
    </row>
    <row r="68" customFormat="false" ht="15" hidden="false" customHeight="false" outlineLevel="0" collapsed="false">
      <c r="A68" s="69" t="n">
        <v>65</v>
      </c>
      <c r="B68" s="66"/>
      <c r="C68" s="67"/>
      <c r="D68" s="70"/>
    </row>
    <row r="69" customFormat="false" ht="15" hidden="false" customHeight="false" outlineLevel="0" collapsed="false">
      <c r="A69" s="69" t="n">
        <v>66</v>
      </c>
      <c r="B69" s="66"/>
      <c r="C69" s="67"/>
      <c r="D69" s="70"/>
    </row>
    <row r="70" customFormat="false" ht="15" hidden="false" customHeight="false" outlineLevel="0" collapsed="false">
      <c r="A70" s="69" t="n">
        <v>67</v>
      </c>
      <c r="B70" s="66"/>
      <c r="C70" s="67"/>
      <c r="D70" s="70"/>
    </row>
    <row r="71" customFormat="false" ht="15" hidden="false" customHeight="false" outlineLevel="0" collapsed="false">
      <c r="A71" s="69" t="n">
        <v>68</v>
      </c>
      <c r="B71" s="66"/>
      <c r="C71" s="67"/>
      <c r="D71" s="70"/>
    </row>
    <row r="72" customFormat="false" ht="15" hidden="false" customHeight="false" outlineLevel="0" collapsed="false">
      <c r="A72" s="69" t="n">
        <v>69</v>
      </c>
      <c r="B72" s="66"/>
      <c r="C72" s="67"/>
      <c r="D72" s="70"/>
    </row>
    <row r="73" customFormat="false" ht="15" hidden="false" customHeight="false" outlineLevel="0" collapsed="false">
      <c r="A73" s="69" t="n">
        <v>70</v>
      </c>
      <c r="B73" s="66"/>
      <c r="C73" s="67"/>
      <c r="D73" s="70"/>
    </row>
    <row r="74" customFormat="false" ht="15" hidden="false" customHeight="false" outlineLevel="0" collapsed="false">
      <c r="A74" s="69" t="n">
        <v>71</v>
      </c>
      <c r="B74" s="66"/>
      <c r="C74" s="67"/>
      <c r="D74" s="70"/>
    </row>
    <row r="75" customFormat="false" ht="15" hidden="false" customHeight="false" outlineLevel="0" collapsed="false">
      <c r="A75" s="69" t="n">
        <v>72</v>
      </c>
      <c r="B75" s="66"/>
      <c r="C75" s="67"/>
      <c r="D75" s="70"/>
    </row>
    <row r="76" customFormat="false" ht="15" hidden="false" customHeight="false" outlineLevel="0" collapsed="false">
      <c r="A76" s="69" t="n">
        <v>73</v>
      </c>
      <c r="B76" s="66"/>
      <c r="C76" s="67"/>
      <c r="D76" s="70"/>
    </row>
    <row r="77" customFormat="false" ht="15" hidden="false" customHeight="false" outlineLevel="0" collapsed="false">
      <c r="A77" s="69" t="n">
        <v>74</v>
      </c>
      <c r="B77" s="66"/>
      <c r="C77" s="67"/>
      <c r="D77" s="70"/>
    </row>
    <row r="78" customFormat="false" ht="15" hidden="false" customHeight="false" outlineLevel="0" collapsed="false">
      <c r="A78" s="69" t="n">
        <v>75</v>
      </c>
      <c r="B78" s="66"/>
      <c r="C78" s="67"/>
      <c r="D78" s="70"/>
    </row>
    <row r="79" customFormat="false" ht="15" hidden="false" customHeight="false" outlineLevel="0" collapsed="false">
      <c r="A79" s="69" t="n">
        <v>76</v>
      </c>
      <c r="B79" s="66"/>
      <c r="C79" s="67"/>
      <c r="D79" s="70"/>
    </row>
    <row r="80" customFormat="false" ht="15" hidden="false" customHeight="false" outlineLevel="0" collapsed="false">
      <c r="A80" s="69" t="n">
        <v>77</v>
      </c>
      <c r="B80" s="66"/>
      <c r="C80" s="67"/>
      <c r="D80" s="70"/>
    </row>
    <row r="81" customFormat="false" ht="15" hidden="false" customHeight="false" outlineLevel="0" collapsed="false">
      <c r="A81" s="69" t="n">
        <v>78</v>
      </c>
      <c r="B81" s="66"/>
      <c r="C81" s="67"/>
      <c r="D81" s="70"/>
    </row>
    <row r="82" customFormat="false" ht="15" hidden="false" customHeight="false" outlineLevel="0" collapsed="false">
      <c r="A82" s="69" t="n">
        <v>79</v>
      </c>
      <c r="B82" s="66"/>
      <c r="C82" s="67"/>
      <c r="D82" s="70"/>
    </row>
    <row r="83" customFormat="false" ht="15" hidden="false" customHeight="false" outlineLevel="0" collapsed="false">
      <c r="A83" s="69" t="n">
        <v>80</v>
      </c>
      <c r="B83" s="66"/>
      <c r="C83" s="67"/>
      <c r="D83" s="70"/>
    </row>
    <row r="84" customFormat="false" ht="15" hidden="false" customHeight="false" outlineLevel="0" collapsed="false">
      <c r="A84" s="69" t="n">
        <v>81</v>
      </c>
      <c r="B84" s="66"/>
      <c r="C84" s="67"/>
      <c r="D84" s="70"/>
    </row>
    <row r="85" customFormat="false" ht="15" hidden="false" customHeight="false" outlineLevel="0" collapsed="false">
      <c r="A85" s="69" t="n">
        <v>82</v>
      </c>
      <c r="B85" s="66"/>
      <c r="C85" s="67"/>
      <c r="D85" s="70"/>
    </row>
    <row r="86" customFormat="false" ht="15" hidden="false" customHeight="false" outlineLevel="0" collapsed="false">
      <c r="A86" s="69" t="n">
        <v>83</v>
      </c>
      <c r="B86" s="66"/>
      <c r="C86" s="67"/>
      <c r="D86" s="70"/>
    </row>
    <row r="87" customFormat="false" ht="15" hidden="false" customHeight="false" outlineLevel="0" collapsed="false">
      <c r="A87" s="69" t="n">
        <v>84</v>
      </c>
      <c r="B87" s="66"/>
      <c r="C87" s="67"/>
      <c r="D87" s="70"/>
    </row>
    <row r="88" customFormat="false" ht="15" hidden="false" customHeight="false" outlineLevel="0" collapsed="false">
      <c r="A88" s="69" t="n">
        <v>85</v>
      </c>
      <c r="B88" s="66"/>
      <c r="C88" s="67"/>
      <c r="D88" s="70"/>
    </row>
    <row r="89" customFormat="false" ht="15" hidden="false" customHeight="false" outlineLevel="0" collapsed="false">
      <c r="A89" s="69" t="n">
        <v>86</v>
      </c>
      <c r="B89" s="66"/>
      <c r="C89" s="67"/>
      <c r="D89" s="70"/>
    </row>
    <row r="90" customFormat="false" ht="15" hidden="false" customHeight="false" outlineLevel="0" collapsed="false">
      <c r="A90" s="69" t="n">
        <v>87</v>
      </c>
      <c r="B90" s="66"/>
      <c r="C90" s="67"/>
      <c r="D90" s="70"/>
    </row>
    <row r="91" customFormat="false" ht="15" hidden="false" customHeight="false" outlineLevel="0" collapsed="false">
      <c r="A91" s="69" t="n">
        <v>88</v>
      </c>
      <c r="B91" s="66"/>
      <c r="C91" s="67"/>
      <c r="D91" s="70"/>
    </row>
    <row r="92" customFormat="false" ht="15" hidden="false" customHeight="false" outlineLevel="0" collapsed="false">
      <c r="A92" s="69" t="n">
        <v>89</v>
      </c>
      <c r="B92" s="66"/>
      <c r="C92" s="67"/>
      <c r="D92" s="70"/>
    </row>
    <row r="93" customFormat="false" ht="15" hidden="false" customHeight="false" outlineLevel="0" collapsed="false">
      <c r="A93" s="69" t="n">
        <v>90</v>
      </c>
      <c r="B93" s="66"/>
      <c r="C93" s="67"/>
      <c r="D93" s="70"/>
    </row>
    <row r="94" customFormat="false" ht="15" hidden="false" customHeight="false" outlineLevel="0" collapsed="false">
      <c r="A94" s="69" t="n">
        <v>91</v>
      </c>
      <c r="B94" s="66"/>
      <c r="C94" s="67"/>
      <c r="D94" s="70"/>
    </row>
    <row r="95" customFormat="false" ht="15" hidden="false" customHeight="false" outlineLevel="0" collapsed="false">
      <c r="A95" s="69" t="n">
        <v>92</v>
      </c>
      <c r="B95" s="66"/>
      <c r="C95" s="67"/>
      <c r="D95" s="70"/>
    </row>
    <row r="96" customFormat="false" ht="15" hidden="false" customHeight="false" outlineLevel="0" collapsed="false">
      <c r="A96" s="69" t="n">
        <v>93</v>
      </c>
      <c r="B96" s="66"/>
      <c r="C96" s="67"/>
      <c r="D96" s="70"/>
    </row>
    <row r="97" customFormat="false" ht="15" hidden="false" customHeight="false" outlineLevel="0" collapsed="false">
      <c r="A97" s="69" t="n">
        <v>94</v>
      </c>
      <c r="B97" s="66"/>
      <c r="C97" s="67"/>
      <c r="D97" s="70"/>
    </row>
    <row r="98" customFormat="false" ht="15" hidden="false" customHeight="false" outlineLevel="0" collapsed="false">
      <c r="A98" s="69" t="n">
        <v>95</v>
      </c>
      <c r="B98" s="66"/>
      <c r="C98" s="67"/>
      <c r="D98" s="70"/>
    </row>
    <row r="99" customFormat="false" ht="15" hidden="false" customHeight="false" outlineLevel="0" collapsed="false">
      <c r="A99" s="69" t="n">
        <v>96</v>
      </c>
      <c r="B99" s="66"/>
      <c r="C99" s="67"/>
      <c r="D99" s="70"/>
    </row>
    <row r="100" customFormat="false" ht="15" hidden="false" customHeight="false" outlineLevel="0" collapsed="false">
      <c r="A100" s="69" t="n">
        <v>97</v>
      </c>
      <c r="B100" s="66"/>
      <c r="C100" s="67"/>
      <c r="D100" s="70"/>
    </row>
    <row r="101" customFormat="false" ht="15" hidden="false" customHeight="false" outlineLevel="0" collapsed="false">
      <c r="A101" s="69" t="n">
        <v>98</v>
      </c>
      <c r="B101" s="66"/>
      <c r="C101" s="67"/>
      <c r="D101" s="70"/>
    </row>
    <row r="102" customFormat="false" ht="15" hidden="false" customHeight="false" outlineLevel="0" collapsed="false">
      <c r="A102" s="69" t="n">
        <v>99</v>
      </c>
      <c r="B102" s="66"/>
      <c r="C102" s="67"/>
      <c r="D102" s="70"/>
    </row>
    <row r="103" customFormat="false" ht="15" hidden="false" customHeight="false" outlineLevel="0" collapsed="false">
      <c r="A103" s="69" t="n">
        <v>100</v>
      </c>
      <c r="B103" s="66"/>
      <c r="C103" s="67"/>
      <c r="D103" s="70"/>
    </row>
    <row r="104" customFormat="false" ht="15" hidden="false" customHeight="false" outlineLevel="0" collapsed="false">
      <c r="A104" s="69" t="n">
        <v>101</v>
      </c>
      <c r="B104" s="66"/>
      <c r="C104" s="67"/>
      <c r="D104" s="70"/>
    </row>
    <row r="105" customFormat="false" ht="15" hidden="false" customHeight="false" outlineLevel="0" collapsed="false">
      <c r="A105" s="69" t="n">
        <v>102</v>
      </c>
      <c r="B105" s="66"/>
      <c r="C105" s="67"/>
      <c r="D105" s="70"/>
    </row>
    <row r="106" customFormat="false" ht="15" hidden="false" customHeight="false" outlineLevel="0" collapsed="false">
      <c r="A106" s="69" t="n">
        <v>103</v>
      </c>
      <c r="B106" s="66"/>
      <c r="C106" s="67"/>
      <c r="D106" s="70"/>
    </row>
    <row r="107" customFormat="false" ht="15" hidden="false" customHeight="false" outlineLevel="0" collapsed="false">
      <c r="A107" s="69" t="n">
        <v>104</v>
      </c>
      <c r="B107" s="66"/>
      <c r="C107" s="67"/>
      <c r="D107" s="70"/>
    </row>
    <row r="108" customFormat="false" ht="15" hidden="false" customHeight="false" outlineLevel="0" collapsed="false">
      <c r="A108" s="69" t="n">
        <v>105</v>
      </c>
      <c r="B108" s="66"/>
      <c r="C108" s="67"/>
      <c r="D108" s="70"/>
    </row>
    <row r="109" customFormat="false" ht="15" hidden="false" customHeight="false" outlineLevel="0" collapsed="false">
      <c r="A109" s="69" t="n">
        <v>106</v>
      </c>
      <c r="B109" s="66"/>
      <c r="C109" s="67"/>
      <c r="D109" s="70"/>
    </row>
    <row r="110" customFormat="false" ht="15" hidden="false" customHeight="false" outlineLevel="0" collapsed="false">
      <c r="A110" s="69" t="n">
        <v>107</v>
      </c>
      <c r="B110" s="66"/>
      <c r="C110" s="67"/>
      <c r="D110" s="70"/>
    </row>
    <row r="111" customFormat="false" ht="15" hidden="false" customHeight="false" outlineLevel="0" collapsed="false">
      <c r="A111" s="69" t="n">
        <v>108</v>
      </c>
      <c r="B111" s="66"/>
      <c r="C111" s="67"/>
      <c r="D111" s="70"/>
    </row>
    <row r="112" customFormat="false" ht="15" hidden="false" customHeight="false" outlineLevel="0" collapsed="false">
      <c r="A112" s="69" t="n">
        <v>109</v>
      </c>
      <c r="B112" s="66"/>
      <c r="C112" s="67"/>
      <c r="D112" s="70"/>
    </row>
    <row r="113" customFormat="false" ht="15" hidden="false" customHeight="false" outlineLevel="0" collapsed="false">
      <c r="A113" s="69" t="n">
        <v>110</v>
      </c>
      <c r="B113" s="66"/>
      <c r="C113" s="67"/>
      <c r="D113" s="70"/>
    </row>
    <row r="114" customFormat="false" ht="15" hidden="false" customHeight="false" outlineLevel="0" collapsed="false">
      <c r="A114" s="69" t="n">
        <v>111</v>
      </c>
      <c r="B114" s="66"/>
      <c r="C114" s="67"/>
      <c r="D114" s="70"/>
    </row>
    <row r="115" customFormat="false" ht="15.75" hidden="false" customHeight="false" outlineLevel="0" collapsed="false">
      <c r="A115" s="72" t="n">
        <v>112</v>
      </c>
      <c r="B115" s="73"/>
      <c r="C115" s="74"/>
      <c r="D115" s="75"/>
    </row>
  </sheetData>
  <mergeCells count="5">
    <mergeCell ref="A1:D1"/>
    <mergeCell ref="A2:A3"/>
    <mergeCell ref="B2:B3"/>
    <mergeCell ref="C2:C3"/>
    <mergeCell ref="D2:D3"/>
  </mergeCells>
  <dataValidations count="1">
    <dataValidation allowBlank="true" errorStyle="stop" operator="between" showDropDown="false" showErrorMessage="true" showInputMessage="true" sqref="D4:D115" type="list">
      <formula1>estado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P158"/>
  <sheetViews>
    <sheetView showFormulas="false" showGridLines="true" showRowColHeaders="true" showZeros="true" rightToLeft="false" tabSelected="false" showOutlineSymbols="true" defaultGridColor="true" view="normal" topLeftCell="Z2" colorId="64" zoomScale="85" zoomScaleNormal="85" zoomScalePageLayoutView="100" workbookViewId="0">
      <selection pane="topLeft" activeCell="D83" activeCellId="0" sqref="D83"/>
    </sheetView>
  </sheetViews>
  <sheetFormatPr defaultColWidth="11.50390625" defaultRowHeight="12.75" zeroHeight="false" outlineLevelRow="0" outlineLevelCol="0"/>
  <cols>
    <col collapsed="false" customWidth="true" hidden="false" outlineLevel="0" max="1" min="1" style="76" width="4.5"/>
    <col collapsed="false" customWidth="true" hidden="false" outlineLevel="0" max="5" min="2" style="76" width="15.67"/>
    <col collapsed="false" customWidth="true" hidden="false" outlineLevel="0" max="6" min="6" style="76" width="18.34"/>
    <col collapsed="false" customWidth="true" hidden="false" outlineLevel="0" max="8" min="7" style="76" width="15.67"/>
    <col collapsed="false" customWidth="true" hidden="false" outlineLevel="0" max="10" min="9" style="76" width="18.5"/>
    <col collapsed="false" customWidth="true" hidden="false" outlineLevel="0" max="11" min="11" style="76" width="15.67"/>
    <col collapsed="false" customWidth="false" hidden="false" outlineLevel="0" max="12" min="12" style="76" width="11.5"/>
    <col collapsed="false" customWidth="true" hidden="false" outlineLevel="0" max="13" min="13" style="76" width="12.33"/>
    <col collapsed="false" customWidth="true" hidden="false" outlineLevel="0" max="17" min="14" style="76" width="18.5"/>
    <col collapsed="false" customWidth="true" hidden="false" outlineLevel="0" max="21" min="18" style="76" width="17.66"/>
    <col collapsed="false" customWidth="false" hidden="false" outlineLevel="0" max="22" min="22" style="76" width="11.5"/>
    <col collapsed="false" customWidth="true" hidden="false" outlineLevel="0" max="25" min="23" style="76" width="15.67"/>
    <col collapsed="false" customWidth="true" hidden="false" outlineLevel="0" max="26" min="26" style="76" width="16.5"/>
    <col collapsed="false" customWidth="true" hidden="false" outlineLevel="0" max="27" min="27" style="76" width="15.67"/>
    <col collapsed="false" customWidth="false" hidden="false" outlineLevel="0" max="28" min="28" style="76" width="11.5"/>
    <col collapsed="false" customWidth="true" hidden="false" outlineLevel="0" max="33" min="29" style="76" width="15.67"/>
    <col collapsed="false" customWidth="false" hidden="false" outlineLevel="0" max="34" min="34" style="76" width="11.5"/>
    <col collapsed="false" customWidth="true" hidden="false" outlineLevel="0" max="35" min="35" style="76" width="16.5"/>
    <col collapsed="false" customWidth="true" hidden="false" outlineLevel="0" max="38" min="36" style="76" width="15.67"/>
    <col collapsed="false" customWidth="false" hidden="false" outlineLevel="0" max="16384" min="39" style="76" width="11.5"/>
  </cols>
  <sheetData>
    <row r="2" customFormat="false" ht="12.75" hidden="false" customHeight="false" outlineLevel="0" collapsed="false">
      <c r="AD2" s="77"/>
      <c r="AE2" s="77"/>
    </row>
    <row r="3" customFormat="false" ht="12.75" hidden="false" customHeight="true" outlineLevel="0" collapsed="false">
      <c r="R3" s="78"/>
      <c r="AD3" s="77"/>
      <c r="AE3" s="77"/>
    </row>
    <row r="4" customFormat="false" ht="12.75" hidden="false" customHeight="false" outlineLevel="0" collapsed="false">
      <c r="AD4" s="77"/>
      <c r="AE4" s="77"/>
      <c r="AF4" s="79"/>
    </row>
    <row r="5" customFormat="false" ht="12.75" hidden="false" customHeight="false" outlineLevel="0" collapsed="false">
      <c r="T5" s="80"/>
      <c r="AD5" s="77"/>
      <c r="AE5" s="77"/>
    </row>
    <row r="8" customFormat="false" ht="13.5" hidden="false" customHeight="false" outlineLevel="0" collapsed="false"/>
    <row r="9" customFormat="false" ht="21" hidden="false" customHeight="false" outlineLevel="0" collapsed="false">
      <c r="A9" s="81"/>
      <c r="B9" s="82" t="s">
        <v>12</v>
      </c>
      <c r="C9" s="82"/>
      <c r="D9" s="82"/>
      <c r="E9" s="82"/>
      <c r="F9" s="82"/>
      <c r="G9" s="82"/>
      <c r="H9" s="83" t="s">
        <v>13</v>
      </c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W9" s="84" t="s">
        <v>14</v>
      </c>
      <c r="X9" s="84"/>
      <c r="Y9" s="84"/>
      <c r="Z9" s="84"/>
      <c r="AA9" s="84"/>
      <c r="AC9" s="85" t="s">
        <v>15</v>
      </c>
      <c r="AD9" s="85"/>
      <c r="AE9" s="85"/>
      <c r="AF9" s="85"/>
      <c r="AG9" s="85"/>
      <c r="AI9" s="85" t="s">
        <v>16</v>
      </c>
      <c r="AJ9" s="85"/>
      <c r="AK9" s="85"/>
      <c r="AL9" s="85"/>
    </row>
    <row r="10" customFormat="false" ht="48" hidden="false" customHeight="true" outlineLevel="0" collapsed="false">
      <c r="A10" s="81"/>
      <c r="B10" s="86" t="s">
        <v>17</v>
      </c>
      <c r="C10" s="86" t="s">
        <v>17</v>
      </c>
      <c r="D10" s="87" t="s">
        <v>18</v>
      </c>
      <c r="E10" s="88" t="s">
        <v>19</v>
      </c>
      <c r="F10" s="88" t="s">
        <v>20</v>
      </c>
      <c r="G10" s="87" t="s">
        <v>18</v>
      </c>
      <c r="H10" s="89" t="s">
        <v>21</v>
      </c>
      <c r="I10" s="90" t="s">
        <v>22</v>
      </c>
      <c r="J10" s="90" t="s">
        <v>23</v>
      </c>
      <c r="K10" s="89" t="s">
        <v>24</v>
      </c>
      <c r="L10" s="91" t="s">
        <v>25</v>
      </c>
      <c r="M10" s="91"/>
      <c r="N10" s="90" t="s">
        <v>26</v>
      </c>
      <c r="O10" s="89" t="s">
        <v>27</v>
      </c>
      <c r="P10" s="89" t="s">
        <v>27</v>
      </c>
      <c r="Q10" s="89" t="s">
        <v>27</v>
      </c>
      <c r="R10" s="92" t="s">
        <v>28</v>
      </c>
      <c r="S10" s="93" t="s">
        <v>29</v>
      </c>
      <c r="T10" s="93" t="s">
        <v>30</v>
      </c>
      <c r="U10" s="93" t="s">
        <v>30</v>
      </c>
      <c r="W10" s="94" t="s">
        <v>31</v>
      </c>
      <c r="X10" s="94"/>
      <c r="Y10" s="94" t="s">
        <v>32</v>
      </c>
      <c r="Z10" s="94"/>
      <c r="AA10" s="94"/>
      <c r="AC10" s="95" t="s">
        <v>33</v>
      </c>
      <c r="AD10" s="95" t="s">
        <v>34</v>
      </c>
      <c r="AE10" s="95" t="s">
        <v>35</v>
      </c>
      <c r="AF10" s="95" t="s">
        <v>36</v>
      </c>
      <c r="AG10" s="95" t="s">
        <v>37</v>
      </c>
      <c r="AI10" s="96" t="s">
        <v>33</v>
      </c>
      <c r="AJ10" s="96" t="s">
        <v>38</v>
      </c>
      <c r="AK10" s="96" t="s">
        <v>39</v>
      </c>
      <c r="AL10" s="96" t="s">
        <v>40</v>
      </c>
      <c r="AM10" s="97"/>
    </row>
    <row r="11" customFormat="false" ht="18" hidden="false" customHeight="false" outlineLevel="0" collapsed="false">
      <c r="A11" s="81"/>
      <c r="B11" s="98" t="str">
        <f aca="false">IF('conversion datos'!$L$30='Patrones LACOMET'!$D$3,"Pulgadas",IF('conversion datos'!$L$30='Patrones LACOMET'!$D$4,"mm","No existe el patrón"))</f>
        <v>mm</v>
      </c>
      <c r="C11" s="98" t="s">
        <v>1</v>
      </c>
      <c r="D11" s="99" t="str">
        <f aca="false">IF('conversion datos'!$L$30='Patrones LACOMET'!$D$3,"Pulgadas",IF('conversion datos'!$L$30='Patrones LACOMET'!$D$4,"mm","No existe el patrón"))</f>
        <v>mm</v>
      </c>
      <c r="E11" s="100" t="str">
        <f aca="false">IF('conversion datos'!$L$30='Patrones LACOMET'!$D$3,"Pulgadas",IF('conversion datos'!$L$30='Patrones LACOMET'!$D$4,"mm","No existe el patrón"))</f>
        <v>mm</v>
      </c>
      <c r="F11" s="100" t="str">
        <f aca="false">IF('conversion datos'!$L$30='Patrones LACOMET'!$D$3,"Pulgadas",IF('conversion datos'!$L$30='Patrones LACOMET'!$D$4,"mm","No existe el patrón"))</f>
        <v>mm</v>
      </c>
      <c r="G11" s="101" t="str">
        <f aca="false">IF('conversion datos'!$L$30='Patrones LACOMET'!$D$3,"Pulgadas",IF('conversion datos'!$L$30='Patrones LACOMET'!$D$4,"mm","No existe el patrón"))</f>
        <v>mm</v>
      </c>
      <c r="H11" s="90" t="s">
        <v>1</v>
      </c>
      <c r="I11" s="90"/>
      <c r="J11" s="90" t="str">
        <f aca="false">IF('conversion datos'!$L$30='Patrones LACOMET'!$D$3,"Pulgadas",IF('conversion datos'!$L$30='Patrones LACOMET'!$D$4,"mm","No existe el patrón"))</f>
        <v>mm</v>
      </c>
      <c r="K11" s="102" t="s">
        <v>41</v>
      </c>
      <c r="L11" s="103" t="s">
        <v>42</v>
      </c>
      <c r="M11" s="103" t="s">
        <v>43</v>
      </c>
      <c r="N11" s="90"/>
      <c r="O11" s="102" t="str">
        <f aca="false">IF('conversion datos'!$L$30='Patrones LACOMET'!$D$3,"µ pulgadas",IF('conversion datos'!$L$30='Patrones LACOMET'!$D$4,"µm","No existe el patrón"))</f>
        <v>µm</v>
      </c>
      <c r="P11" s="102" t="str">
        <f aca="false">IF('conversion datos'!$L$30='Patrones LACOMET'!$D$3,"pulgadas",IF('conversion datos'!$L$30='Patrones LACOMET'!$D$4,"mm","No existe el patrón"))</f>
        <v>mm</v>
      </c>
      <c r="Q11" s="102" t="s">
        <v>1</v>
      </c>
      <c r="R11" s="104" t="s">
        <v>1</v>
      </c>
      <c r="S11" s="105" t="s">
        <v>44</v>
      </c>
      <c r="T11" s="106" t="s">
        <v>1</v>
      </c>
      <c r="U11" s="105" t="s">
        <v>44</v>
      </c>
      <c r="W11" s="107" t="s">
        <v>45</v>
      </c>
      <c r="X11" s="108" t="s">
        <v>46</v>
      </c>
      <c r="Y11" s="108" t="s">
        <v>45</v>
      </c>
      <c r="Z11" s="108" t="s">
        <v>46</v>
      </c>
      <c r="AA11" s="108" t="s">
        <v>47</v>
      </c>
      <c r="AC11" s="109"/>
      <c r="AD11" s="110" t="s">
        <v>45</v>
      </c>
      <c r="AE11" s="110" t="s">
        <v>45</v>
      </c>
      <c r="AF11" s="110" t="s">
        <v>45</v>
      </c>
      <c r="AG11" s="110" t="s">
        <v>45</v>
      </c>
      <c r="AI11" s="111"/>
      <c r="AJ11" s="112" t="s">
        <v>48</v>
      </c>
      <c r="AK11" s="112" t="s">
        <v>48</v>
      </c>
      <c r="AL11" s="112" t="s">
        <v>48</v>
      </c>
      <c r="AM11" s="97"/>
      <c r="AO11" s="113"/>
      <c r="AP11" s="113"/>
    </row>
    <row r="12" customFormat="false" ht="16.5" hidden="false" customHeight="false" outlineLevel="0" collapsed="false">
      <c r="A12" s="81" t="n">
        <v>1</v>
      </c>
      <c r="B12" s="114" t="str">
        <f aca="false">J12</f>
        <v/>
      </c>
      <c r="C12" s="115" t="str">
        <f aca="false">IF(H12="","",H12)</f>
        <v/>
      </c>
      <c r="D12" s="116" t="str">
        <f aca="false">IF(B12="","",(IF('conversion datos'!$L$30='Patrones LACOMET'!$D$3,(VLOOKUP(B12,'BLOQUES PATRON (pulg) '!$D$5:$H$87,3,FALSE())),IF('conversion datos'!$L$30='Patrones LACOMET'!$D$4,((VLOOKUP(CALIBRACION!B12,'BLOQUES PATRON (mm)'!$D$5:$H$126,3,FALSE()))/1000),"No existe el patrón"))))</f>
        <v/>
      </c>
      <c r="E12" s="117" t="str">
        <f aca="false">IF(B12="","",(B12+D12))</f>
        <v/>
      </c>
      <c r="F12" s="118" t="str">
        <f aca="false">IF(B12="","",(IF('conversion datos'!$L$30='Patrones LACOMET'!$D$3,(VLOOKUP(B12,'BLOQUES PATRON (pulg) '!$D$5:$H$87,5,FALSE())),IF('conversion datos'!$L$30='Patrones LACOMET'!$D$4,((VLOOKUP(CALIBRACION!B12,'BLOQUES PATRON (mm)'!$D$5:$H$126,4,FALSE()))/1000000),"No existe el patrón"))))</f>
        <v/>
      </c>
      <c r="G12" s="118" t="str">
        <f aca="false">IF(D12="","",(IF('conversion datos'!$L$30='Patrones LACOMET'!$D$3,(D12*25.4),IF('conversion datos'!$L$30='Patrones LACOMET'!$D$4,D12,"No existe el patrón"))))</f>
        <v/>
      </c>
      <c r="H12" s="119" t="str">
        <f aca="false">IF(J12="","",(IF('conversion datos'!$L$30='Patrones LACOMET'!$D$3,(CALIBRACION!J12*25.4),IF('conversion datos'!$L$30='Patrones LACOMET'!$D$4,(CALIBRACION!J12),"No existe el patrón"))))</f>
        <v/>
      </c>
      <c r="I12" s="120" t="e">
        <f aca="false">IF('conversion datos'!B2="","",'conversion datos'!B2)</f>
        <v>#VALUE!</v>
      </c>
      <c r="J12" s="121" t="str">
        <f aca="false">IF('conversion datos'!C2="","",'conversion datos'!C2)</f>
        <v/>
      </c>
      <c r="K12" s="122"/>
      <c r="L12" s="122"/>
      <c r="M12" s="122"/>
      <c r="N12" s="122"/>
      <c r="O12" s="123" t="str">
        <f aca="false">IF('conversion datos'!F2="","",'conversion datos'!F2)</f>
        <v/>
      </c>
      <c r="P12" s="124" t="str">
        <f aca="false">IF($H12="","",+O12/1000)</f>
        <v/>
      </c>
      <c r="Q12" s="124" t="str">
        <f aca="false">IF($H12="","",(IF('conversion datos'!$L$30='Patrones LACOMET'!$D$3,P12*0.0254,IF('conversion datos'!$L$30='Patrones LACOMET'!$D$4,P12,"No existe el patrón"))))</f>
        <v/>
      </c>
      <c r="R12" s="124" t="str">
        <f aca="false">IF($H12="","",(IF('conversion datos'!$L$30='Patrones LACOMET'!$D$3,E12*25.4,IF('conversion datos'!$L$30='Patrones LACOMET'!$D$4,E12,"No existe el patrón"))))</f>
        <v/>
      </c>
      <c r="S12" s="124" t="str">
        <f aca="false">+IF($H12="","",((INCERTIDUMBRE!$M$8)/1000)/25.4)</f>
        <v/>
      </c>
      <c r="T12" s="124" t="str">
        <f aca="false">IF($H12="","",(+H12+Q12+S12))</f>
        <v/>
      </c>
      <c r="U12" s="125" t="str">
        <f aca="false">IF($H12="","",(T12/25.4))</f>
        <v/>
      </c>
      <c r="V12" s="97"/>
      <c r="W12" s="126" t="e">
        <f aca="false">IF('Datos de condiciones'!D4="","",'Datos de condiciones'!D4)</f>
        <v>#VALUE!</v>
      </c>
      <c r="X12" s="127" t="str">
        <f aca="false">+IF($H12="","",(W12-20))</f>
        <v/>
      </c>
      <c r="Y12" s="128" t="e">
        <f aca="false">IF('Datos de condiciones'!E4="","",'Datos de condiciones'!E4)</f>
        <v>#VALUE!</v>
      </c>
      <c r="Z12" s="129" t="str">
        <f aca="false">+IF($H12="","",Y12-20)</f>
        <v/>
      </c>
      <c r="AA12" s="130" t="str">
        <f aca="false">+IF($H12="","",ABS(X12-Z12))</f>
        <v/>
      </c>
      <c r="AB12" s="131"/>
      <c r="AC12" s="132" t="n">
        <v>1</v>
      </c>
      <c r="AD12" s="133" t="str">
        <f aca="false">+IF($H12="","",W12)</f>
        <v/>
      </c>
      <c r="AE12" s="129" t="str">
        <f aca="false">+IF($H12="","",Y12)</f>
        <v/>
      </c>
      <c r="AF12" s="130" t="str">
        <f aca="false">+IF($H12="","",+(ABS(AD12-AE12)))</f>
        <v/>
      </c>
      <c r="AG12" s="134" t="e">
        <f aca="false">IF('Datos de condiciones'!F4="","",'Datos de condiciones'!F4)</f>
        <v>#VALUE!</v>
      </c>
      <c r="AH12" s="135"/>
      <c r="AI12" s="132" t="s">
        <v>49</v>
      </c>
      <c r="AJ12" s="136"/>
      <c r="AK12" s="137" t="e">
        <f aca="false">IF('Datos de condiciones'!G4="","",'Datos de condiciones'!G4)</f>
        <v>#VALUE!</v>
      </c>
      <c r="AL12" s="138"/>
      <c r="AO12" s="113"/>
    </row>
    <row r="13" customFormat="false" ht="16.5" hidden="false" customHeight="false" outlineLevel="0" collapsed="false">
      <c r="A13" s="81" t="n">
        <f aca="false">+A12+1</f>
        <v>2</v>
      </c>
      <c r="B13" s="114" t="str">
        <f aca="false">J13</f>
        <v/>
      </c>
      <c r="C13" s="115" t="str">
        <f aca="false">IF(H13="","",H13)</f>
        <v/>
      </c>
      <c r="D13" s="116" t="str">
        <f aca="false">IF(B13="","",(IF('conversion datos'!$L$30='Patrones LACOMET'!$D$3,(VLOOKUP(B13,'BLOQUES PATRON (pulg) '!$D$5:$H$87,3,TRUE())),IF('conversion datos'!$L$30='Patrones LACOMET'!$D$4,((VLOOKUP(CALIBRACION!B13,'BLOQUES PATRON (mm)'!$D$5:$H$126,3,FALSE()))/1000),"No existe el patrón"))))</f>
        <v/>
      </c>
      <c r="E13" s="117" t="str">
        <f aca="false">IF(B13="","",(B13+D13))</f>
        <v/>
      </c>
      <c r="F13" s="118" t="str">
        <f aca="false">IF(B13="","",(IF('conversion datos'!$L$30='Patrones LACOMET'!$D$3,(VLOOKUP(B13,'BLOQUES PATRON (pulg) '!$D$5:$H$86,5,FALSE())),IF('conversion datos'!$L$30='Patrones LACOMET'!$D$4,((VLOOKUP(CALIBRACION!B13,'BLOQUES PATRON (mm)'!$D$5:$H$126,4,FALSE()))/1000000),"No existe el patrón"))))</f>
        <v/>
      </c>
      <c r="G13" s="118" t="str">
        <f aca="false">IF(D13="","",(IF('conversion datos'!$L$30='Patrones LACOMET'!$D$3,(D13*25.4),IF('conversion datos'!$L$30='Patrones LACOMET'!$D$4,D13,"No existe el patrón"))))</f>
        <v/>
      </c>
      <c r="H13" s="119" t="str">
        <f aca="false">IF(J13="","",(IF('conversion datos'!$L$30='Patrones LACOMET'!$D$3,(CALIBRACION!J13*25.4),IF('conversion datos'!$L$30='Patrones LACOMET'!$D$4,(CALIBRACION!J13),"No existe el patrón"))))</f>
        <v/>
      </c>
      <c r="I13" s="120" t="e">
        <f aca="false">IF('conversion datos'!B3="","",'conversion datos'!B3)</f>
        <v>#VALUE!</v>
      </c>
      <c r="J13" s="121" t="str">
        <f aca="false">IF('conversion datos'!C3="","",'conversion datos'!C3)</f>
        <v/>
      </c>
      <c r="K13" s="139"/>
      <c r="L13" s="140"/>
      <c r="M13" s="140"/>
      <c r="N13" s="141"/>
      <c r="O13" s="123" t="str">
        <f aca="false">IF('conversion datos'!F3="","",'conversion datos'!F3)</f>
        <v/>
      </c>
      <c r="P13" s="124" t="str">
        <f aca="false">IF($H13="","",+O13/1000)</f>
        <v/>
      </c>
      <c r="Q13" s="124" t="str">
        <f aca="false">IF($H13="","",(IF('conversion datos'!$L$30='Patrones LACOMET'!$D$3,P13*0.0254,IF('conversion datos'!$L$30='Patrones LACOMET'!$D$4,P13,"No existe el patrón"))))</f>
        <v/>
      </c>
      <c r="R13" s="124" t="str">
        <f aca="false">IF($H13="","",(IF('conversion datos'!$L$30='Patrones LACOMET'!$D$3,E13*25.4,IF('conversion datos'!$L$30='Patrones LACOMET'!$D$4,E13,"No existe el patrón"))))</f>
        <v/>
      </c>
      <c r="S13" s="124" t="str">
        <f aca="false">+IF($H13="","",((INCERTIDUMBRE!$M$8)/1000)/25.4)</f>
        <v/>
      </c>
      <c r="T13" s="124" t="str">
        <f aca="false">IF($H13="","",(+H13+Q13+S13))</f>
        <v/>
      </c>
      <c r="U13" s="125" t="str">
        <f aca="false">IF($H13="","",(T13/25.4))</f>
        <v/>
      </c>
      <c r="V13" s="97"/>
      <c r="W13" s="142" t="e">
        <f aca="false">IF('Datos de condiciones'!D5="","",'Datos de condiciones'!D5)</f>
        <v>#VALUE!</v>
      </c>
      <c r="X13" s="143" t="str">
        <f aca="false">+IF($H13="","",(W13-20))</f>
        <v/>
      </c>
      <c r="Y13" s="144" t="e">
        <f aca="false">IF('Datos de condiciones'!E5="","",'Datos de condiciones'!E5)</f>
        <v>#VALUE!</v>
      </c>
      <c r="Z13" s="145" t="str">
        <f aca="false">+IF($H13="","",Y13-20)</f>
        <v/>
      </c>
      <c r="AA13" s="146" t="str">
        <f aca="false">+IF($H13="","",ABS(X13-Z13))</f>
        <v/>
      </c>
      <c r="AB13" s="131"/>
      <c r="AC13" s="147" t="n">
        <f aca="false">+AC12+1</f>
        <v>2</v>
      </c>
      <c r="AD13" s="148" t="str">
        <f aca="false">+IF($H13="","",W13)</f>
        <v/>
      </c>
      <c r="AE13" s="145" t="str">
        <f aca="false">+IF($H13="","",Y13)</f>
        <v/>
      </c>
      <c r="AF13" s="146" t="str">
        <f aca="false">+IF($H13="","",+(ABS(AD13-AE13)))</f>
        <v/>
      </c>
      <c r="AG13" s="149" t="e">
        <f aca="false">IF('Datos de condiciones'!F5="","",'Datos de condiciones'!F5)</f>
        <v>#VALUE!</v>
      </c>
      <c r="AH13" s="135"/>
      <c r="AI13" s="147" t="n">
        <f aca="false">+AI12+1</f>
        <v>2</v>
      </c>
      <c r="AJ13" s="140"/>
      <c r="AK13" s="123" t="e">
        <f aca="false">IF('Datos de condiciones'!G5="","",'Datos de condiciones'!G5)</f>
        <v>#VALUE!</v>
      </c>
      <c r="AL13" s="150"/>
      <c r="AO13" s="113"/>
    </row>
    <row r="14" customFormat="false" ht="16.5" hidden="false" customHeight="false" outlineLevel="0" collapsed="false">
      <c r="A14" s="81" t="n">
        <f aca="false">+A13+1</f>
        <v>3</v>
      </c>
      <c r="B14" s="114" t="str">
        <f aca="false">J14</f>
        <v/>
      </c>
      <c r="C14" s="115" t="str">
        <f aca="false">IF(H14="","",H14)</f>
        <v/>
      </c>
      <c r="D14" s="116" t="str">
        <f aca="false">IF(B14="","",(IF('conversion datos'!$L$30='Patrones LACOMET'!$D$3,(VLOOKUP(B14,'BLOQUES PATRON (pulg) '!$D$5:$H$87,3,TRUE())),IF('conversion datos'!$L$30='Patrones LACOMET'!$D$4,((VLOOKUP(CALIBRACION!B14,'BLOQUES PATRON (mm)'!$D$5:$H$126,3,FALSE()))/1000),"No existe el patrón"))))</f>
        <v/>
      </c>
      <c r="E14" s="117" t="str">
        <f aca="false">IF(B14="","",(B14+D14))</f>
        <v/>
      </c>
      <c r="F14" s="118" t="str">
        <f aca="false">IF(B14="","",(IF('conversion datos'!$L$30='Patrones LACOMET'!$D$3,(VLOOKUP(B14,'BLOQUES PATRON (pulg) '!$D$5:$H$86,5,FALSE())),IF('conversion datos'!$L$30='Patrones LACOMET'!$D$4,((VLOOKUP(CALIBRACION!B14,'BLOQUES PATRON (mm)'!$D$5:$H$126,4,FALSE()))/1000000),"No existe el patrón"))))</f>
        <v/>
      </c>
      <c r="G14" s="118" t="str">
        <f aca="false">IF(D14="","",(IF('conversion datos'!$L$30='Patrones LACOMET'!$D$3,(D14*25.4),IF('conversion datos'!$L$30='Patrones LACOMET'!$D$4,D14,"No existe el patrón"))))</f>
        <v/>
      </c>
      <c r="H14" s="119" t="str">
        <f aca="false">IF(J14="","",(IF('conversion datos'!$L$30='Patrones LACOMET'!$D$3,(CALIBRACION!J14*25.4),IF('conversion datos'!$L$30='Patrones LACOMET'!$D$4,(CALIBRACION!J14),"No existe el patrón"))))</f>
        <v/>
      </c>
      <c r="I14" s="120" t="e">
        <f aca="false">IF('conversion datos'!B4="","",'conversion datos'!B4)</f>
        <v>#VALUE!</v>
      </c>
      <c r="J14" s="121" t="str">
        <f aca="false">IF('conversion datos'!C4="","",'conversion datos'!C4)</f>
        <v/>
      </c>
      <c r="K14" s="139"/>
      <c r="L14" s="140"/>
      <c r="M14" s="140"/>
      <c r="N14" s="141"/>
      <c r="O14" s="123" t="str">
        <f aca="false">IF('conversion datos'!F4="","",'conversion datos'!F4)</f>
        <v/>
      </c>
      <c r="P14" s="124" t="str">
        <f aca="false">IF($H14="","",+O14/1000)</f>
        <v/>
      </c>
      <c r="Q14" s="124" t="str">
        <f aca="false">IF($H14="","",(IF('conversion datos'!$L$30='Patrones LACOMET'!$D$3,P14*0.0254,IF('conversion datos'!$L$30='Patrones LACOMET'!$D$4,P14,"No existe el patrón"))))</f>
        <v/>
      </c>
      <c r="R14" s="124" t="str">
        <f aca="false">IF($H14="","",(IF('conversion datos'!$L$30='Patrones LACOMET'!$D$3,E14*25.4,IF('conversion datos'!$L$30='Patrones LACOMET'!$D$4,E14,"No existe el patrón"))))</f>
        <v/>
      </c>
      <c r="S14" s="124" t="str">
        <f aca="false">+IF($H14="","",((INCERTIDUMBRE!$M$8)/1000)/25.4)</f>
        <v/>
      </c>
      <c r="T14" s="124" t="str">
        <f aca="false">IF($H14="","",(+H14+Q14+S14))</f>
        <v/>
      </c>
      <c r="U14" s="125" t="str">
        <f aca="false">IF($H14="","",(T14/25.4))</f>
        <v/>
      </c>
      <c r="V14" s="97"/>
      <c r="W14" s="142" t="e">
        <f aca="false">IF('Datos de condiciones'!D6="","",'Datos de condiciones'!D6)</f>
        <v>#VALUE!</v>
      </c>
      <c r="X14" s="143" t="str">
        <f aca="false">+IF($H14="","",(W14-20))</f>
        <v/>
      </c>
      <c r="Y14" s="144" t="e">
        <f aca="false">IF('Datos de condiciones'!E6="","",'Datos de condiciones'!E6)</f>
        <v>#VALUE!</v>
      </c>
      <c r="Z14" s="145" t="str">
        <f aca="false">+IF($H14="","",Y14-20)</f>
        <v/>
      </c>
      <c r="AA14" s="146" t="str">
        <f aca="false">+IF($H14="","",ABS(X14-Z14))</f>
        <v/>
      </c>
      <c r="AB14" s="131"/>
      <c r="AC14" s="147" t="n">
        <f aca="false">+AC13+1</f>
        <v>3</v>
      </c>
      <c r="AD14" s="148" t="str">
        <f aca="false">+IF($H14="","",W14)</f>
        <v/>
      </c>
      <c r="AE14" s="145" t="str">
        <f aca="false">+IF($H14="","",Y14)</f>
        <v/>
      </c>
      <c r="AF14" s="146" t="str">
        <f aca="false">+IF($H14="","",+(ABS(AD14-AE14)))</f>
        <v/>
      </c>
      <c r="AG14" s="149" t="e">
        <f aca="false">IF('Datos de condiciones'!F6="","",'Datos de condiciones'!F6)</f>
        <v>#VALUE!</v>
      </c>
      <c r="AH14" s="135"/>
      <c r="AI14" s="147" t="n">
        <f aca="false">+AI13+1</f>
        <v>3</v>
      </c>
      <c r="AJ14" s="140"/>
      <c r="AK14" s="123" t="e">
        <f aca="false">IF('Datos de condiciones'!G6="","",'Datos de condiciones'!G6)</f>
        <v>#VALUE!</v>
      </c>
      <c r="AL14" s="150"/>
      <c r="AO14" s="113"/>
    </row>
    <row r="15" customFormat="false" ht="16.5" hidden="false" customHeight="false" outlineLevel="0" collapsed="false">
      <c r="A15" s="81" t="n">
        <f aca="false">+A14+1</f>
        <v>4</v>
      </c>
      <c r="B15" s="114" t="str">
        <f aca="false">J15</f>
        <v/>
      </c>
      <c r="C15" s="115" t="str">
        <f aca="false">IF(H15="","",H15)</f>
        <v/>
      </c>
      <c r="D15" s="116" t="str">
        <f aca="false">IF(B15="","",(IF('conversion datos'!$L$30='Patrones LACOMET'!$D$3,(VLOOKUP(B15,'BLOQUES PATRON (pulg) '!$D$5:$H$87,3,TRUE())),IF('conversion datos'!$L$30='Patrones LACOMET'!$D$4,((VLOOKUP(CALIBRACION!B15,'BLOQUES PATRON (mm)'!$D$5:$H$126,3,FALSE()))/1000),"No existe el patrón"))))</f>
        <v/>
      </c>
      <c r="E15" s="117" t="str">
        <f aca="false">IF(B15="","",(B15+D15))</f>
        <v/>
      </c>
      <c r="F15" s="118" t="str">
        <f aca="false">IF(B15="","",(IF('conversion datos'!$L$30='Patrones LACOMET'!$D$3,(VLOOKUP(B15,'BLOQUES PATRON (pulg) '!$D$5:$H$86,5,FALSE())),IF('conversion datos'!$L$30='Patrones LACOMET'!$D$4,((VLOOKUP(CALIBRACION!B15,'BLOQUES PATRON (mm)'!$D$5:$H$126,4,FALSE()))/1000000),"No existe el patrón"))))</f>
        <v/>
      </c>
      <c r="G15" s="118" t="str">
        <f aca="false">IF(D15="","",(IF('conversion datos'!$L$30='Patrones LACOMET'!$D$3,(D15*25.4),IF('conversion datos'!$L$30='Patrones LACOMET'!$D$4,D15,"No existe el patrón"))))</f>
        <v/>
      </c>
      <c r="H15" s="119" t="str">
        <f aca="false">IF(J15="","",(IF('conversion datos'!$L$30='Patrones LACOMET'!$D$3,(CALIBRACION!J15*25.4),IF('conversion datos'!$L$30='Patrones LACOMET'!$D$4,(CALIBRACION!J15),"No existe el patrón"))))</f>
        <v/>
      </c>
      <c r="I15" s="120" t="e">
        <f aca="false">IF('conversion datos'!B5="","",'conversion datos'!B5)</f>
        <v>#VALUE!</v>
      </c>
      <c r="J15" s="121" t="str">
        <f aca="false">IF('conversion datos'!C5="","",'conversion datos'!C5)</f>
        <v/>
      </c>
      <c r="K15" s="122"/>
      <c r="L15" s="140"/>
      <c r="M15" s="140"/>
      <c r="N15" s="141"/>
      <c r="O15" s="123" t="str">
        <f aca="false">IF('conversion datos'!F5="","",'conversion datos'!F5)</f>
        <v/>
      </c>
      <c r="P15" s="124" t="str">
        <f aca="false">IF($H15="","",+O15/1000)</f>
        <v/>
      </c>
      <c r="Q15" s="124" t="str">
        <f aca="false">IF($H15="","",(IF('conversion datos'!$L$30='Patrones LACOMET'!$D$3,P15*0.0254,IF('conversion datos'!$L$30='Patrones LACOMET'!$D$4,P15,"No existe el patrón"))))</f>
        <v/>
      </c>
      <c r="R15" s="124" t="str">
        <f aca="false">IF($H15="","",(IF('conversion datos'!$L$30='Patrones LACOMET'!$D$3,E15*25.4,IF('conversion datos'!$L$30='Patrones LACOMET'!$D$4,E15,"No existe el patrón"))))</f>
        <v/>
      </c>
      <c r="S15" s="124" t="str">
        <f aca="false">+IF($H15="","",((INCERTIDUMBRE!$M$8)/1000)/25.4)</f>
        <v/>
      </c>
      <c r="T15" s="124" t="str">
        <f aca="false">IF($H15="","",(+H15+Q15+S15))</f>
        <v/>
      </c>
      <c r="U15" s="125" t="str">
        <f aca="false">IF($H15="","",(T15/25.4))</f>
        <v/>
      </c>
      <c r="V15" s="97"/>
      <c r="W15" s="142" t="e">
        <f aca="false">IF('Datos de condiciones'!D7="","",'Datos de condiciones'!D7)</f>
        <v>#VALUE!</v>
      </c>
      <c r="X15" s="143" t="str">
        <f aca="false">+IF($H15="","",(W15-20))</f>
        <v/>
      </c>
      <c r="Y15" s="144" t="e">
        <f aca="false">IF('Datos de condiciones'!E7="","",'Datos de condiciones'!E7)</f>
        <v>#VALUE!</v>
      </c>
      <c r="Z15" s="145" t="str">
        <f aca="false">+IF($H15="","",Y15-20)</f>
        <v/>
      </c>
      <c r="AA15" s="146" t="str">
        <f aca="false">+IF($H15="","",ABS(X15-Z15))</f>
        <v/>
      </c>
      <c r="AB15" s="131"/>
      <c r="AC15" s="147" t="n">
        <f aca="false">+AC14+1</f>
        <v>4</v>
      </c>
      <c r="AD15" s="148" t="str">
        <f aca="false">+IF($H15="","",W15)</f>
        <v/>
      </c>
      <c r="AE15" s="145" t="str">
        <f aca="false">+IF($H15="","",Y15)</f>
        <v/>
      </c>
      <c r="AF15" s="146" t="str">
        <f aca="false">+IF($H15="","",+(ABS(AD15-AE15)))</f>
        <v/>
      </c>
      <c r="AG15" s="149" t="e">
        <f aca="false">IF('Datos de condiciones'!F7="","",'Datos de condiciones'!F7)</f>
        <v>#VALUE!</v>
      </c>
      <c r="AH15" s="135"/>
      <c r="AI15" s="147" t="n">
        <f aca="false">+AI14+1</f>
        <v>4</v>
      </c>
      <c r="AJ15" s="140"/>
      <c r="AK15" s="123" t="e">
        <f aca="false">IF('Datos de condiciones'!G7="","",'Datos de condiciones'!G7)</f>
        <v>#VALUE!</v>
      </c>
      <c r="AL15" s="150"/>
      <c r="AO15" s="113"/>
    </row>
    <row r="16" customFormat="false" ht="16.5" hidden="false" customHeight="false" outlineLevel="0" collapsed="false">
      <c r="A16" s="81" t="n">
        <f aca="false">+A15+1</f>
        <v>5</v>
      </c>
      <c r="B16" s="114" t="str">
        <f aca="false">J16</f>
        <v/>
      </c>
      <c r="C16" s="115" t="str">
        <f aca="false">IF(H16="","",H16)</f>
        <v/>
      </c>
      <c r="D16" s="116" t="str">
        <f aca="false">IF(B16="","",(IF('conversion datos'!$L$30='Patrones LACOMET'!$D$3,(VLOOKUP(B16,'BLOQUES PATRON (pulg) '!$D$5:$H$87,3,TRUE())),IF('conversion datos'!$L$30='Patrones LACOMET'!$D$4,((VLOOKUP(CALIBRACION!B16,'BLOQUES PATRON (mm)'!$D$5:$H$126,3,FALSE()))/1000),"No existe el patrón"))))</f>
        <v/>
      </c>
      <c r="E16" s="117" t="str">
        <f aca="false">IF(B16="","",(B16+D16))</f>
        <v/>
      </c>
      <c r="F16" s="118" t="str">
        <f aca="false">IF(B16="","",(IF('conversion datos'!$L$30='Patrones LACOMET'!$D$3,(VLOOKUP(B16,'BLOQUES PATRON (pulg) '!$D$5:$H$86,5,FALSE())),IF('conversion datos'!$L$30='Patrones LACOMET'!$D$4,((VLOOKUP(CALIBRACION!B16,'BLOQUES PATRON (mm)'!$D$5:$H$126,4,FALSE()))/1000000),"No existe el patrón"))))</f>
        <v/>
      </c>
      <c r="G16" s="118" t="str">
        <f aca="false">IF(D16="","",(IF('conversion datos'!$L$30='Patrones LACOMET'!$D$3,(D16*25.4),IF('conversion datos'!$L$30='Patrones LACOMET'!$D$4,D16,"No existe el patrón"))))</f>
        <v/>
      </c>
      <c r="H16" s="119" t="str">
        <f aca="false">IF(J16="","",(IF('conversion datos'!$L$30='Patrones LACOMET'!$D$3,(CALIBRACION!J16*25.4),IF('conversion datos'!$L$30='Patrones LACOMET'!$D$4,(CALIBRACION!J16),"No existe el patrón"))))</f>
        <v/>
      </c>
      <c r="I16" s="120" t="e">
        <f aca="false">IF('conversion datos'!B6="","",'conversion datos'!B6)</f>
        <v>#VALUE!</v>
      </c>
      <c r="J16" s="121" t="str">
        <f aca="false">IF('conversion datos'!C6="","",'conversion datos'!C6)</f>
        <v/>
      </c>
      <c r="K16" s="122"/>
      <c r="L16" s="140"/>
      <c r="M16" s="140"/>
      <c r="N16" s="141"/>
      <c r="O16" s="123" t="str">
        <f aca="false">IF('conversion datos'!F6="","",'conversion datos'!F6)</f>
        <v/>
      </c>
      <c r="P16" s="124" t="str">
        <f aca="false">IF($H16="","",+O16/1000)</f>
        <v/>
      </c>
      <c r="Q16" s="124" t="str">
        <f aca="false">IF($H16="","",(IF('conversion datos'!$L$30='Patrones LACOMET'!$D$3,P16*0.0254,IF('conversion datos'!$L$30='Patrones LACOMET'!$D$4,P16,"No existe el patrón"))))</f>
        <v/>
      </c>
      <c r="R16" s="124" t="str">
        <f aca="false">IF($H16="","",(IF('conversion datos'!$L$30='Patrones LACOMET'!$D$3,E16*25.4,IF('conversion datos'!$L$30='Patrones LACOMET'!$D$4,E16,"No existe el patrón"))))</f>
        <v/>
      </c>
      <c r="S16" s="124" t="str">
        <f aca="false">+IF($H16="","",((INCERTIDUMBRE!$M$8)/1000)/25.4)</f>
        <v/>
      </c>
      <c r="T16" s="124" t="str">
        <f aca="false">IF($H16="","",(+H16+Q16+S16))</f>
        <v/>
      </c>
      <c r="U16" s="125" t="str">
        <f aca="false">IF($H16="","",(T16/25.4))</f>
        <v/>
      </c>
      <c r="V16" s="97"/>
      <c r="W16" s="142" t="e">
        <f aca="false">IF('Datos de condiciones'!D8="","",'Datos de condiciones'!D8)</f>
        <v>#VALUE!</v>
      </c>
      <c r="X16" s="143" t="str">
        <f aca="false">+IF($H16="","",(W16-20))</f>
        <v/>
      </c>
      <c r="Y16" s="144" t="e">
        <f aca="false">IF('Datos de condiciones'!E8="","",'Datos de condiciones'!E8)</f>
        <v>#VALUE!</v>
      </c>
      <c r="Z16" s="145" t="str">
        <f aca="false">+IF($H16="","",Y16-20)</f>
        <v/>
      </c>
      <c r="AA16" s="146" t="str">
        <f aca="false">+IF($H16="","",ABS(X16-Z16))</f>
        <v/>
      </c>
      <c r="AB16" s="131"/>
      <c r="AC16" s="147" t="n">
        <f aca="false">+AC15+1</f>
        <v>5</v>
      </c>
      <c r="AD16" s="148" t="str">
        <f aca="false">+IF($H16="","",W16)</f>
        <v/>
      </c>
      <c r="AE16" s="145" t="str">
        <f aca="false">+IF($H16="","",Y16)</f>
        <v/>
      </c>
      <c r="AF16" s="146" t="str">
        <f aca="false">+IF($H16="","",+(ABS(AD16-AE16)))</f>
        <v/>
      </c>
      <c r="AG16" s="149" t="e">
        <f aca="false">IF('Datos de condiciones'!F8="","",'Datos de condiciones'!F8)</f>
        <v>#VALUE!</v>
      </c>
      <c r="AH16" s="135"/>
      <c r="AI16" s="147" t="n">
        <f aca="false">+AI15+1</f>
        <v>5</v>
      </c>
      <c r="AJ16" s="140"/>
      <c r="AK16" s="123" t="e">
        <f aca="false">IF('Datos de condiciones'!G8="","",'Datos de condiciones'!G8)</f>
        <v>#VALUE!</v>
      </c>
      <c r="AL16" s="150"/>
      <c r="AO16" s="113"/>
    </row>
    <row r="17" customFormat="false" ht="16.5" hidden="false" customHeight="false" outlineLevel="0" collapsed="false">
      <c r="A17" s="81" t="n">
        <f aca="false">+A16+1</f>
        <v>6</v>
      </c>
      <c r="B17" s="114" t="str">
        <f aca="false">J17</f>
        <v/>
      </c>
      <c r="C17" s="115" t="str">
        <f aca="false">IF(H17="","",H17)</f>
        <v/>
      </c>
      <c r="D17" s="116" t="str">
        <f aca="false">IF(B17="","",(IF('conversion datos'!$L$30='Patrones LACOMET'!$D$3,(VLOOKUP(B17,'BLOQUES PATRON (pulg) '!$D$5:$H$87,3,TRUE())),IF('conversion datos'!$L$30='Patrones LACOMET'!$D$4,((VLOOKUP(CALIBRACION!B17,'BLOQUES PATRON (mm)'!$D$5:$H$126,3,FALSE()))/1000),"No existe el patrón"))))</f>
        <v/>
      </c>
      <c r="E17" s="117" t="str">
        <f aca="false">IF(B17="","",(B17+D17))</f>
        <v/>
      </c>
      <c r="F17" s="118" t="str">
        <f aca="false">IF(B17="","",(IF('conversion datos'!$L$30='Patrones LACOMET'!$D$3,(VLOOKUP(B17,'BLOQUES PATRON (pulg) '!$D$5:$H$86,5,FALSE())),IF('conversion datos'!$L$30='Patrones LACOMET'!$D$4,((VLOOKUP(CALIBRACION!B17,'BLOQUES PATRON (mm)'!$D$5:$H$126,4,FALSE()))/1000000),"No existe el patrón"))))</f>
        <v/>
      </c>
      <c r="G17" s="118" t="str">
        <f aca="false">IF(D17="","",(IF('conversion datos'!$L$30='Patrones LACOMET'!$D$3,(D17*25.4),IF('conversion datos'!$L$30='Patrones LACOMET'!$D$4,D17,"No existe el patrón"))))</f>
        <v/>
      </c>
      <c r="H17" s="119" t="str">
        <f aca="false">IF(J17="","",(IF('conversion datos'!$L$30='Patrones LACOMET'!$D$3,(CALIBRACION!J17*25.4),IF('conversion datos'!$L$30='Patrones LACOMET'!$D$4,(CALIBRACION!J17),"No existe el patrón"))))</f>
        <v/>
      </c>
      <c r="I17" s="120" t="e">
        <f aca="false">IF('conversion datos'!B7="","",'conversion datos'!B7)</f>
        <v>#VALUE!</v>
      </c>
      <c r="J17" s="121" t="str">
        <f aca="false">IF('conversion datos'!C7="","",'conversion datos'!C7)</f>
        <v/>
      </c>
      <c r="K17" s="139"/>
      <c r="L17" s="140"/>
      <c r="M17" s="140"/>
      <c r="N17" s="141"/>
      <c r="O17" s="123" t="str">
        <f aca="false">IF('conversion datos'!F7="","",'conversion datos'!F7)</f>
        <v/>
      </c>
      <c r="P17" s="124" t="str">
        <f aca="false">IF($H17="","",+O17/1000)</f>
        <v/>
      </c>
      <c r="Q17" s="124" t="str">
        <f aca="false">IF($H17="","",(IF('conversion datos'!$L$30='Patrones LACOMET'!$D$3,P17*0.0254,IF('conversion datos'!$L$30='Patrones LACOMET'!$D$4,P17,"No existe el patrón"))))</f>
        <v/>
      </c>
      <c r="R17" s="124" t="str">
        <f aca="false">IF($H17="","",(IF('conversion datos'!$L$30='Patrones LACOMET'!$D$3,E17*25.4,IF('conversion datos'!$L$30='Patrones LACOMET'!$D$4,E17,"No existe el patrón"))))</f>
        <v/>
      </c>
      <c r="S17" s="124" t="str">
        <f aca="false">+IF($H17="","",((INCERTIDUMBRE!$M$8)/1000)/25.4)</f>
        <v/>
      </c>
      <c r="T17" s="124" t="str">
        <f aca="false">IF($H17="","",(+H17+Q17+S17))</f>
        <v/>
      </c>
      <c r="U17" s="125" t="str">
        <f aca="false">IF($H17="","",(T17/25.4))</f>
        <v/>
      </c>
      <c r="V17" s="97"/>
      <c r="W17" s="142" t="e">
        <f aca="false">IF('Datos de condiciones'!D9="","",'Datos de condiciones'!D9)</f>
        <v>#VALUE!</v>
      </c>
      <c r="X17" s="143" t="str">
        <f aca="false">+IF($H17="","",(W17-20))</f>
        <v/>
      </c>
      <c r="Y17" s="144" t="e">
        <f aca="false">IF('Datos de condiciones'!E9="","",'Datos de condiciones'!E9)</f>
        <v>#VALUE!</v>
      </c>
      <c r="Z17" s="145" t="str">
        <f aca="false">+IF($H17="","",Y17-20)</f>
        <v/>
      </c>
      <c r="AA17" s="146" t="str">
        <f aca="false">+IF($H17="","",ABS(X17-Z17))</f>
        <v/>
      </c>
      <c r="AB17" s="131"/>
      <c r="AC17" s="147" t="n">
        <f aca="false">+AC16+1</f>
        <v>6</v>
      </c>
      <c r="AD17" s="148" t="str">
        <f aca="false">+IF($H17="","",W17)</f>
        <v/>
      </c>
      <c r="AE17" s="145" t="str">
        <f aca="false">+IF($H17="","",Y17)</f>
        <v/>
      </c>
      <c r="AF17" s="146" t="str">
        <f aca="false">+IF($H17="","",+(ABS(AD17-AE17)))</f>
        <v/>
      </c>
      <c r="AG17" s="149" t="e">
        <f aca="false">IF('Datos de condiciones'!F9="","",'Datos de condiciones'!F9)</f>
        <v>#VALUE!</v>
      </c>
      <c r="AH17" s="135"/>
      <c r="AI17" s="147" t="n">
        <f aca="false">+AI16+1</f>
        <v>6</v>
      </c>
      <c r="AJ17" s="140"/>
      <c r="AK17" s="123" t="e">
        <f aca="false">IF('Datos de condiciones'!G9="","",'Datos de condiciones'!G9)</f>
        <v>#VALUE!</v>
      </c>
      <c r="AL17" s="150"/>
      <c r="AO17" s="113"/>
    </row>
    <row r="18" customFormat="false" ht="16.5" hidden="false" customHeight="false" outlineLevel="0" collapsed="false">
      <c r="A18" s="81" t="n">
        <f aca="false">+A17+1</f>
        <v>7</v>
      </c>
      <c r="B18" s="114" t="str">
        <f aca="false">J18</f>
        <v/>
      </c>
      <c r="C18" s="115" t="str">
        <f aca="false">IF(H18="","",H18)</f>
        <v/>
      </c>
      <c r="D18" s="116" t="str">
        <f aca="false">IF(B18="","",(IF('conversion datos'!$L$30='Patrones LACOMET'!$D$3,(VLOOKUP(B18,'BLOQUES PATRON (pulg) '!$D$5:$H$87,3,TRUE())),IF('conversion datos'!$L$30='Patrones LACOMET'!$D$4,((VLOOKUP(CALIBRACION!B18,'BLOQUES PATRON (mm)'!$D$5:$H$126,3,FALSE()))/1000),"No existe el patrón"))))</f>
        <v/>
      </c>
      <c r="E18" s="117" t="str">
        <f aca="false">IF(B18="","",(B18+D18))</f>
        <v/>
      </c>
      <c r="F18" s="118" t="str">
        <f aca="false">IF(B18="","",(IF('conversion datos'!$L$30='Patrones LACOMET'!$D$3,(VLOOKUP(B18,'BLOQUES PATRON (pulg) '!$D$5:$H$86,5,FALSE())),IF('conversion datos'!$L$30='Patrones LACOMET'!$D$4,((VLOOKUP(CALIBRACION!B18,'BLOQUES PATRON (mm)'!$D$5:$H$126,4,FALSE()))/1000000),"No existe el patrón"))))</f>
        <v/>
      </c>
      <c r="G18" s="118" t="str">
        <f aca="false">IF(D18="","",(IF('conversion datos'!$L$30='Patrones LACOMET'!$D$3,(D18*25.4),IF('conversion datos'!$L$30='Patrones LACOMET'!$D$4,D18,"No existe el patrón"))))</f>
        <v/>
      </c>
      <c r="H18" s="119" t="str">
        <f aca="false">IF(J18="","",(IF('conversion datos'!$L$30='Patrones LACOMET'!$D$3,(CALIBRACION!J18*25.4),IF('conversion datos'!$L$30='Patrones LACOMET'!$D$4,(CALIBRACION!J18),"No existe el patrón"))))</f>
        <v/>
      </c>
      <c r="I18" s="120" t="e">
        <f aca="false">IF('conversion datos'!B8="","",'conversion datos'!B8)</f>
        <v>#VALUE!</v>
      </c>
      <c r="J18" s="121" t="str">
        <f aca="false">IF('conversion datos'!C8="","",'conversion datos'!C8)</f>
        <v/>
      </c>
      <c r="K18" s="139"/>
      <c r="L18" s="140"/>
      <c r="M18" s="140"/>
      <c r="N18" s="141"/>
      <c r="O18" s="123" t="str">
        <f aca="false">IF('conversion datos'!F8="","",'conversion datos'!F8)</f>
        <v/>
      </c>
      <c r="P18" s="124" t="str">
        <f aca="false">IF($H18="","",+O18/1000)</f>
        <v/>
      </c>
      <c r="Q18" s="124" t="str">
        <f aca="false">IF($H18="","",(IF('conversion datos'!$L$30='Patrones LACOMET'!$D$3,P18*0.0254,IF('conversion datos'!$L$30='Patrones LACOMET'!$D$4,P18,"No existe el patrón"))))</f>
        <v/>
      </c>
      <c r="R18" s="124" t="str">
        <f aca="false">IF($H18="","",(IF('conversion datos'!$L$30='Patrones LACOMET'!$D$3,E18*25.4,IF('conversion datos'!$L$30='Patrones LACOMET'!$D$4,E18,"No existe el patrón"))))</f>
        <v/>
      </c>
      <c r="S18" s="124" t="str">
        <f aca="false">+IF($H18="","",((INCERTIDUMBRE!$M$8)/1000)/25.4)</f>
        <v/>
      </c>
      <c r="T18" s="124" t="str">
        <f aca="false">IF($H18="","",(+H18+Q18+S18))</f>
        <v/>
      </c>
      <c r="U18" s="125" t="str">
        <f aca="false">IF($H18="","",(T18/25.4))</f>
        <v/>
      </c>
      <c r="W18" s="142" t="e">
        <f aca="false">IF('Datos de condiciones'!D10="","",'Datos de condiciones'!D10)</f>
        <v>#VALUE!</v>
      </c>
      <c r="X18" s="143" t="str">
        <f aca="false">+IF($H18="","",(W18-20))</f>
        <v/>
      </c>
      <c r="Y18" s="144" t="e">
        <f aca="false">IF('Datos de condiciones'!E10="","",'Datos de condiciones'!E10)</f>
        <v>#VALUE!</v>
      </c>
      <c r="Z18" s="145" t="str">
        <f aca="false">+IF($H18="","",Y18-20)</f>
        <v/>
      </c>
      <c r="AA18" s="146" t="str">
        <f aca="false">+IF($H18="","",ABS(X18-Z18))</f>
        <v/>
      </c>
      <c r="AB18" s="131"/>
      <c r="AC18" s="147" t="n">
        <f aca="false">+AC17+1</f>
        <v>7</v>
      </c>
      <c r="AD18" s="148" t="str">
        <f aca="false">+IF($H18="","",W18)</f>
        <v/>
      </c>
      <c r="AE18" s="145" t="str">
        <f aca="false">+IF($H18="","",Y18)</f>
        <v/>
      </c>
      <c r="AF18" s="146" t="str">
        <f aca="false">+IF($H18="","",+(ABS(AD18-AE18)))</f>
        <v/>
      </c>
      <c r="AG18" s="149" t="e">
        <f aca="false">IF('Datos de condiciones'!F10="","",'Datos de condiciones'!F10)</f>
        <v>#VALUE!</v>
      </c>
      <c r="AH18" s="135"/>
      <c r="AI18" s="147" t="n">
        <f aca="false">+AI17+1</f>
        <v>7</v>
      </c>
      <c r="AJ18" s="140"/>
      <c r="AK18" s="123" t="e">
        <f aca="false">IF('Datos de condiciones'!G10="","",'Datos de condiciones'!G10)</f>
        <v>#VALUE!</v>
      </c>
      <c r="AL18" s="150"/>
      <c r="AO18" s="113"/>
    </row>
    <row r="19" customFormat="false" ht="16.5" hidden="false" customHeight="false" outlineLevel="0" collapsed="false">
      <c r="A19" s="81" t="n">
        <f aca="false">+A18+1</f>
        <v>8</v>
      </c>
      <c r="B19" s="114" t="str">
        <f aca="false">J19</f>
        <v/>
      </c>
      <c r="C19" s="115" t="str">
        <f aca="false">IF(H19="","",H19)</f>
        <v/>
      </c>
      <c r="D19" s="116" t="str">
        <f aca="false">IF(B19="","",(IF('conversion datos'!$L$30='Patrones LACOMET'!$D$3,(VLOOKUP(B19,'BLOQUES PATRON (pulg) '!$D$5:$H$87,3,TRUE())),IF('conversion datos'!$L$30='Patrones LACOMET'!$D$4,((VLOOKUP(CALIBRACION!B19,'BLOQUES PATRON (mm)'!$D$5:$H$126,3,FALSE()))/1000),"No existe el patrón"))))</f>
        <v/>
      </c>
      <c r="E19" s="117" t="str">
        <f aca="false">IF(B19="","",(B19+D19))</f>
        <v/>
      </c>
      <c r="F19" s="118" t="str">
        <f aca="false">IF(B19="","",(IF('conversion datos'!$L$30='Patrones LACOMET'!$D$3,(VLOOKUP(B19,'BLOQUES PATRON (pulg) '!$D$5:$H$86,5,FALSE())),IF('conversion datos'!$L$30='Patrones LACOMET'!$D$4,((VLOOKUP(CALIBRACION!B19,'BLOQUES PATRON (mm)'!$D$5:$H$126,4,FALSE()))/1000000),"No existe el patrón"))))</f>
        <v/>
      </c>
      <c r="G19" s="118" t="str">
        <f aca="false">IF(D19="","",(IF('conversion datos'!$L$30='Patrones LACOMET'!$D$3,(D19*25.4),IF('conversion datos'!$L$30='Patrones LACOMET'!$D$4,D19,"No existe el patrón"))))</f>
        <v/>
      </c>
      <c r="H19" s="119" t="str">
        <f aca="false">IF(J19="","",(IF('conversion datos'!$L$30='Patrones LACOMET'!$D$3,(CALIBRACION!J19*25.4),IF('conversion datos'!$L$30='Patrones LACOMET'!$D$4,(CALIBRACION!J19),"No existe el patrón"))))</f>
        <v/>
      </c>
      <c r="I19" s="120" t="e">
        <f aca="false">IF('conversion datos'!B9="","",'conversion datos'!B9)</f>
        <v>#VALUE!</v>
      </c>
      <c r="J19" s="121" t="str">
        <f aca="false">IF('conversion datos'!C9="","",'conversion datos'!C9)</f>
        <v/>
      </c>
      <c r="K19" s="122"/>
      <c r="L19" s="151"/>
      <c r="M19" s="151"/>
      <c r="N19" s="141"/>
      <c r="O19" s="123" t="str">
        <f aca="false">IF('conversion datos'!F9="","",'conversion datos'!F9)</f>
        <v/>
      </c>
      <c r="P19" s="124" t="str">
        <f aca="false">IF($H19="","",+O19/1000)</f>
        <v/>
      </c>
      <c r="Q19" s="124" t="str">
        <f aca="false">IF($H19="","",(IF('conversion datos'!$L$30='Patrones LACOMET'!$D$3,P19*0.0254,IF('conversion datos'!$L$30='Patrones LACOMET'!$D$4,P19,"No existe el patrón"))))</f>
        <v/>
      </c>
      <c r="R19" s="124" t="str">
        <f aca="false">IF($H19="","",(IF('conversion datos'!$L$30='Patrones LACOMET'!$D$3,E19*25.4,IF('conversion datos'!$L$30='Patrones LACOMET'!$D$4,E19,"No existe el patrón"))))</f>
        <v/>
      </c>
      <c r="S19" s="124" t="str">
        <f aca="false">+IF($H19="","",((INCERTIDUMBRE!$M$8)/1000)/25.4)</f>
        <v/>
      </c>
      <c r="T19" s="124" t="str">
        <f aca="false">IF($H19="","",(+H19+Q19+S19))</f>
        <v/>
      </c>
      <c r="U19" s="125" t="str">
        <f aca="false">IF($H19="","",(T19/25.4))</f>
        <v/>
      </c>
      <c r="V19" s="97"/>
      <c r="W19" s="142" t="e">
        <f aca="false">IF('Datos de condiciones'!D11="","",'Datos de condiciones'!D11)</f>
        <v>#VALUE!</v>
      </c>
      <c r="X19" s="143" t="str">
        <f aca="false">+IF($H19="","",(W19-20))</f>
        <v/>
      </c>
      <c r="Y19" s="144" t="e">
        <f aca="false">IF('Datos de condiciones'!E11="","",'Datos de condiciones'!E11)</f>
        <v>#VALUE!</v>
      </c>
      <c r="Z19" s="145" t="str">
        <f aca="false">+IF($H19="","",Y19-20)</f>
        <v/>
      </c>
      <c r="AA19" s="146" t="str">
        <f aca="false">+IF($H19="","",ABS(X19-Z19))</f>
        <v/>
      </c>
      <c r="AB19" s="131"/>
      <c r="AC19" s="147" t="n">
        <f aca="false">+AC18+1</f>
        <v>8</v>
      </c>
      <c r="AD19" s="148" t="str">
        <f aca="false">+IF($H19="","",W19)</f>
        <v/>
      </c>
      <c r="AE19" s="145" t="str">
        <f aca="false">+IF($H19="","",Y19)</f>
        <v/>
      </c>
      <c r="AF19" s="146" t="str">
        <f aca="false">+IF($H19="","",+(ABS(AD19-AE19)))</f>
        <v/>
      </c>
      <c r="AG19" s="149" t="e">
        <f aca="false">IF('Datos de condiciones'!F11="","",'Datos de condiciones'!F11)</f>
        <v>#VALUE!</v>
      </c>
      <c r="AH19" s="135"/>
      <c r="AI19" s="147" t="n">
        <f aca="false">+AI18+1</f>
        <v>8</v>
      </c>
      <c r="AJ19" s="140"/>
      <c r="AK19" s="123" t="e">
        <f aca="false">IF('Datos de condiciones'!G11="","",'Datos de condiciones'!G11)</f>
        <v>#VALUE!</v>
      </c>
      <c r="AL19" s="150"/>
      <c r="AO19" s="113"/>
    </row>
    <row r="20" customFormat="false" ht="16.5" hidden="false" customHeight="false" outlineLevel="0" collapsed="false">
      <c r="A20" s="81" t="n">
        <f aca="false">+A19+1</f>
        <v>9</v>
      </c>
      <c r="B20" s="114" t="str">
        <f aca="false">J20</f>
        <v/>
      </c>
      <c r="C20" s="115" t="str">
        <f aca="false">IF(H20="","",H20)</f>
        <v/>
      </c>
      <c r="D20" s="116" t="str">
        <f aca="false">IF(B20="","",(IF('conversion datos'!$L$30='Patrones LACOMET'!$D$3,(VLOOKUP(B20,'BLOQUES PATRON (pulg) '!$D$5:$H$87,3,TRUE())),IF('conversion datos'!$L$30='Patrones LACOMET'!$D$4,((VLOOKUP(CALIBRACION!B20,'BLOQUES PATRON (mm)'!$D$5:$H$126,3,FALSE()))/1000),"No existe el patrón"))))</f>
        <v/>
      </c>
      <c r="E20" s="117" t="str">
        <f aca="false">IF(B20="","",(B20+D20))</f>
        <v/>
      </c>
      <c r="F20" s="118" t="str">
        <f aca="false">IF(B20="","",(IF('conversion datos'!$L$30='Patrones LACOMET'!$D$3,(VLOOKUP(B20,'BLOQUES PATRON (pulg) '!$D$5:$H$86,5,FALSE())),IF('conversion datos'!$L$30='Patrones LACOMET'!$D$4,((VLOOKUP(CALIBRACION!B20,'BLOQUES PATRON (mm)'!$D$5:$H$126,4,FALSE()))/1000000),"No existe el patrón"))))</f>
        <v/>
      </c>
      <c r="G20" s="118" t="str">
        <f aca="false">IF(D20="","",(IF('conversion datos'!$L$30='Patrones LACOMET'!$D$3,(D20*25.4),IF('conversion datos'!$L$30='Patrones LACOMET'!$D$4,D20,"No existe el patrón"))))</f>
        <v/>
      </c>
      <c r="H20" s="119" t="str">
        <f aca="false">IF(J20="","",(IF('conversion datos'!$L$30='Patrones LACOMET'!$D$3,(CALIBRACION!J20*25.4),IF('conversion datos'!$L$30='Patrones LACOMET'!$D$4,(CALIBRACION!J20),"No existe el patrón"))))</f>
        <v/>
      </c>
      <c r="I20" s="120" t="e">
        <f aca="false">IF('conversion datos'!B10="","",'conversion datos'!B10)</f>
        <v>#VALUE!</v>
      </c>
      <c r="J20" s="121" t="str">
        <f aca="false">IF('conversion datos'!C10="","",'conversion datos'!C10)</f>
        <v/>
      </c>
      <c r="K20" s="122"/>
      <c r="L20" s="151"/>
      <c r="M20" s="151"/>
      <c r="N20" s="141"/>
      <c r="O20" s="123" t="str">
        <f aca="false">IF('conversion datos'!F10="","",'conversion datos'!F10)</f>
        <v/>
      </c>
      <c r="P20" s="124" t="str">
        <f aca="false">IF($H20="","",+O20/1000)</f>
        <v/>
      </c>
      <c r="Q20" s="124" t="str">
        <f aca="false">IF($H20="","",(IF('conversion datos'!$L$30='Patrones LACOMET'!$D$3,P20*0.0254,IF('conversion datos'!$L$30='Patrones LACOMET'!$D$4,P20,"No existe el patrón"))))</f>
        <v/>
      </c>
      <c r="R20" s="124" t="str">
        <f aca="false">IF($H20="","",(IF('conversion datos'!$L$30='Patrones LACOMET'!$D$3,E20*25.4,IF('conversion datos'!$L$30='Patrones LACOMET'!$D$4,E20,"No existe el patrón"))))</f>
        <v/>
      </c>
      <c r="S20" s="124" t="str">
        <f aca="false">+IF($H20="","",((INCERTIDUMBRE!$M$8)/1000)/25.4)</f>
        <v/>
      </c>
      <c r="T20" s="124" t="str">
        <f aca="false">IF($H20="","",(+H20+Q20+S20))</f>
        <v/>
      </c>
      <c r="U20" s="125" t="str">
        <f aca="false">IF($H20="","",(T20/25.4))</f>
        <v/>
      </c>
      <c r="V20" s="97"/>
      <c r="W20" s="142" t="e">
        <f aca="false">IF('Datos de condiciones'!D12="","",'Datos de condiciones'!D12)</f>
        <v>#VALUE!</v>
      </c>
      <c r="X20" s="143" t="str">
        <f aca="false">+IF($H20="","",(W20-20))</f>
        <v/>
      </c>
      <c r="Y20" s="144" t="e">
        <f aca="false">IF('Datos de condiciones'!E12="","",'Datos de condiciones'!E12)</f>
        <v>#VALUE!</v>
      </c>
      <c r="Z20" s="145" t="str">
        <f aca="false">+IF($H20="","",Y20-20)</f>
        <v/>
      </c>
      <c r="AA20" s="146" t="str">
        <f aca="false">+IF($H20="","",ABS(X20-Z20))</f>
        <v/>
      </c>
      <c r="AB20" s="131"/>
      <c r="AC20" s="147" t="n">
        <f aca="false">+AC19+1</f>
        <v>9</v>
      </c>
      <c r="AD20" s="148" t="str">
        <f aca="false">+IF($H20="","",W20)</f>
        <v/>
      </c>
      <c r="AE20" s="145" t="str">
        <f aca="false">+IF($H20="","",Y20)</f>
        <v/>
      </c>
      <c r="AF20" s="146" t="str">
        <f aca="false">+IF($H20="","",+(ABS(AD20-AE20)))</f>
        <v/>
      </c>
      <c r="AG20" s="149" t="e">
        <f aca="false">IF('Datos de condiciones'!F12="","",'Datos de condiciones'!F12)</f>
        <v>#VALUE!</v>
      </c>
      <c r="AH20" s="135"/>
      <c r="AI20" s="147" t="n">
        <f aca="false">+AI19+1</f>
        <v>9</v>
      </c>
      <c r="AJ20" s="140"/>
      <c r="AK20" s="123" t="e">
        <f aca="false">IF('Datos de condiciones'!G12="","",'Datos de condiciones'!G12)</f>
        <v>#VALUE!</v>
      </c>
      <c r="AL20" s="150"/>
      <c r="AO20" s="113"/>
    </row>
    <row r="21" customFormat="false" ht="16.5" hidden="false" customHeight="false" outlineLevel="0" collapsed="false">
      <c r="A21" s="81" t="n">
        <f aca="false">+A20+1</f>
        <v>10</v>
      </c>
      <c r="B21" s="114" t="str">
        <f aca="false">J21</f>
        <v/>
      </c>
      <c r="C21" s="115" t="str">
        <f aca="false">IF(H21="","",H21)</f>
        <v/>
      </c>
      <c r="D21" s="116" t="str">
        <f aca="false">IF(B21="","",(IF('conversion datos'!$L$30='Patrones LACOMET'!$D$3,(VLOOKUP(B21,'BLOQUES PATRON (pulg) '!$D$5:$H$87,3,TRUE())),IF('conversion datos'!$L$30='Patrones LACOMET'!$D$4,((VLOOKUP(CALIBRACION!B21,'BLOQUES PATRON (mm)'!$D$5:$H$126,3,FALSE()))/1000),"No existe el patrón"))))</f>
        <v/>
      </c>
      <c r="E21" s="117" t="str">
        <f aca="false">IF(B21="","",(B21+D21))</f>
        <v/>
      </c>
      <c r="F21" s="118" t="str">
        <f aca="false">IF(B21="","",(IF('conversion datos'!$L$30='Patrones LACOMET'!$D$3,(VLOOKUP(B21,'BLOQUES PATRON (pulg) '!$D$5:$H$86,5,FALSE())),IF('conversion datos'!$L$30='Patrones LACOMET'!$D$4,((VLOOKUP(CALIBRACION!B21,'BLOQUES PATRON (mm)'!$D$5:$H$126,4,FALSE()))/1000000),"No existe el patrón"))))</f>
        <v/>
      </c>
      <c r="G21" s="118" t="str">
        <f aca="false">IF(D21="","",(IF('conversion datos'!$L$30='Patrones LACOMET'!$D$3,(D21*25.4),IF('conversion datos'!$L$30='Patrones LACOMET'!$D$4,D21,"No existe el patrón"))))</f>
        <v/>
      </c>
      <c r="H21" s="119" t="str">
        <f aca="false">IF(J21="","",(IF('conversion datos'!$L$30='Patrones LACOMET'!$D$3,(CALIBRACION!J21*25.4),IF('conversion datos'!$L$30='Patrones LACOMET'!$D$4,(CALIBRACION!J21),"No existe el patrón"))))</f>
        <v/>
      </c>
      <c r="I21" s="120" t="e">
        <f aca="false">IF('conversion datos'!B11="","",'conversion datos'!B11)</f>
        <v>#VALUE!</v>
      </c>
      <c r="J21" s="121" t="str">
        <f aca="false">IF('conversion datos'!C11="","",'conversion datos'!C11)</f>
        <v/>
      </c>
      <c r="K21" s="139"/>
      <c r="L21" s="151"/>
      <c r="M21" s="151"/>
      <c r="N21" s="141"/>
      <c r="O21" s="123" t="str">
        <f aca="false">IF('conversion datos'!F11="","",'conversion datos'!F11)</f>
        <v/>
      </c>
      <c r="P21" s="124" t="str">
        <f aca="false">IF($H21="","",+O21/1000)</f>
        <v/>
      </c>
      <c r="Q21" s="124" t="str">
        <f aca="false">IF($H21="","",(IF('conversion datos'!$L$30='Patrones LACOMET'!$D$3,P21*0.0254,IF('conversion datos'!$L$30='Patrones LACOMET'!$D$4,P21,"No existe el patrón"))))</f>
        <v/>
      </c>
      <c r="R21" s="124" t="str">
        <f aca="false">IF($H21="","",(IF('conversion datos'!$L$30='Patrones LACOMET'!$D$3,E21*25.4,IF('conversion datos'!$L$30='Patrones LACOMET'!$D$4,E21,"No existe el patrón"))))</f>
        <v/>
      </c>
      <c r="S21" s="124" t="str">
        <f aca="false">+IF($H21="","",((INCERTIDUMBRE!$M$8)/1000)/25.4)</f>
        <v/>
      </c>
      <c r="T21" s="124" t="str">
        <f aca="false">IF($H21="","",(+H21+Q21+S21))</f>
        <v/>
      </c>
      <c r="U21" s="125" t="str">
        <f aca="false">IF($H21="","",(T21/25.4))</f>
        <v/>
      </c>
      <c r="V21" s="97"/>
      <c r="W21" s="142" t="e">
        <f aca="false">IF('Datos de condiciones'!D13="","",'Datos de condiciones'!D13)</f>
        <v>#VALUE!</v>
      </c>
      <c r="X21" s="143" t="str">
        <f aca="false">+IF($H21="","",(W21-20))</f>
        <v/>
      </c>
      <c r="Y21" s="144" t="e">
        <f aca="false">IF('Datos de condiciones'!E13="","",'Datos de condiciones'!E13)</f>
        <v>#VALUE!</v>
      </c>
      <c r="Z21" s="145" t="str">
        <f aca="false">+IF($H21="","",Y21-20)</f>
        <v/>
      </c>
      <c r="AA21" s="146" t="str">
        <f aca="false">+IF($H21="","",ABS(X21-Z21))</f>
        <v/>
      </c>
      <c r="AB21" s="131"/>
      <c r="AC21" s="147" t="n">
        <f aca="false">+AC20+1</f>
        <v>10</v>
      </c>
      <c r="AD21" s="148" t="str">
        <f aca="false">+IF($H21="","",W21)</f>
        <v/>
      </c>
      <c r="AE21" s="145" t="str">
        <f aca="false">+IF($H21="","",Y21)</f>
        <v/>
      </c>
      <c r="AF21" s="146" t="str">
        <f aca="false">+IF($H21="","",+(ABS(AD21-AE21)))</f>
        <v/>
      </c>
      <c r="AG21" s="149" t="e">
        <f aca="false">IF('Datos de condiciones'!F13="","",'Datos de condiciones'!F13)</f>
        <v>#VALUE!</v>
      </c>
      <c r="AH21" s="135"/>
      <c r="AI21" s="147" t="n">
        <f aca="false">+AI20+1</f>
        <v>10</v>
      </c>
      <c r="AJ21" s="140"/>
      <c r="AK21" s="123" t="e">
        <f aca="false">IF('Datos de condiciones'!G13="","",'Datos de condiciones'!G13)</f>
        <v>#VALUE!</v>
      </c>
      <c r="AL21" s="150"/>
      <c r="AO21" s="113"/>
    </row>
    <row r="22" customFormat="false" ht="16.5" hidden="false" customHeight="false" outlineLevel="0" collapsed="false">
      <c r="A22" s="81" t="n">
        <f aca="false">+A21+1</f>
        <v>11</v>
      </c>
      <c r="B22" s="114" t="str">
        <f aca="false">J22</f>
        <v/>
      </c>
      <c r="C22" s="115" t="str">
        <f aca="false">IF(H22="","",H22)</f>
        <v/>
      </c>
      <c r="D22" s="116" t="str">
        <f aca="false">IF(B22="","",(IF('conversion datos'!$L$30='Patrones LACOMET'!$D$3,(VLOOKUP(B22,'BLOQUES PATRON (pulg) '!$D$5:$H$87,3,TRUE())),IF('conversion datos'!$L$30='Patrones LACOMET'!$D$4,((VLOOKUP(CALIBRACION!B22,'BLOQUES PATRON (mm)'!$D$5:$H$126,3,FALSE()))/1000),"No existe el patrón"))))</f>
        <v/>
      </c>
      <c r="E22" s="117" t="str">
        <f aca="false">IF(B22="","",(B22+D22))</f>
        <v/>
      </c>
      <c r="F22" s="118" t="str">
        <f aca="false">IF(B22="","",(IF('conversion datos'!$L$30='Patrones LACOMET'!$D$3,(VLOOKUP(B22,'BLOQUES PATRON (pulg) '!$D$5:$H$86,5,FALSE())),IF('conversion datos'!$L$30='Patrones LACOMET'!$D$4,((VLOOKUP(CALIBRACION!B22,'BLOQUES PATRON (mm)'!$D$5:$H$126,4,FALSE()))/1000000),"No existe el patrón"))))</f>
        <v/>
      </c>
      <c r="G22" s="118" t="str">
        <f aca="false">IF(D22="","",(IF('conversion datos'!$L$30='Patrones LACOMET'!$D$3,(D22*25.4),IF('conversion datos'!$L$30='Patrones LACOMET'!$D$4,D22,"No existe el patrón"))))</f>
        <v/>
      </c>
      <c r="H22" s="119" t="str">
        <f aca="false">IF(J22="","",(IF('conversion datos'!$L$30='Patrones LACOMET'!$D$3,(CALIBRACION!J22*25.4),IF('conversion datos'!$L$30='Patrones LACOMET'!$D$4,(CALIBRACION!J22),"No existe el patrón"))))</f>
        <v/>
      </c>
      <c r="I22" s="120" t="e">
        <f aca="false">IF('conversion datos'!B12="","",'conversion datos'!B12)</f>
        <v>#VALUE!</v>
      </c>
      <c r="J22" s="121" t="str">
        <f aca="false">IF('conversion datos'!C12="","",'conversion datos'!C12)</f>
        <v/>
      </c>
      <c r="K22" s="139"/>
      <c r="L22" s="151"/>
      <c r="M22" s="151"/>
      <c r="N22" s="141"/>
      <c r="O22" s="123" t="str">
        <f aca="false">IF('conversion datos'!F12="","",'conversion datos'!F12)</f>
        <v/>
      </c>
      <c r="P22" s="124" t="str">
        <f aca="false">IF($H22="","",+O22/1000)</f>
        <v/>
      </c>
      <c r="Q22" s="124" t="str">
        <f aca="false">IF($H22="","",(IF('conversion datos'!$L$30='Patrones LACOMET'!$D$3,P22*0.0254,IF('conversion datos'!$L$30='Patrones LACOMET'!$D$4,P22,"No existe el patrón"))))</f>
        <v/>
      </c>
      <c r="R22" s="124" t="str">
        <f aca="false">IF($H22="","",(IF('conversion datos'!$L$30='Patrones LACOMET'!$D$3,E22*25.4,IF('conversion datos'!$L$30='Patrones LACOMET'!$D$4,E22,"No existe el patrón"))))</f>
        <v/>
      </c>
      <c r="S22" s="124" t="str">
        <f aca="false">+IF($H22="","",((INCERTIDUMBRE!$M$8)/1000)/25.4)</f>
        <v/>
      </c>
      <c r="T22" s="124" t="str">
        <f aca="false">IF($H22="","",(+H22+Q22+S22))</f>
        <v/>
      </c>
      <c r="U22" s="125" t="str">
        <f aca="false">IF($H22="","",(T22/25.4))</f>
        <v/>
      </c>
      <c r="V22" s="97"/>
      <c r="W22" s="142" t="e">
        <f aca="false">IF('Datos de condiciones'!D14="","",'Datos de condiciones'!D14)</f>
        <v>#VALUE!</v>
      </c>
      <c r="X22" s="143" t="str">
        <f aca="false">+IF($H22="","",(W22-20))</f>
        <v/>
      </c>
      <c r="Y22" s="144" t="e">
        <f aca="false">IF('Datos de condiciones'!E14="","",'Datos de condiciones'!E14)</f>
        <v>#VALUE!</v>
      </c>
      <c r="Z22" s="145" t="str">
        <f aca="false">+IF($H22="","",Y22-20)</f>
        <v/>
      </c>
      <c r="AA22" s="146" t="str">
        <f aca="false">+IF($H22="","",ABS(X22-Z22))</f>
        <v/>
      </c>
      <c r="AB22" s="131"/>
      <c r="AC22" s="147" t="n">
        <f aca="false">+AC21+1</f>
        <v>11</v>
      </c>
      <c r="AD22" s="148" t="str">
        <f aca="false">+IF($H22="","",W22)</f>
        <v/>
      </c>
      <c r="AE22" s="145" t="str">
        <f aca="false">+IF($H22="","",Y22)</f>
        <v/>
      </c>
      <c r="AF22" s="146" t="str">
        <f aca="false">+IF($H22="","",+(ABS(AD22-AE22)))</f>
        <v/>
      </c>
      <c r="AG22" s="149" t="e">
        <f aca="false">IF('Datos de condiciones'!F14="","",'Datos de condiciones'!F14)</f>
        <v>#VALUE!</v>
      </c>
      <c r="AH22" s="135"/>
      <c r="AI22" s="147" t="n">
        <f aca="false">+AI21+1</f>
        <v>11</v>
      </c>
      <c r="AJ22" s="140"/>
      <c r="AK22" s="123" t="e">
        <f aca="false">IF('Datos de condiciones'!G14="","",'Datos de condiciones'!G14)</f>
        <v>#VALUE!</v>
      </c>
      <c r="AL22" s="150"/>
      <c r="AO22" s="113"/>
    </row>
    <row r="23" customFormat="false" ht="16.5" hidden="false" customHeight="false" outlineLevel="0" collapsed="false">
      <c r="A23" s="81" t="n">
        <f aca="false">+A22+1</f>
        <v>12</v>
      </c>
      <c r="B23" s="114" t="str">
        <f aca="false">J23</f>
        <v/>
      </c>
      <c r="C23" s="115" t="str">
        <f aca="false">IF(H23="","",H23)</f>
        <v/>
      </c>
      <c r="D23" s="116" t="str">
        <f aca="false">IF(B23="","",(IF('conversion datos'!$L$30='Patrones LACOMET'!$D$3,(VLOOKUP(B23,'BLOQUES PATRON (pulg) '!$D$5:$H$87,3,TRUE())),IF('conversion datos'!$L$30='Patrones LACOMET'!$D$4,((VLOOKUP(CALIBRACION!B23,'BLOQUES PATRON (mm)'!$D$5:$H$126,3,FALSE()))/1000),"No existe el patrón"))))</f>
        <v/>
      </c>
      <c r="E23" s="117" t="str">
        <f aca="false">IF(B23="","",(B23+D23))</f>
        <v/>
      </c>
      <c r="F23" s="118" t="str">
        <f aca="false">IF(B23="","",(IF('conversion datos'!$L$30='Patrones LACOMET'!$D$3,(VLOOKUP(B23,'BLOQUES PATRON (pulg) '!$D$5:$H$86,5,FALSE())),IF('conversion datos'!$L$30='Patrones LACOMET'!$D$4,((VLOOKUP(CALIBRACION!B23,'BLOQUES PATRON (mm)'!$D$5:$H$126,4,FALSE()))/1000000),"No existe el patrón"))))</f>
        <v/>
      </c>
      <c r="G23" s="118" t="str">
        <f aca="false">IF(D23="","",(IF('conversion datos'!$L$30='Patrones LACOMET'!$D$3,(D23*25.4),IF('conversion datos'!$L$30='Patrones LACOMET'!$D$4,D23,"No existe el patrón"))))</f>
        <v/>
      </c>
      <c r="H23" s="119" t="str">
        <f aca="false">IF(J23="","",(IF('conversion datos'!$L$30='Patrones LACOMET'!$D$3,(CALIBRACION!J23*25.4),IF('conversion datos'!$L$30='Patrones LACOMET'!$D$4,(CALIBRACION!J23),"No existe el patrón"))))</f>
        <v/>
      </c>
      <c r="I23" s="120" t="e">
        <f aca="false">IF('conversion datos'!B13="","",'conversion datos'!B13)</f>
        <v>#VALUE!</v>
      </c>
      <c r="J23" s="121" t="str">
        <f aca="false">IF('conversion datos'!C13="","",'conversion datos'!C13)</f>
        <v/>
      </c>
      <c r="K23" s="152"/>
      <c r="L23" s="151"/>
      <c r="M23" s="151"/>
      <c r="N23" s="141"/>
      <c r="O23" s="123" t="str">
        <f aca="false">IF('conversion datos'!F13="","",'conversion datos'!F13)</f>
        <v/>
      </c>
      <c r="P23" s="124" t="str">
        <f aca="false">IF($H23="","",+O23/1000)</f>
        <v/>
      </c>
      <c r="Q23" s="124" t="str">
        <f aca="false">IF($H23="","",(IF('conversion datos'!$L$30='Patrones LACOMET'!$D$3,P23*0.0254,IF('conversion datos'!$L$30='Patrones LACOMET'!$D$4,P23,"No existe el patrón"))))</f>
        <v/>
      </c>
      <c r="R23" s="124" t="str">
        <f aca="false">IF($H23="","",(IF('conversion datos'!$L$30='Patrones LACOMET'!$D$3,E23*25.4,IF('conversion datos'!$L$30='Patrones LACOMET'!$D$4,E23,"No existe el patrón"))))</f>
        <v/>
      </c>
      <c r="S23" s="124" t="str">
        <f aca="false">+IF($H23="","",((INCERTIDUMBRE!$M$8)/1000)/25.4)</f>
        <v/>
      </c>
      <c r="T23" s="124" t="str">
        <f aca="false">IF($H23="","",(+H23+Q23+S23))</f>
        <v/>
      </c>
      <c r="U23" s="125" t="str">
        <f aca="false">IF($H23="","",(T23/25.4))</f>
        <v/>
      </c>
      <c r="V23" s="97"/>
      <c r="W23" s="142" t="e">
        <f aca="false">IF('Datos de condiciones'!D15="","",'Datos de condiciones'!D15)</f>
        <v>#VALUE!</v>
      </c>
      <c r="X23" s="143" t="str">
        <f aca="false">+IF($H23="","",(W23-20))</f>
        <v/>
      </c>
      <c r="Y23" s="144" t="e">
        <f aca="false">IF('Datos de condiciones'!E15="","",'Datos de condiciones'!E15)</f>
        <v>#VALUE!</v>
      </c>
      <c r="Z23" s="145" t="str">
        <f aca="false">+IF($H23="","",Y23-20)</f>
        <v/>
      </c>
      <c r="AA23" s="146" t="str">
        <f aca="false">+IF($H23="","",ABS(X23-Z23))</f>
        <v/>
      </c>
      <c r="AB23" s="131"/>
      <c r="AC23" s="147" t="n">
        <f aca="false">+AC22+1</f>
        <v>12</v>
      </c>
      <c r="AD23" s="148" t="str">
        <f aca="false">+IF($H23="","",W23)</f>
        <v/>
      </c>
      <c r="AE23" s="145" t="str">
        <f aca="false">+IF($H23="","",Y23)</f>
        <v/>
      </c>
      <c r="AF23" s="146" t="str">
        <f aca="false">+IF($H23="","",+(ABS(AD23-AE23)))</f>
        <v/>
      </c>
      <c r="AG23" s="149" t="e">
        <f aca="false">IF('Datos de condiciones'!F15="","",'Datos de condiciones'!F15)</f>
        <v>#VALUE!</v>
      </c>
      <c r="AH23" s="135"/>
      <c r="AI23" s="147" t="n">
        <f aca="false">+AI22+1</f>
        <v>12</v>
      </c>
      <c r="AJ23" s="140"/>
      <c r="AK23" s="123" t="e">
        <f aca="false">IF('Datos de condiciones'!G15="","",'Datos de condiciones'!G15)</f>
        <v>#VALUE!</v>
      </c>
      <c r="AL23" s="150"/>
    </row>
    <row r="24" customFormat="false" ht="16.5" hidden="false" customHeight="false" outlineLevel="0" collapsed="false">
      <c r="A24" s="81" t="n">
        <f aca="false">+A23+1</f>
        <v>13</v>
      </c>
      <c r="B24" s="114" t="str">
        <f aca="false">J24</f>
        <v/>
      </c>
      <c r="C24" s="115" t="str">
        <f aca="false">IF(H24="","",H24)</f>
        <v/>
      </c>
      <c r="D24" s="116" t="str">
        <f aca="false">IF(B24="","",(IF('conversion datos'!$L$30='Patrones LACOMET'!$D$3,(VLOOKUP(B24,'BLOQUES PATRON (pulg) '!$D$5:$H$87,3,TRUE())),IF('conversion datos'!$L$30='Patrones LACOMET'!$D$4,((VLOOKUP(CALIBRACION!B24,'BLOQUES PATRON (mm)'!$D$5:$H$126,3,FALSE()))/1000),"No existe el patrón"))))</f>
        <v/>
      </c>
      <c r="E24" s="117" t="str">
        <f aca="false">IF(B24="","",(B24+D24))</f>
        <v/>
      </c>
      <c r="F24" s="118" t="str">
        <f aca="false">IF(B24="","",(IF('conversion datos'!$L$30='Patrones LACOMET'!$D$3,(VLOOKUP(B24,'BLOQUES PATRON (pulg) '!$D$5:$H$86,5,FALSE())),IF('conversion datos'!$L$30='Patrones LACOMET'!$D$4,((VLOOKUP(CALIBRACION!B24,'BLOQUES PATRON (mm)'!$D$5:$H$126,4,FALSE()))/1000000),"No existe el patrón"))))</f>
        <v/>
      </c>
      <c r="G24" s="118" t="str">
        <f aca="false">IF(D24="","",(IF('conversion datos'!$L$30='Patrones LACOMET'!$D$3,(D24*25.4),IF('conversion datos'!$L$30='Patrones LACOMET'!$D$4,D24,"No existe el patrón"))))</f>
        <v/>
      </c>
      <c r="H24" s="119" t="str">
        <f aca="false">IF(J24="","",(IF('conversion datos'!$L$30='Patrones LACOMET'!$D$3,(CALIBRACION!J24*25.4),IF('conversion datos'!$L$30='Patrones LACOMET'!$D$4,(CALIBRACION!J24),"No existe el patrón"))))</f>
        <v/>
      </c>
      <c r="I24" s="120" t="e">
        <f aca="false">IF('conversion datos'!B14="","",'conversion datos'!B14)</f>
        <v>#VALUE!</v>
      </c>
      <c r="J24" s="121" t="str">
        <f aca="false">IF('conversion datos'!C14="","",'conversion datos'!C14)</f>
        <v/>
      </c>
      <c r="K24" s="152"/>
      <c r="L24" s="151"/>
      <c r="M24" s="151"/>
      <c r="N24" s="141"/>
      <c r="O24" s="123" t="str">
        <f aca="false">IF('conversion datos'!F14="","",'conversion datos'!F14)</f>
        <v/>
      </c>
      <c r="P24" s="124" t="str">
        <f aca="false">IF($H24="","",+O24/1000)</f>
        <v/>
      </c>
      <c r="Q24" s="124" t="str">
        <f aca="false">IF($H24="","",(IF('conversion datos'!$L$30='Patrones LACOMET'!$D$3,P24*0.0254,IF('conversion datos'!$L$30='Patrones LACOMET'!$D$4,P24,"No existe el patrón"))))</f>
        <v/>
      </c>
      <c r="R24" s="124" t="str">
        <f aca="false">IF($H24="","",(IF('conversion datos'!$L$30='Patrones LACOMET'!$D$3,E24*25.4,IF('conversion datos'!$L$30='Patrones LACOMET'!$D$4,E24,"No existe el patrón"))))</f>
        <v/>
      </c>
      <c r="S24" s="124" t="str">
        <f aca="false">+IF($H24="","",((INCERTIDUMBRE!$M$8)/1000)/25.4)</f>
        <v/>
      </c>
      <c r="T24" s="124" t="str">
        <f aca="false">IF($H24="","",(+H24+Q24+S24))</f>
        <v/>
      </c>
      <c r="U24" s="125" t="str">
        <f aca="false">IF($H24="","",(T24/25.4))</f>
        <v/>
      </c>
      <c r="V24" s="97"/>
      <c r="W24" s="142" t="e">
        <f aca="false">IF('Datos de condiciones'!D16="","",'Datos de condiciones'!D16)</f>
        <v>#VALUE!</v>
      </c>
      <c r="X24" s="143" t="str">
        <f aca="false">+IF($H24="","",(W24-20))</f>
        <v/>
      </c>
      <c r="Y24" s="144" t="e">
        <f aca="false">IF('Datos de condiciones'!E16="","",'Datos de condiciones'!E16)</f>
        <v>#VALUE!</v>
      </c>
      <c r="Z24" s="145" t="str">
        <f aca="false">+IF($H24="","",Y24-20)</f>
        <v/>
      </c>
      <c r="AA24" s="146" t="str">
        <f aca="false">+IF($H24="","",ABS(X24-Z24))</f>
        <v/>
      </c>
      <c r="AB24" s="131"/>
      <c r="AC24" s="147" t="n">
        <f aca="false">+AC23+1</f>
        <v>13</v>
      </c>
      <c r="AD24" s="148" t="str">
        <f aca="false">+IF($H24="","",W24)</f>
        <v/>
      </c>
      <c r="AE24" s="145" t="str">
        <f aca="false">+IF($H24="","",Y24)</f>
        <v/>
      </c>
      <c r="AF24" s="146" t="str">
        <f aca="false">+IF($H24="","",+(ABS(AD24-AE24)))</f>
        <v/>
      </c>
      <c r="AG24" s="149" t="e">
        <f aca="false">IF('Datos de condiciones'!F16="","",'Datos de condiciones'!F16)</f>
        <v>#VALUE!</v>
      </c>
      <c r="AH24" s="135"/>
      <c r="AI24" s="147" t="n">
        <f aca="false">+AI23+1</f>
        <v>13</v>
      </c>
      <c r="AJ24" s="140"/>
      <c r="AK24" s="123" t="e">
        <f aca="false">IF('Datos de condiciones'!G16="","",'Datos de condiciones'!G16)</f>
        <v>#VALUE!</v>
      </c>
      <c r="AL24" s="150"/>
    </row>
    <row r="25" customFormat="false" ht="16.5" hidden="false" customHeight="false" outlineLevel="0" collapsed="false">
      <c r="A25" s="81" t="n">
        <f aca="false">+A24+1</f>
        <v>14</v>
      </c>
      <c r="B25" s="114" t="str">
        <f aca="false">J25</f>
        <v/>
      </c>
      <c r="C25" s="115" t="str">
        <f aca="false">IF(H25="","",H25)</f>
        <v/>
      </c>
      <c r="D25" s="116" t="str">
        <f aca="false">IF(B25="","",(IF('conversion datos'!$L$30='Patrones LACOMET'!$D$3,(VLOOKUP(B25,'BLOQUES PATRON (pulg) '!$D$5:$H$87,3,TRUE())),IF('conversion datos'!$L$30='Patrones LACOMET'!$D$4,((VLOOKUP(CALIBRACION!B25,'BLOQUES PATRON (mm)'!$D$5:$H$126,3,FALSE()))/1000),"No existe el patrón"))))</f>
        <v/>
      </c>
      <c r="E25" s="117" t="str">
        <f aca="false">IF(B25="","",(B25+D25))</f>
        <v/>
      </c>
      <c r="F25" s="118" t="str">
        <f aca="false">IF(B25="","",(IF('conversion datos'!$L$30='Patrones LACOMET'!$D$3,(VLOOKUP(B25,'BLOQUES PATRON (pulg) '!$D$5:$H$86,5,FALSE())),IF('conversion datos'!$L$30='Patrones LACOMET'!$D$4,((VLOOKUP(CALIBRACION!B25,'BLOQUES PATRON (mm)'!$D$5:$H$126,4,FALSE()))/1000000),"No existe el patrón"))))</f>
        <v/>
      </c>
      <c r="G25" s="118" t="str">
        <f aca="false">IF(D25="","",(IF('conversion datos'!$L$30='Patrones LACOMET'!$D$3,(D25*25.4),IF('conversion datos'!$L$30='Patrones LACOMET'!$D$4,D25,"No existe el patrón"))))</f>
        <v/>
      </c>
      <c r="H25" s="119" t="str">
        <f aca="false">IF(J25="","",(IF('conversion datos'!$L$30='Patrones LACOMET'!$D$3,(CALIBRACION!J25*25.4),IF('conversion datos'!$L$30='Patrones LACOMET'!$D$4,(CALIBRACION!J25),"No existe el patrón"))))</f>
        <v/>
      </c>
      <c r="I25" s="120" t="e">
        <f aca="false">IF('conversion datos'!B15="","",'conversion datos'!B15)</f>
        <v>#VALUE!</v>
      </c>
      <c r="J25" s="121" t="str">
        <f aca="false">IF('conversion datos'!C15="","",'conversion datos'!C15)</f>
        <v/>
      </c>
      <c r="K25" s="152"/>
      <c r="L25" s="151"/>
      <c r="M25" s="151"/>
      <c r="N25" s="141"/>
      <c r="O25" s="123" t="str">
        <f aca="false">IF('conversion datos'!F15="","",'conversion datos'!F15)</f>
        <v/>
      </c>
      <c r="P25" s="124" t="str">
        <f aca="false">IF($H25="","",+O25/1000)</f>
        <v/>
      </c>
      <c r="Q25" s="124" t="str">
        <f aca="false">IF($H25="","",(IF('conversion datos'!$L$30='Patrones LACOMET'!$D$3,P25*0.0254,IF('conversion datos'!$L$30='Patrones LACOMET'!$D$4,P25,"No existe el patrón"))))</f>
        <v/>
      </c>
      <c r="R25" s="124" t="str">
        <f aca="false">IF($H25="","",(IF('conversion datos'!$L$30='Patrones LACOMET'!$D$3,E25*25.4,IF('conversion datos'!$L$30='Patrones LACOMET'!$D$4,E25,"No existe el patrón"))))</f>
        <v/>
      </c>
      <c r="S25" s="124" t="str">
        <f aca="false">+IF($H25="","",((INCERTIDUMBRE!$M$8)/1000)/25.4)</f>
        <v/>
      </c>
      <c r="T25" s="124" t="str">
        <f aca="false">IF($H25="","",(+H25+Q25+S25))</f>
        <v/>
      </c>
      <c r="U25" s="125" t="str">
        <f aca="false">IF($H25="","",(T25/25.4))</f>
        <v/>
      </c>
      <c r="V25" s="97"/>
      <c r="W25" s="142" t="e">
        <f aca="false">IF('Datos de condiciones'!D17="","",'Datos de condiciones'!D17)</f>
        <v>#VALUE!</v>
      </c>
      <c r="X25" s="143" t="str">
        <f aca="false">+IF($H25="","",(W25-20))</f>
        <v/>
      </c>
      <c r="Y25" s="144" t="e">
        <f aca="false">IF('Datos de condiciones'!E17="","",'Datos de condiciones'!E17)</f>
        <v>#VALUE!</v>
      </c>
      <c r="Z25" s="145" t="str">
        <f aca="false">+IF($H25="","",Y25-20)</f>
        <v/>
      </c>
      <c r="AA25" s="146" t="str">
        <f aca="false">+IF($H25="","",ABS(X25-Z25))</f>
        <v/>
      </c>
      <c r="AB25" s="131"/>
      <c r="AC25" s="147" t="n">
        <f aca="false">+AC24+1</f>
        <v>14</v>
      </c>
      <c r="AD25" s="148" t="str">
        <f aca="false">+IF($H25="","",W25)</f>
        <v/>
      </c>
      <c r="AE25" s="145" t="str">
        <f aca="false">+IF($H25="","",Y25)</f>
        <v/>
      </c>
      <c r="AF25" s="146" t="str">
        <f aca="false">+IF($H25="","",+(ABS(AD25-AE25)))</f>
        <v/>
      </c>
      <c r="AG25" s="149" t="e">
        <f aca="false">IF('Datos de condiciones'!F17="","",'Datos de condiciones'!F17)</f>
        <v>#VALUE!</v>
      </c>
      <c r="AH25" s="135"/>
      <c r="AI25" s="147" t="n">
        <f aca="false">+AI24+1</f>
        <v>14</v>
      </c>
      <c r="AJ25" s="140"/>
      <c r="AK25" s="123" t="e">
        <f aca="false">IF('Datos de condiciones'!G17="","",'Datos de condiciones'!G17)</f>
        <v>#VALUE!</v>
      </c>
      <c r="AL25" s="150"/>
    </row>
    <row r="26" customFormat="false" ht="15" hidden="false" customHeight="true" outlineLevel="0" collapsed="false">
      <c r="A26" s="81" t="n">
        <f aca="false">+A25+1</f>
        <v>15</v>
      </c>
      <c r="B26" s="114" t="str">
        <f aca="false">J26</f>
        <v/>
      </c>
      <c r="C26" s="115" t="str">
        <f aca="false">IF(H26="","",H26)</f>
        <v/>
      </c>
      <c r="D26" s="116" t="str">
        <f aca="false">IF(B26="","",(IF('conversion datos'!$L$30='Patrones LACOMET'!$D$3,(VLOOKUP(B26,'BLOQUES PATRON (pulg) '!$D$5:$H$87,3,TRUE())),IF('conversion datos'!$L$30='Patrones LACOMET'!$D$4,((VLOOKUP(CALIBRACION!B26,'BLOQUES PATRON (mm)'!$D$5:$H$126,3,FALSE()))/1000),"No existe el patrón"))))</f>
        <v/>
      </c>
      <c r="E26" s="117" t="str">
        <f aca="false">IF(B26="","",(B26+D26))</f>
        <v/>
      </c>
      <c r="F26" s="118" t="str">
        <f aca="false">IF(B26="","",(IF('conversion datos'!$L$30='Patrones LACOMET'!$D$3,(VLOOKUP(B26,'BLOQUES PATRON (pulg) '!$D$5:$H$86,5,FALSE())),IF('conversion datos'!$L$30='Patrones LACOMET'!$D$4,((VLOOKUP(CALIBRACION!B26,'BLOQUES PATRON (mm)'!$D$5:$H$126,4,FALSE()))/1000000),"No existe el patrón"))))</f>
        <v/>
      </c>
      <c r="G26" s="118" t="str">
        <f aca="false">IF(D26="","",(IF('conversion datos'!$L$30='Patrones LACOMET'!$D$3,(D26*25.4),IF('conversion datos'!$L$30='Patrones LACOMET'!$D$4,D26,"No existe el patrón"))))</f>
        <v/>
      </c>
      <c r="H26" s="119" t="str">
        <f aca="false">IF(J26="","",(IF('conversion datos'!$L$30='Patrones LACOMET'!$D$3,(CALIBRACION!J26*25.4),IF('conversion datos'!$L$30='Patrones LACOMET'!$D$4,(CALIBRACION!J26),"No existe el patrón"))))</f>
        <v/>
      </c>
      <c r="I26" s="120" t="e">
        <f aca="false">IF('conversion datos'!B16="","",'conversion datos'!B16)</f>
        <v>#VALUE!</v>
      </c>
      <c r="J26" s="121" t="str">
        <f aca="false">IF('conversion datos'!C16="","",'conversion datos'!C16)</f>
        <v/>
      </c>
      <c r="K26" s="152"/>
      <c r="L26" s="151"/>
      <c r="M26" s="151"/>
      <c r="N26" s="141"/>
      <c r="O26" s="123" t="str">
        <f aca="false">IF('conversion datos'!F16="","",'conversion datos'!F16)</f>
        <v/>
      </c>
      <c r="P26" s="124" t="str">
        <f aca="false">IF($H26="","",+O26/1000)</f>
        <v/>
      </c>
      <c r="Q26" s="124" t="str">
        <f aca="false">IF($H26="","",(IF('conversion datos'!$L$30='Patrones LACOMET'!$D$3,P26*0.0254,IF('conversion datos'!$L$30='Patrones LACOMET'!$D$4,P26,"No existe el patrón"))))</f>
        <v/>
      </c>
      <c r="R26" s="124" t="str">
        <f aca="false">IF($H26="","",(IF('conversion datos'!$L$30='Patrones LACOMET'!$D$3,E26*25.4,IF('conversion datos'!$L$30='Patrones LACOMET'!$D$4,E26,"No existe el patrón"))))</f>
        <v/>
      </c>
      <c r="S26" s="124" t="str">
        <f aca="false">+IF($H26="","",((INCERTIDUMBRE!$M$8)/1000)/25.4)</f>
        <v/>
      </c>
      <c r="T26" s="124" t="str">
        <f aca="false">IF($H26="","",(+H26+Q26+S26))</f>
        <v/>
      </c>
      <c r="U26" s="125" t="str">
        <f aca="false">IF($H26="","",(T26/25.4))</f>
        <v/>
      </c>
      <c r="V26" s="97"/>
      <c r="W26" s="142" t="e">
        <f aca="false">IF('Datos de condiciones'!D18="","",'Datos de condiciones'!D18)</f>
        <v>#VALUE!</v>
      </c>
      <c r="X26" s="143" t="str">
        <f aca="false">+IF($H26="","",(W26-20))</f>
        <v/>
      </c>
      <c r="Y26" s="144" t="e">
        <f aca="false">IF('Datos de condiciones'!E18="","",'Datos de condiciones'!E18)</f>
        <v>#VALUE!</v>
      </c>
      <c r="Z26" s="145" t="str">
        <f aca="false">+IF($H26="","",Y26-20)</f>
        <v/>
      </c>
      <c r="AA26" s="146" t="str">
        <f aca="false">+IF($H26="","",ABS(X26-Z26))</f>
        <v/>
      </c>
      <c r="AB26" s="131"/>
      <c r="AC26" s="147" t="n">
        <f aca="false">+AC25+1</f>
        <v>15</v>
      </c>
      <c r="AD26" s="148" t="str">
        <f aca="false">+IF($H26="","",W26)</f>
        <v/>
      </c>
      <c r="AE26" s="145" t="str">
        <f aca="false">+IF($H26="","",Y26)</f>
        <v/>
      </c>
      <c r="AF26" s="146" t="str">
        <f aca="false">+IF($H26="","",+(ABS(AD26-AE26)))</f>
        <v/>
      </c>
      <c r="AG26" s="149" t="e">
        <f aca="false">IF('Datos de condiciones'!F18="","",'Datos de condiciones'!F18)</f>
        <v>#VALUE!</v>
      </c>
      <c r="AH26" s="135"/>
      <c r="AI26" s="147" t="n">
        <f aca="false">+AI25+1</f>
        <v>15</v>
      </c>
      <c r="AJ26" s="140"/>
      <c r="AK26" s="123" t="e">
        <f aca="false">IF('Datos de condiciones'!G18="","",'Datos de condiciones'!G18)</f>
        <v>#VALUE!</v>
      </c>
      <c r="AL26" s="150"/>
    </row>
    <row r="27" customFormat="false" ht="15.75" hidden="false" customHeight="true" outlineLevel="0" collapsed="false">
      <c r="A27" s="81" t="n">
        <f aca="false">+A26+1</f>
        <v>16</v>
      </c>
      <c r="B27" s="114" t="str">
        <f aca="false">J27</f>
        <v/>
      </c>
      <c r="C27" s="115" t="str">
        <f aca="false">IF(H27="","",H27)</f>
        <v/>
      </c>
      <c r="D27" s="116" t="str">
        <f aca="false">IF(B27="","",(IF('conversion datos'!$L$30='Patrones LACOMET'!$D$3,(VLOOKUP(B27,'BLOQUES PATRON (pulg) '!$D$5:$H$87,3,TRUE())),IF('conversion datos'!$L$30='Patrones LACOMET'!$D$4,((VLOOKUP(CALIBRACION!B27,'BLOQUES PATRON (mm)'!$D$5:$H$126,3,FALSE()))/1000),"No existe el patrón"))))</f>
        <v/>
      </c>
      <c r="E27" s="117" t="str">
        <f aca="false">IF(B27="","",(B27+D27))</f>
        <v/>
      </c>
      <c r="F27" s="118" t="str">
        <f aca="false">IF(B27="","",(IF('conversion datos'!$L$30='Patrones LACOMET'!$D$3,(VLOOKUP(B27,'BLOQUES PATRON (pulg) '!$D$5:$H$86,5,FALSE())),IF('conversion datos'!$L$30='Patrones LACOMET'!$D$4,((VLOOKUP(CALIBRACION!B27,'BLOQUES PATRON (mm)'!$D$5:$H$126,4,FALSE()))/1000000),"No existe el patrón"))))</f>
        <v/>
      </c>
      <c r="G27" s="118" t="str">
        <f aca="false">IF(D27="","",(IF('conversion datos'!$L$30='Patrones LACOMET'!$D$3,(D27*25.4),IF('conversion datos'!$L$30='Patrones LACOMET'!$D$4,D27,"No existe el patrón"))))</f>
        <v/>
      </c>
      <c r="H27" s="119" t="str">
        <f aca="false">IF(J27="","",(IF('conversion datos'!$L$30='Patrones LACOMET'!$D$3,(CALIBRACION!J27*25.4),IF('conversion datos'!$L$30='Patrones LACOMET'!$D$4,(CALIBRACION!J27),"No existe el patrón"))))</f>
        <v/>
      </c>
      <c r="I27" s="120" t="e">
        <f aca="false">IF('conversion datos'!B17="","",'conversion datos'!B17)</f>
        <v>#VALUE!</v>
      </c>
      <c r="J27" s="121" t="str">
        <f aca="false">IF('conversion datos'!C17="","",'conversion datos'!C17)</f>
        <v/>
      </c>
      <c r="K27" s="152"/>
      <c r="L27" s="151"/>
      <c r="M27" s="151"/>
      <c r="N27" s="141"/>
      <c r="O27" s="123" t="str">
        <f aca="false">IF('conversion datos'!F17="","",'conversion datos'!F17)</f>
        <v/>
      </c>
      <c r="P27" s="124" t="str">
        <f aca="false">IF($H27="","",+O27/1000)</f>
        <v/>
      </c>
      <c r="Q27" s="124" t="str">
        <f aca="false">IF($H27="","",(IF('conversion datos'!$L$30='Patrones LACOMET'!$D$3,P27*0.0254,IF('conversion datos'!$L$30='Patrones LACOMET'!$D$4,P27,"No existe el patrón"))))</f>
        <v/>
      </c>
      <c r="R27" s="124" t="str">
        <f aca="false">IF($H27="","",(IF('conversion datos'!$L$30='Patrones LACOMET'!$D$3,E27*25.4,IF('conversion datos'!$L$30='Patrones LACOMET'!$D$4,E27,"No existe el patrón"))))</f>
        <v/>
      </c>
      <c r="S27" s="124" t="str">
        <f aca="false">+IF($H27="","",((INCERTIDUMBRE!$M$8)/1000)/25.4)</f>
        <v/>
      </c>
      <c r="T27" s="124" t="str">
        <f aca="false">IF($H27="","",(+H27+Q27+S27))</f>
        <v/>
      </c>
      <c r="U27" s="125" t="str">
        <f aca="false">IF($H27="","",(T27/25.4))</f>
        <v/>
      </c>
      <c r="V27" s="97"/>
      <c r="W27" s="142" t="e">
        <f aca="false">IF('Datos de condiciones'!D19="","",'Datos de condiciones'!D19)</f>
        <v>#VALUE!</v>
      </c>
      <c r="X27" s="143" t="str">
        <f aca="false">+IF($H27="","",(W27-20))</f>
        <v/>
      </c>
      <c r="Y27" s="144" t="e">
        <f aca="false">IF('Datos de condiciones'!E19="","",'Datos de condiciones'!E19)</f>
        <v>#VALUE!</v>
      </c>
      <c r="Z27" s="145" t="str">
        <f aca="false">+IF($H27="","",Y27-20)</f>
        <v/>
      </c>
      <c r="AA27" s="146" t="str">
        <f aca="false">+IF($H27="","",ABS(X27-Z27))</f>
        <v/>
      </c>
      <c r="AB27" s="131"/>
      <c r="AC27" s="147" t="n">
        <f aca="false">+AC26+1</f>
        <v>16</v>
      </c>
      <c r="AD27" s="148" t="str">
        <f aca="false">+IF($H27="","",W27)</f>
        <v/>
      </c>
      <c r="AE27" s="145" t="str">
        <f aca="false">+IF($H27="","",Y27)</f>
        <v/>
      </c>
      <c r="AF27" s="146" t="str">
        <f aca="false">+IF($H27="","",+(ABS(AD27-AE27)))</f>
        <v/>
      </c>
      <c r="AG27" s="149" t="e">
        <f aca="false">IF('Datos de condiciones'!F19="","",'Datos de condiciones'!F19)</f>
        <v>#VALUE!</v>
      </c>
      <c r="AH27" s="135"/>
      <c r="AI27" s="147" t="n">
        <f aca="false">+AI26+1</f>
        <v>16</v>
      </c>
      <c r="AJ27" s="140"/>
      <c r="AK27" s="123" t="e">
        <f aca="false">IF('Datos de condiciones'!G19="","",'Datos de condiciones'!G19)</f>
        <v>#VALUE!</v>
      </c>
      <c r="AL27" s="150"/>
    </row>
    <row r="28" customFormat="false" ht="16.5" hidden="false" customHeight="false" outlineLevel="0" collapsed="false">
      <c r="A28" s="81" t="n">
        <f aca="false">+A27+1</f>
        <v>17</v>
      </c>
      <c r="B28" s="114" t="str">
        <f aca="false">J28</f>
        <v/>
      </c>
      <c r="C28" s="115" t="str">
        <f aca="false">IF(H28="","",H28)</f>
        <v/>
      </c>
      <c r="D28" s="116" t="str">
        <f aca="false">IF(B28="","",(IF('conversion datos'!$L$30='Patrones LACOMET'!$D$3,(VLOOKUP(B28,'BLOQUES PATRON (pulg) '!$D$5:$H$87,3,TRUE())),IF('conversion datos'!$L$30='Patrones LACOMET'!$D$4,((VLOOKUP(CALIBRACION!B28,'BLOQUES PATRON (mm)'!$D$5:$H$126,3,FALSE()))/1000),"No existe el patrón"))))</f>
        <v/>
      </c>
      <c r="E28" s="117" t="str">
        <f aca="false">IF(B28="","",(B28+D28))</f>
        <v/>
      </c>
      <c r="F28" s="118" t="str">
        <f aca="false">IF(B28="","",(IF('conversion datos'!$L$30='Patrones LACOMET'!$D$3,(VLOOKUP(B28,'BLOQUES PATRON (pulg) '!$D$5:$H$86,5,FALSE())),IF('conversion datos'!$L$30='Patrones LACOMET'!$D$4,((VLOOKUP(CALIBRACION!B28,'BLOQUES PATRON (mm)'!$D$5:$H$126,4,FALSE()))/1000000),"No existe el patrón"))))</f>
        <v/>
      </c>
      <c r="G28" s="118" t="str">
        <f aca="false">IF(D28="","",(IF('conversion datos'!$L$30='Patrones LACOMET'!$D$3,(D28*25.4),IF('conversion datos'!$L$30='Patrones LACOMET'!$D$4,D28,"No existe el patrón"))))</f>
        <v/>
      </c>
      <c r="H28" s="119" t="str">
        <f aca="false">IF(J28="","",(IF('conversion datos'!$L$30='Patrones LACOMET'!$D$3,(CALIBRACION!J28*25.4),IF('conversion datos'!$L$30='Patrones LACOMET'!$D$4,(CALIBRACION!J28),"No existe el patrón"))))</f>
        <v/>
      </c>
      <c r="I28" s="120" t="e">
        <f aca="false">IF('conversion datos'!B18="","",'conversion datos'!B18)</f>
        <v>#VALUE!</v>
      </c>
      <c r="J28" s="121" t="str">
        <f aca="false">IF('conversion datos'!C18="","",'conversion datos'!C18)</f>
        <v/>
      </c>
      <c r="K28" s="152"/>
      <c r="L28" s="151"/>
      <c r="M28" s="151"/>
      <c r="N28" s="141"/>
      <c r="O28" s="123" t="str">
        <f aca="false">IF('conversion datos'!F18="","",'conversion datos'!F18)</f>
        <v/>
      </c>
      <c r="P28" s="124" t="str">
        <f aca="false">IF($H28="","",+O28/1000)</f>
        <v/>
      </c>
      <c r="Q28" s="124" t="str">
        <f aca="false">IF($H28="","",(IF('conversion datos'!$L$30='Patrones LACOMET'!$D$3,P28*0.0254,IF('conversion datos'!$L$30='Patrones LACOMET'!$D$4,P28,"No existe el patrón"))))</f>
        <v/>
      </c>
      <c r="R28" s="124" t="str">
        <f aca="false">IF($H28="","",(IF('conversion datos'!$L$30='Patrones LACOMET'!$D$3,E28*25.4,IF('conversion datos'!$L$30='Patrones LACOMET'!$D$4,E28,"No existe el patrón"))))</f>
        <v/>
      </c>
      <c r="S28" s="124" t="str">
        <f aca="false">+IF($H28="","",((INCERTIDUMBRE!$M$8)/1000)/25.4)</f>
        <v/>
      </c>
      <c r="T28" s="124" t="str">
        <f aca="false">IF($H28="","",(+H28+Q28+S28))</f>
        <v/>
      </c>
      <c r="U28" s="125" t="str">
        <f aca="false">IF($H28="","",(T28/25.4))</f>
        <v/>
      </c>
      <c r="V28" s="97"/>
      <c r="W28" s="142" t="e">
        <f aca="false">IF('Datos de condiciones'!D20="","",'Datos de condiciones'!D20)</f>
        <v>#VALUE!</v>
      </c>
      <c r="X28" s="143" t="str">
        <f aca="false">+IF($H28="","",(W28-20))</f>
        <v/>
      </c>
      <c r="Y28" s="144" t="e">
        <f aca="false">IF('Datos de condiciones'!E20="","",'Datos de condiciones'!E20)</f>
        <v>#VALUE!</v>
      </c>
      <c r="Z28" s="145" t="str">
        <f aca="false">+IF($H28="","",Y28-20)</f>
        <v/>
      </c>
      <c r="AA28" s="146" t="str">
        <f aca="false">+IF($H28="","",ABS(X28-Z28))</f>
        <v/>
      </c>
      <c r="AB28" s="131"/>
      <c r="AC28" s="147" t="n">
        <f aca="false">+AC27+1</f>
        <v>17</v>
      </c>
      <c r="AD28" s="148" t="str">
        <f aca="false">+IF($H28="","",W28)</f>
        <v/>
      </c>
      <c r="AE28" s="145" t="str">
        <f aca="false">+IF($H28="","",Y28)</f>
        <v/>
      </c>
      <c r="AF28" s="146" t="str">
        <f aca="false">+IF($H28="","",+(ABS(AD28-AE28)))</f>
        <v/>
      </c>
      <c r="AG28" s="149" t="e">
        <f aca="false">IF('Datos de condiciones'!F20="","",'Datos de condiciones'!F20)</f>
        <v>#VALUE!</v>
      </c>
      <c r="AH28" s="135"/>
      <c r="AI28" s="147" t="n">
        <f aca="false">+AI27+1</f>
        <v>17</v>
      </c>
      <c r="AJ28" s="140"/>
      <c r="AK28" s="123" t="e">
        <f aca="false">IF('Datos de condiciones'!G20="","",'Datos de condiciones'!G20)</f>
        <v>#VALUE!</v>
      </c>
      <c r="AL28" s="150"/>
    </row>
    <row r="29" customFormat="false" ht="15.75" hidden="false" customHeight="true" outlineLevel="0" collapsed="false">
      <c r="A29" s="81" t="n">
        <f aca="false">+A28+1</f>
        <v>18</v>
      </c>
      <c r="B29" s="114" t="str">
        <f aca="false">J29</f>
        <v/>
      </c>
      <c r="C29" s="115" t="str">
        <f aca="false">IF(H29="","",H29)</f>
        <v/>
      </c>
      <c r="D29" s="116" t="str">
        <f aca="false">IF(B29="","",(IF('conversion datos'!$L$30='Patrones LACOMET'!$D$3,(VLOOKUP(B29,'BLOQUES PATRON (pulg) '!$D$5:$H$87,3,TRUE())),IF('conversion datos'!$L$30='Patrones LACOMET'!$D$4,((VLOOKUP(CALIBRACION!B29,'BLOQUES PATRON (mm)'!$D$5:$H$126,3,FALSE()))/1000),"No existe el patrón"))))</f>
        <v/>
      </c>
      <c r="E29" s="117" t="str">
        <f aca="false">IF(B29="","",(B29+D29))</f>
        <v/>
      </c>
      <c r="F29" s="118" t="str">
        <f aca="false">IF(B29="","",(IF('conversion datos'!$L$30='Patrones LACOMET'!$D$3,(VLOOKUP(B29,'BLOQUES PATRON (pulg) '!$D$5:$H$86,5,FALSE())),IF('conversion datos'!$L$30='Patrones LACOMET'!$D$4,((VLOOKUP(CALIBRACION!B29,'BLOQUES PATRON (mm)'!$D$5:$H$126,4,FALSE()))/1000000),"No existe el patrón"))))</f>
        <v/>
      </c>
      <c r="G29" s="118" t="str">
        <f aca="false">IF(D29="","",(IF('conversion datos'!$L$30='Patrones LACOMET'!$D$3,(D29*25.4),IF('conversion datos'!$L$30='Patrones LACOMET'!$D$4,D29,"No existe el patrón"))))</f>
        <v/>
      </c>
      <c r="H29" s="119" t="str">
        <f aca="false">IF(J29="","",(IF('conversion datos'!$L$30='Patrones LACOMET'!$D$3,(CALIBRACION!J29*25.4),IF('conversion datos'!$L$30='Patrones LACOMET'!$D$4,(CALIBRACION!J29),"No existe el patrón"))))</f>
        <v/>
      </c>
      <c r="I29" s="120" t="e">
        <f aca="false">IF('conversion datos'!B19="","",'conversion datos'!B19)</f>
        <v>#VALUE!</v>
      </c>
      <c r="J29" s="121" t="str">
        <f aca="false">IF('conversion datos'!C19="","",'conversion datos'!C19)</f>
        <v/>
      </c>
      <c r="K29" s="152"/>
      <c r="L29" s="151"/>
      <c r="M29" s="151"/>
      <c r="N29" s="141"/>
      <c r="O29" s="123" t="str">
        <f aca="false">IF('conversion datos'!F19="","",'conversion datos'!F19)</f>
        <v/>
      </c>
      <c r="P29" s="124" t="str">
        <f aca="false">IF($H29="","",+O29/1000)</f>
        <v/>
      </c>
      <c r="Q29" s="124" t="str">
        <f aca="false">IF($H29="","",(IF('conversion datos'!$L$30='Patrones LACOMET'!$D$3,P29*0.0254,IF('conversion datos'!$L$30='Patrones LACOMET'!$D$4,P29,"No existe el patrón"))))</f>
        <v/>
      </c>
      <c r="R29" s="124" t="str">
        <f aca="false">IF($H29="","",(IF('conversion datos'!$L$30='Patrones LACOMET'!$D$3,E29*25.4,IF('conversion datos'!$L$30='Patrones LACOMET'!$D$4,E29,"No existe el patrón"))))</f>
        <v/>
      </c>
      <c r="S29" s="124" t="str">
        <f aca="false">+IF($H29="","",((INCERTIDUMBRE!$M$8)/1000)/25.4)</f>
        <v/>
      </c>
      <c r="T29" s="124" t="str">
        <f aca="false">IF($H29="","",(+H29+Q29+S29))</f>
        <v/>
      </c>
      <c r="U29" s="125" t="str">
        <f aca="false">IF($H29="","",(T29/25.4))</f>
        <v/>
      </c>
      <c r="V29" s="97"/>
      <c r="W29" s="142" t="e">
        <f aca="false">IF('Datos de condiciones'!D21="","",'Datos de condiciones'!D21)</f>
        <v>#VALUE!</v>
      </c>
      <c r="X29" s="143" t="str">
        <f aca="false">+IF($H29="","",(W29-20))</f>
        <v/>
      </c>
      <c r="Y29" s="144" t="e">
        <f aca="false">IF('Datos de condiciones'!E21="","",'Datos de condiciones'!E21)</f>
        <v>#VALUE!</v>
      </c>
      <c r="Z29" s="145" t="str">
        <f aca="false">+IF($H29="","",Y29-20)</f>
        <v/>
      </c>
      <c r="AA29" s="146" t="str">
        <f aca="false">+IF($H29="","",ABS(X29-Z29))</f>
        <v/>
      </c>
      <c r="AB29" s="131"/>
      <c r="AC29" s="147" t="n">
        <f aca="false">+AC28+1</f>
        <v>18</v>
      </c>
      <c r="AD29" s="148" t="str">
        <f aca="false">+IF($H29="","",W29)</f>
        <v/>
      </c>
      <c r="AE29" s="145" t="str">
        <f aca="false">+IF($H29="","",Y29)</f>
        <v/>
      </c>
      <c r="AF29" s="146" t="str">
        <f aca="false">+IF($H29="","",+(ABS(AD29-AE29)))</f>
        <v/>
      </c>
      <c r="AG29" s="149" t="e">
        <f aca="false">IF('Datos de condiciones'!F21="","",'Datos de condiciones'!F21)</f>
        <v>#VALUE!</v>
      </c>
      <c r="AH29" s="135"/>
      <c r="AI29" s="147" t="n">
        <f aca="false">+AI28+1</f>
        <v>18</v>
      </c>
      <c r="AJ29" s="140"/>
      <c r="AK29" s="123" t="e">
        <f aca="false">IF('Datos de condiciones'!G21="","",'Datos de condiciones'!G21)</f>
        <v>#VALUE!</v>
      </c>
      <c r="AL29" s="150"/>
    </row>
    <row r="30" customFormat="false" ht="15.75" hidden="false" customHeight="true" outlineLevel="0" collapsed="false">
      <c r="A30" s="81" t="n">
        <f aca="false">+A29+1</f>
        <v>19</v>
      </c>
      <c r="B30" s="114" t="str">
        <f aca="false">J30</f>
        <v/>
      </c>
      <c r="C30" s="115" t="str">
        <f aca="false">IF(H30="","",H30)</f>
        <v/>
      </c>
      <c r="D30" s="116" t="str">
        <f aca="false">IF(B30="","",(IF('conversion datos'!$L$30='Patrones LACOMET'!$D$3,(VLOOKUP(B30,'BLOQUES PATRON (pulg) '!$D$5:$H$87,3,TRUE())),IF('conversion datos'!$L$30='Patrones LACOMET'!$D$4,((VLOOKUP(CALIBRACION!B30,'BLOQUES PATRON (mm)'!$D$5:$H$126,3,FALSE()))/1000),"No existe el patrón"))))</f>
        <v/>
      </c>
      <c r="E30" s="117" t="str">
        <f aca="false">IF(B30="","",(B30+D30))</f>
        <v/>
      </c>
      <c r="F30" s="118" t="str">
        <f aca="false">IF(B30="","",(IF('conversion datos'!$L$30='Patrones LACOMET'!$D$3,(VLOOKUP(B30,'BLOQUES PATRON (pulg) '!$D$5:$H$86,5,FALSE())),IF('conversion datos'!$L$30='Patrones LACOMET'!$D$4,((VLOOKUP(CALIBRACION!B30,'BLOQUES PATRON (mm)'!$D$5:$H$126,4,FALSE()))/1000000),"No existe el patrón"))))</f>
        <v/>
      </c>
      <c r="G30" s="118" t="str">
        <f aca="false">IF(D30="","",(IF('conversion datos'!$L$30='Patrones LACOMET'!$D$3,(D30*25.4),IF('conversion datos'!$L$30='Patrones LACOMET'!$D$4,D30,"No existe el patrón"))))</f>
        <v/>
      </c>
      <c r="H30" s="119" t="str">
        <f aca="false">IF(J30="","",(IF('conversion datos'!$L$30='Patrones LACOMET'!$D$3,(CALIBRACION!J30*25.4),IF('conversion datos'!$L$30='Patrones LACOMET'!$D$4,(CALIBRACION!J30),"No existe el patrón"))))</f>
        <v/>
      </c>
      <c r="I30" s="120" t="e">
        <f aca="false">IF('conversion datos'!B20="","",'conversion datos'!B20)</f>
        <v>#VALUE!</v>
      </c>
      <c r="J30" s="121" t="str">
        <f aca="false">IF('conversion datos'!C20="","",'conversion datos'!C20)</f>
        <v/>
      </c>
      <c r="K30" s="152"/>
      <c r="L30" s="151"/>
      <c r="M30" s="151"/>
      <c r="N30" s="141"/>
      <c r="O30" s="123" t="str">
        <f aca="false">IF('conversion datos'!F20="","",'conversion datos'!F20)</f>
        <v/>
      </c>
      <c r="P30" s="124" t="str">
        <f aca="false">IF($H30="","",+O30/1000)</f>
        <v/>
      </c>
      <c r="Q30" s="124" t="str">
        <f aca="false">IF($H30="","",(IF('conversion datos'!$L$30='Patrones LACOMET'!$D$3,P30*0.0254,IF('conversion datos'!$L$30='Patrones LACOMET'!$D$4,P30,"No existe el patrón"))))</f>
        <v/>
      </c>
      <c r="R30" s="124" t="str">
        <f aca="false">IF($H30="","",(IF('conversion datos'!$L$30='Patrones LACOMET'!$D$3,E30*25.4,IF('conversion datos'!$L$30='Patrones LACOMET'!$D$4,E30,"No existe el patrón"))))</f>
        <v/>
      </c>
      <c r="S30" s="124" t="str">
        <f aca="false">+IF($H30="","",((INCERTIDUMBRE!$M$8)/1000)/25.4)</f>
        <v/>
      </c>
      <c r="T30" s="124" t="str">
        <f aca="false">IF($H30="","",(+H30+Q30+S30))</f>
        <v/>
      </c>
      <c r="U30" s="125" t="str">
        <f aca="false">IF($H30="","",(T30/25.4))</f>
        <v/>
      </c>
      <c r="V30" s="97"/>
      <c r="W30" s="142" t="e">
        <f aca="false">IF('Datos de condiciones'!D22="","",'Datos de condiciones'!D22)</f>
        <v>#VALUE!</v>
      </c>
      <c r="X30" s="143" t="str">
        <f aca="false">+IF($H30="","",(W30-20))</f>
        <v/>
      </c>
      <c r="Y30" s="144" t="e">
        <f aca="false">IF('Datos de condiciones'!E22="","",'Datos de condiciones'!E22)</f>
        <v>#VALUE!</v>
      </c>
      <c r="Z30" s="145" t="str">
        <f aca="false">+IF($H30="","",Y30-20)</f>
        <v/>
      </c>
      <c r="AA30" s="146" t="str">
        <f aca="false">+IF($H30="","",ABS(X30-Z30))</f>
        <v/>
      </c>
      <c r="AB30" s="131"/>
      <c r="AC30" s="147" t="n">
        <f aca="false">+AC29+1</f>
        <v>19</v>
      </c>
      <c r="AD30" s="148" t="str">
        <f aca="false">+IF($H30="","",W30)</f>
        <v/>
      </c>
      <c r="AE30" s="145" t="str">
        <f aca="false">+IF($H30="","",Y30)</f>
        <v/>
      </c>
      <c r="AF30" s="146" t="str">
        <f aca="false">+IF($H30="","",+(ABS(AD30-AE30)))</f>
        <v/>
      </c>
      <c r="AG30" s="149" t="e">
        <f aca="false">IF('Datos de condiciones'!F22="","",'Datos de condiciones'!F22)</f>
        <v>#VALUE!</v>
      </c>
      <c r="AH30" s="135"/>
      <c r="AI30" s="147" t="n">
        <f aca="false">+AI29+1</f>
        <v>19</v>
      </c>
      <c r="AJ30" s="140"/>
      <c r="AK30" s="123" t="e">
        <f aca="false">IF('Datos de condiciones'!G22="","",'Datos de condiciones'!G22)</f>
        <v>#VALUE!</v>
      </c>
      <c r="AL30" s="150"/>
    </row>
    <row r="31" customFormat="false" ht="16.5" hidden="false" customHeight="false" outlineLevel="0" collapsed="false">
      <c r="A31" s="81" t="n">
        <f aca="false">+A30+1</f>
        <v>20</v>
      </c>
      <c r="B31" s="114" t="str">
        <f aca="false">J31</f>
        <v/>
      </c>
      <c r="C31" s="115" t="str">
        <f aca="false">IF(H31="","",H31)</f>
        <v/>
      </c>
      <c r="D31" s="116" t="str">
        <f aca="false">IF(B31="","",(IF('conversion datos'!$L$30='Patrones LACOMET'!$D$3,(VLOOKUP(B31,'BLOQUES PATRON (pulg) '!$D$5:$H$87,3,TRUE())),IF('conversion datos'!$L$30='Patrones LACOMET'!$D$4,((VLOOKUP(CALIBRACION!B31,'BLOQUES PATRON (mm)'!$D$5:$H$126,3,FALSE()))/1000),"No existe el patrón"))))</f>
        <v/>
      </c>
      <c r="E31" s="117" t="str">
        <f aca="false">IF(B31="","",(B31+D31))</f>
        <v/>
      </c>
      <c r="F31" s="118" t="str">
        <f aca="false">IF(B31="","",(IF('conversion datos'!$L$30='Patrones LACOMET'!$D$3,(VLOOKUP(B31,'BLOQUES PATRON (pulg) '!$D$5:$H$86,5,FALSE())),IF('conversion datos'!$L$30='Patrones LACOMET'!$D$4,((VLOOKUP(CALIBRACION!B31,'BLOQUES PATRON (mm)'!$D$5:$H$126,4,FALSE()))/1000000),"No existe el patrón"))))</f>
        <v/>
      </c>
      <c r="G31" s="118" t="str">
        <f aca="false">IF(D31="","",(IF('conversion datos'!$L$30='Patrones LACOMET'!$D$3,(D31*25.4),IF('conversion datos'!$L$30='Patrones LACOMET'!$D$4,D31,"No existe el patrón"))))</f>
        <v/>
      </c>
      <c r="H31" s="119" t="str">
        <f aca="false">IF(J31="","",(IF('conversion datos'!$L$30='Patrones LACOMET'!$D$3,(CALIBRACION!J31*25.4),IF('conversion datos'!$L$30='Patrones LACOMET'!$D$4,(CALIBRACION!J31),"No existe el patrón"))))</f>
        <v/>
      </c>
      <c r="I31" s="120" t="e">
        <f aca="false">IF('conversion datos'!B21="","",'conversion datos'!B21)</f>
        <v>#VALUE!</v>
      </c>
      <c r="J31" s="121" t="str">
        <f aca="false">IF('conversion datos'!C21="","",'conversion datos'!C21)</f>
        <v/>
      </c>
      <c r="K31" s="152"/>
      <c r="L31" s="151"/>
      <c r="M31" s="151"/>
      <c r="N31" s="141"/>
      <c r="O31" s="123" t="str">
        <f aca="false">IF('conversion datos'!F21="","",'conversion datos'!F21)</f>
        <v/>
      </c>
      <c r="P31" s="124" t="str">
        <f aca="false">IF($H31="","",+O31/1000)</f>
        <v/>
      </c>
      <c r="Q31" s="124" t="str">
        <f aca="false">IF($H31="","",(IF('conversion datos'!$L$30='Patrones LACOMET'!$D$3,P31*0.0254,IF('conversion datos'!$L$30='Patrones LACOMET'!$D$4,P31,"No existe el patrón"))))</f>
        <v/>
      </c>
      <c r="R31" s="124" t="str">
        <f aca="false">IF($H31="","",(IF('conversion datos'!$L$30='Patrones LACOMET'!$D$3,E31*25.4,IF('conversion datos'!$L$30='Patrones LACOMET'!$D$4,E31,"No existe el patrón"))))</f>
        <v/>
      </c>
      <c r="S31" s="124" t="str">
        <f aca="false">+IF($H31="","",((INCERTIDUMBRE!$M$8)/1000)/25.4)</f>
        <v/>
      </c>
      <c r="T31" s="124" t="str">
        <f aca="false">IF($H31="","",(+H31+Q31+S31))</f>
        <v/>
      </c>
      <c r="U31" s="125" t="str">
        <f aca="false">IF($H31="","",(T31/25.4))</f>
        <v/>
      </c>
      <c r="V31" s="97"/>
      <c r="W31" s="142" t="e">
        <f aca="false">IF('Datos de condiciones'!D23="","",'Datos de condiciones'!D23)</f>
        <v>#VALUE!</v>
      </c>
      <c r="X31" s="143" t="str">
        <f aca="false">+IF($H31="","",(W31-20))</f>
        <v/>
      </c>
      <c r="Y31" s="144" t="e">
        <f aca="false">IF('Datos de condiciones'!E23="","",'Datos de condiciones'!E23)</f>
        <v>#VALUE!</v>
      </c>
      <c r="Z31" s="145" t="str">
        <f aca="false">+IF($H31="","",Y31-20)</f>
        <v/>
      </c>
      <c r="AA31" s="146" t="str">
        <f aca="false">+IF($H31="","",ABS(X31-Z31))</f>
        <v/>
      </c>
      <c r="AB31" s="131"/>
      <c r="AC31" s="147" t="n">
        <f aca="false">+AC30+1</f>
        <v>20</v>
      </c>
      <c r="AD31" s="148" t="str">
        <f aca="false">+IF($H31="","",W31)</f>
        <v/>
      </c>
      <c r="AE31" s="145" t="str">
        <f aca="false">+IF($H31="","",Y31)</f>
        <v/>
      </c>
      <c r="AF31" s="146" t="str">
        <f aca="false">+IF($H31="","",+(ABS(AD31-AE31)))</f>
        <v/>
      </c>
      <c r="AG31" s="149" t="e">
        <f aca="false">IF('Datos de condiciones'!F23="","",'Datos de condiciones'!F23)</f>
        <v>#VALUE!</v>
      </c>
      <c r="AH31" s="135"/>
      <c r="AI31" s="147" t="n">
        <f aca="false">+AI30+1</f>
        <v>20</v>
      </c>
      <c r="AJ31" s="140"/>
      <c r="AK31" s="123" t="e">
        <f aca="false">IF('Datos de condiciones'!G23="","",'Datos de condiciones'!G23)</f>
        <v>#VALUE!</v>
      </c>
      <c r="AL31" s="150"/>
    </row>
    <row r="32" customFormat="false" ht="15" hidden="false" customHeight="true" outlineLevel="0" collapsed="false">
      <c r="A32" s="81" t="n">
        <f aca="false">+A31+1</f>
        <v>21</v>
      </c>
      <c r="B32" s="114" t="str">
        <f aca="false">J32</f>
        <v/>
      </c>
      <c r="C32" s="115" t="str">
        <f aca="false">IF(H32="","",H32)</f>
        <v/>
      </c>
      <c r="D32" s="116" t="str">
        <f aca="false">IF(B32="","",(IF('conversion datos'!$L$30='Patrones LACOMET'!$D$3,(VLOOKUP(B32,'BLOQUES PATRON (pulg) '!$D$5:$H$87,3,TRUE())),IF('conversion datos'!$L$30='Patrones LACOMET'!$D$4,((VLOOKUP(CALIBRACION!B32,'BLOQUES PATRON (mm)'!$D$5:$H$126,3,FALSE()))/1000),"No existe el patrón"))))</f>
        <v/>
      </c>
      <c r="E32" s="117" t="str">
        <f aca="false">IF(B32="","",(B32+D32))</f>
        <v/>
      </c>
      <c r="F32" s="118" t="str">
        <f aca="false">IF(B32="","",(IF('conversion datos'!$L$30='Patrones LACOMET'!$D$3,(VLOOKUP(B32,'BLOQUES PATRON (pulg) '!$D$5:$H$86,5,FALSE())),IF('conversion datos'!$L$30='Patrones LACOMET'!$D$4,((VLOOKUP(CALIBRACION!B32,'BLOQUES PATRON (mm)'!$D$5:$H$126,4,FALSE()))/1000000),"No existe el patrón"))))</f>
        <v/>
      </c>
      <c r="G32" s="118" t="str">
        <f aca="false">IF(D32="","",(IF('conversion datos'!$L$30='Patrones LACOMET'!$D$3,(D32*25.4),IF('conversion datos'!$L$30='Patrones LACOMET'!$D$4,D32,"No existe el patrón"))))</f>
        <v/>
      </c>
      <c r="H32" s="119" t="str">
        <f aca="false">IF(J32="","",(IF('conversion datos'!$L$30='Patrones LACOMET'!$D$3,(CALIBRACION!J32*25.4),IF('conversion datos'!$L$30='Patrones LACOMET'!$D$4,(CALIBRACION!J32),"No existe el patrón"))))</f>
        <v/>
      </c>
      <c r="I32" s="120" t="e">
        <f aca="false">IF('conversion datos'!B22="","",'conversion datos'!B22)</f>
        <v>#VALUE!</v>
      </c>
      <c r="J32" s="121" t="str">
        <f aca="false">IF('conversion datos'!C22="","",'conversion datos'!C22)</f>
        <v/>
      </c>
      <c r="K32" s="152"/>
      <c r="L32" s="151"/>
      <c r="M32" s="151"/>
      <c r="N32" s="141"/>
      <c r="O32" s="123" t="str">
        <f aca="false">IF('conversion datos'!F22="","",'conversion datos'!F22)</f>
        <v/>
      </c>
      <c r="P32" s="124" t="str">
        <f aca="false">IF($H32="","",+O32/1000)</f>
        <v/>
      </c>
      <c r="Q32" s="124" t="str">
        <f aca="false">IF($H32="","",(IF('conversion datos'!$L$30='Patrones LACOMET'!$D$3,P32*0.0254,IF('conversion datos'!$L$30='Patrones LACOMET'!$D$4,P32,"No existe el patrón"))))</f>
        <v/>
      </c>
      <c r="R32" s="124" t="str">
        <f aca="false">IF($H32="","",(IF('conversion datos'!$L$30='Patrones LACOMET'!$D$3,E32*25.4,IF('conversion datos'!$L$30='Patrones LACOMET'!$D$4,E32,"No existe el patrón"))))</f>
        <v/>
      </c>
      <c r="S32" s="124" t="str">
        <f aca="false">+IF($H32="","",((INCERTIDUMBRE!$M$8)/1000)/25.4)</f>
        <v/>
      </c>
      <c r="T32" s="124" t="str">
        <f aca="false">IF($H32="","",(+H32+Q32+S32))</f>
        <v/>
      </c>
      <c r="U32" s="125" t="str">
        <f aca="false">IF($H32="","",(T32/25.4))</f>
        <v/>
      </c>
      <c r="V32" s="97"/>
      <c r="W32" s="142" t="e">
        <f aca="false">IF('Datos de condiciones'!D24="","",'Datos de condiciones'!D24)</f>
        <v>#VALUE!</v>
      </c>
      <c r="X32" s="143" t="str">
        <f aca="false">+IF($H32="","",(W32-20))</f>
        <v/>
      </c>
      <c r="Y32" s="144" t="e">
        <f aca="false">IF('Datos de condiciones'!E24="","",'Datos de condiciones'!E24)</f>
        <v>#VALUE!</v>
      </c>
      <c r="Z32" s="145" t="str">
        <f aca="false">+IF($H32="","",Y32-20)</f>
        <v/>
      </c>
      <c r="AA32" s="146" t="str">
        <f aca="false">+IF($H32="","",ABS(X32-Z32))</f>
        <v/>
      </c>
      <c r="AB32" s="131"/>
      <c r="AC32" s="147" t="n">
        <f aca="false">+AC31+1</f>
        <v>21</v>
      </c>
      <c r="AD32" s="148" t="str">
        <f aca="false">+IF($H32="","",W32)</f>
        <v/>
      </c>
      <c r="AE32" s="145" t="str">
        <f aca="false">+IF($H32="","",Y32)</f>
        <v/>
      </c>
      <c r="AF32" s="146" t="str">
        <f aca="false">+IF($H32="","",+(ABS(AD32-AE32)))</f>
        <v/>
      </c>
      <c r="AG32" s="149" t="e">
        <f aca="false">IF('Datos de condiciones'!F24="","",'Datos de condiciones'!F24)</f>
        <v>#VALUE!</v>
      </c>
      <c r="AH32" s="135"/>
      <c r="AI32" s="147" t="n">
        <f aca="false">+AI31+1</f>
        <v>21</v>
      </c>
      <c r="AJ32" s="140"/>
      <c r="AK32" s="123" t="e">
        <f aca="false">IF('Datos de condiciones'!G24="","",'Datos de condiciones'!G24)</f>
        <v>#VALUE!</v>
      </c>
      <c r="AL32" s="150"/>
    </row>
    <row r="33" customFormat="false" ht="15.75" hidden="false" customHeight="true" outlineLevel="0" collapsed="false">
      <c r="A33" s="81" t="n">
        <f aca="false">+A32+1</f>
        <v>22</v>
      </c>
      <c r="B33" s="114" t="str">
        <f aca="false">J33</f>
        <v/>
      </c>
      <c r="C33" s="115" t="str">
        <f aca="false">IF(H33="","",H33)</f>
        <v/>
      </c>
      <c r="D33" s="116" t="str">
        <f aca="false">IF(B33="","",(IF('conversion datos'!$L$30='Patrones LACOMET'!$D$3,(VLOOKUP(B33,'BLOQUES PATRON (pulg) '!$D$5:$H$87,3,TRUE())),IF('conversion datos'!$L$30='Patrones LACOMET'!$D$4,((VLOOKUP(CALIBRACION!B33,'BLOQUES PATRON (mm)'!$D$5:$H$126,3,FALSE()))/1000),"No existe el patrón"))))</f>
        <v/>
      </c>
      <c r="E33" s="117" t="str">
        <f aca="false">IF(B33="","",(B33+D33))</f>
        <v/>
      </c>
      <c r="F33" s="118" t="str">
        <f aca="false">IF(B33="","",(IF('conversion datos'!$L$30='Patrones LACOMET'!$D$3,(VLOOKUP(B33,'BLOQUES PATRON (pulg) '!$D$5:$H$86,5,FALSE())),IF('conversion datos'!$L$30='Patrones LACOMET'!$D$4,((VLOOKUP(CALIBRACION!B33,'BLOQUES PATRON (mm)'!$D$5:$H$126,4,FALSE()))/1000000),"No existe el patrón"))))</f>
        <v/>
      </c>
      <c r="G33" s="118" t="str">
        <f aca="false">IF(D33="","",(IF('conversion datos'!$L$30='Patrones LACOMET'!$D$3,(D33*25.4),IF('conversion datos'!$L$30='Patrones LACOMET'!$D$4,D33,"No existe el patrón"))))</f>
        <v/>
      </c>
      <c r="H33" s="119" t="str">
        <f aca="false">IF(J33="","",(IF('conversion datos'!$L$30='Patrones LACOMET'!$D$3,(CALIBRACION!J33*25.4),IF('conversion datos'!$L$30='Patrones LACOMET'!$D$4,(CALIBRACION!J33),"No existe el patrón"))))</f>
        <v/>
      </c>
      <c r="I33" s="120" t="e">
        <f aca="false">IF('conversion datos'!B23="","",'conversion datos'!B23)</f>
        <v>#VALUE!</v>
      </c>
      <c r="J33" s="121" t="str">
        <f aca="false">IF('conversion datos'!C23="","",'conversion datos'!C23)</f>
        <v/>
      </c>
      <c r="K33" s="152"/>
      <c r="L33" s="151"/>
      <c r="M33" s="151"/>
      <c r="N33" s="141"/>
      <c r="O33" s="123" t="str">
        <f aca="false">IF('conversion datos'!F23="","",'conversion datos'!F23)</f>
        <v/>
      </c>
      <c r="P33" s="124" t="str">
        <f aca="false">IF($H33="","",+O33/1000)</f>
        <v/>
      </c>
      <c r="Q33" s="124" t="str">
        <f aca="false">IF($H33="","",(IF('conversion datos'!$L$30='Patrones LACOMET'!$D$3,P33*0.0254,IF('conversion datos'!$L$30='Patrones LACOMET'!$D$4,P33,"No existe el patrón"))))</f>
        <v/>
      </c>
      <c r="R33" s="124" t="str">
        <f aca="false">IF($H33="","",(IF('conversion datos'!$L$30='Patrones LACOMET'!$D$3,E33*25.4,IF('conversion datos'!$L$30='Patrones LACOMET'!$D$4,E33,"No existe el patrón"))))</f>
        <v/>
      </c>
      <c r="S33" s="124" t="str">
        <f aca="false">+IF($H33="","",((INCERTIDUMBRE!$M$8)/1000)/25.4)</f>
        <v/>
      </c>
      <c r="T33" s="124" t="str">
        <f aca="false">IF($H33="","",(+H33+Q33+S33))</f>
        <v/>
      </c>
      <c r="U33" s="125" t="str">
        <f aca="false">IF($H33="","",(T33/25.4))</f>
        <v/>
      </c>
      <c r="V33" s="97"/>
      <c r="W33" s="142" t="e">
        <f aca="false">IF('Datos de condiciones'!D25="","",'Datos de condiciones'!D25)</f>
        <v>#VALUE!</v>
      </c>
      <c r="X33" s="143" t="str">
        <f aca="false">+IF($H33="","",(W33-20))</f>
        <v/>
      </c>
      <c r="Y33" s="144" t="e">
        <f aca="false">IF('Datos de condiciones'!E25="","",'Datos de condiciones'!E25)</f>
        <v>#VALUE!</v>
      </c>
      <c r="Z33" s="145" t="str">
        <f aca="false">+IF($H33="","",Y33-20)</f>
        <v/>
      </c>
      <c r="AA33" s="146" t="str">
        <f aca="false">+IF($H33="","",ABS(X33-Z33))</f>
        <v/>
      </c>
      <c r="AB33" s="131"/>
      <c r="AC33" s="147" t="n">
        <f aca="false">+AC32+1</f>
        <v>22</v>
      </c>
      <c r="AD33" s="148" t="str">
        <f aca="false">+IF($H33="","",W33)</f>
        <v/>
      </c>
      <c r="AE33" s="145" t="str">
        <f aca="false">+IF($H33="","",Y33)</f>
        <v/>
      </c>
      <c r="AF33" s="146" t="str">
        <f aca="false">+IF($H33="","",+(ABS(AD33-AE33)))</f>
        <v/>
      </c>
      <c r="AG33" s="149" t="e">
        <f aca="false">IF('Datos de condiciones'!F25="","",'Datos de condiciones'!F25)</f>
        <v>#VALUE!</v>
      </c>
      <c r="AH33" s="135"/>
      <c r="AI33" s="147" t="n">
        <f aca="false">+AI32+1</f>
        <v>22</v>
      </c>
      <c r="AJ33" s="140"/>
      <c r="AK33" s="123" t="e">
        <f aca="false">IF('Datos de condiciones'!G25="","",'Datos de condiciones'!G25)</f>
        <v>#VALUE!</v>
      </c>
      <c r="AL33" s="150"/>
    </row>
    <row r="34" customFormat="false" ht="15.75" hidden="false" customHeight="true" outlineLevel="0" collapsed="false">
      <c r="A34" s="81" t="n">
        <f aca="false">+A33+1</f>
        <v>23</v>
      </c>
      <c r="B34" s="114" t="str">
        <f aca="false">J34</f>
        <v/>
      </c>
      <c r="C34" s="115" t="str">
        <f aca="false">IF(H34="","",H34)</f>
        <v/>
      </c>
      <c r="D34" s="116" t="str">
        <f aca="false">IF(B34="","",(IF('conversion datos'!$L$30='Patrones LACOMET'!$D$3,(VLOOKUP(B34,'BLOQUES PATRON (pulg) '!$D$5:$H$87,3,TRUE())),IF('conversion datos'!$L$30='Patrones LACOMET'!$D$4,((VLOOKUP(CALIBRACION!B34,'BLOQUES PATRON (mm)'!$D$5:$H$126,3,FALSE()))/1000),"No existe el patrón"))))</f>
        <v/>
      </c>
      <c r="E34" s="117" t="str">
        <f aca="false">IF(B34="","",(B34+D34))</f>
        <v/>
      </c>
      <c r="F34" s="118" t="str">
        <f aca="false">IF(B34="","",(IF('conversion datos'!$L$30='Patrones LACOMET'!$D$3,(VLOOKUP(B34,'BLOQUES PATRON (pulg) '!$D$5:$H$86,5,FALSE())),IF('conversion datos'!$L$30='Patrones LACOMET'!$D$4,((VLOOKUP(CALIBRACION!B34,'BLOQUES PATRON (mm)'!$D$5:$H$126,4,FALSE()))/1000000),"No existe el patrón"))))</f>
        <v/>
      </c>
      <c r="G34" s="118" t="str">
        <f aca="false">IF(D34="","",(IF('conversion datos'!$L$30='Patrones LACOMET'!$D$3,(D34*25.4),IF('conversion datos'!$L$30='Patrones LACOMET'!$D$4,D34,"No existe el patrón"))))</f>
        <v/>
      </c>
      <c r="H34" s="119" t="str">
        <f aca="false">IF(J34="","",(IF('conversion datos'!$L$30='Patrones LACOMET'!$D$3,(CALIBRACION!J34*25.4),IF('conversion datos'!$L$30='Patrones LACOMET'!$D$4,(CALIBRACION!J34),"No existe el patrón"))))</f>
        <v/>
      </c>
      <c r="I34" s="120" t="e">
        <f aca="false">IF('conversion datos'!B24="","",'conversion datos'!B24)</f>
        <v>#VALUE!</v>
      </c>
      <c r="J34" s="121" t="str">
        <f aca="false">IF('conversion datos'!C24="","",'conversion datos'!C24)</f>
        <v/>
      </c>
      <c r="K34" s="152"/>
      <c r="L34" s="151"/>
      <c r="M34" s="151"/>
      <c r="N34" s="141"/>
      <c r="O34" s="123" t="str">
        <f aca="false">IF('conversion datos'!F24="","",'conversion datos'!F24)</f>
        <v/>
      </c>
      <c r="P34" s="124" t="str">
        <f aca="false">IF($H34="","",+O34/1000)</f>
        <v/>
      </c>
      <c r="Q34" s="124" t="str">
        <f aca="false">IF($H34="","",(IF('conversion datos'!$L$30='Patrones LACOMET'!$D$3,P34*0.0254,IF('conversion datos'!$L$30='Patrones LACOMET'!$D$4,P34,"No existe el patrón"))))</f>
        <v/>
      </c>
      <c r="R34" s="124" t="str">
        <f aca="false">IF($H34="","",(IF('conversion datos'!$L$30='Patrones LACOMET'!$D$3,E34*25.4,IF('conversion datos'!$L$30='Patrones LACOMET'!$D$4,E34,"No existe el patrón"))))</f>
        <v/>
      </c>
      <c r="S34" s="124" t="str">
        <f aca="false">+IF($H34="","",((INCERTIDUMBRE!$M$8)/1000)/25.4)</f>
        <v/>
      </c>
      <c r="T34" s="124" t="str">
        <f aca="false">IF($H34="","",(+H34+Q34+S34))</f>
        <v/>
      </c>
      <c r="U34" s="125" t="str">
        <f aca="false">IF($H34="","",(T34/25.4))</f>
        <v/>
      </c>
      <c r="V34" s="97"/>
      <c r="W34" s="142" t="e">
        <f aca="false">IF('Datos de condiciones'!D26="","",'Datos de condiciones'!D26)</f>
        <v>#VALUE!</v>
      </c>
      <c r="X34" s="143" t="str">
        <f aca="false">+IF($H34="","",(W34-20))</f>
        <v/>
      </c>
      <c r="Y34" s="144" t="e">
        <f aca="false">IF('Datos de condiciones'!E26="","",'Datos de condiciones'!E26)</f>
        <v>#VALUE!</v>
      </c>
      <c r="Z34" s="145" t="str">
        <f aca="false">+IF($H34="","",Y34-20)</f>
        <v/>
      </c>
      <c r="AA34" s="146" t="str">
        <f aca="false">+IF($H34="","",ABS(X34-Z34))</f>
        <v/>
      </c>
      <c r="AB34" s="131"/>
      <c r="AC34" s="147" t="n">
        <f aca="false">+AC33+1</f>
        <v>23</v>
      </c>
      <c r="AD34" s="148" t="str">
        <f aca="false">+IF($H34="","",W34)</f>
        <v/>
      </c>
      <c r="AE34" s="145" t="str">
        <f aca="false">+IF($H34="","",Y34)</f>
        <v/>
      </c>
      <c r="AF34" s="146" t="str">
        <f aca="false">+IF($H34="","",+(ABS(AD34-AE34)))</f>
        <v/>
      </c>
      <c r="AG34" s="149" t="e">
        <f aca="false">IF('Datos de condiciones'!F26="","",'Datos de condiciones'!F26)</f>
        <v>#VALUE!</v>
      </c>
      <c r="AH34" s="135"/>
      <c r="AI34" s="147" t="n">
        <f aca="false">+AI33+1</f>
        <v>23</v>
      </c>
      <c r="AJ34" s="140"/>
      <c r="AK34" s="123" t="e">
        <f aca="false">IF('Datos de condiciones'!G26="","",'Datos de condiciones'!G26)</f>
        <v>#VALUE!</v>
      </c>
      <c r="AL34" s="150"/>
    </row>
    <row r="35" customFormat="false" ht="15" hidden="false" customHeight="true" outlineLevel="0" collapsed="false">
      <c r="A35" s="81" t="n">
        <f aca="false">+A34+1</f>
        <v>24</v>
      </c>
      <c r="B35" s="114" t="str">
        <f aca="false">J35</f>
        <v/>
      </c>
      <c r="C35" s="115" t="str">
        <f aca="false">IF(H35="","",H35)</f>
        <v/>
      </c>
      <c r="D35" s="116" t="str">
        <f aca="false">IF(B35="","",(IF('conversion datos'!$L$30='Patrones LACOMET'!$D$3,(VLOOKUP(B35,'BLOQUES PATRON (pulg) '!$D$5:$H$87,3,TRUE())),IF('conversion datos'!$L$30='Patrones LACOMET'!$D$4,((VLOOKUP(CALIBRACION!B35,'BLOQUES PATRON (mm)'!$D$5:$H$126,3,FALSE()))/1000),"No existe el patrón"))))</f>
        <v/>
      </c>
      <c r="E35" s="117" t="str">
        <f aca="false">IF(B35="","",(B35+D35))</f>
        <v/>
      </c>
      <c r="F35" s="118" t="str">
        <f aca="false">IF(B35="","",(IF('conversion datos'!$L$30='Patrones LACOMET'!$D$3,(VLOOKUP(B35,'BLOQUES PATRON (pulg) '!$D$5:$H$86,5,FALSE())),IF('conversion datos'!$L$30='Patrones LACOMET'!$D$4,((VLOOKUP(CALIBRACION!B35,'BLOQUES PATRON (mm)'!$D$5:$H$126,4,FALSE()))/1000000),"No existe el patrón"))))</f>
        <v/>
      </c>
      <c r="G35" s="118" t="str">
        <f aca="false">IF(D35="","",(IF('conversion datos'!$L$30='Patrones LACOMET'!$D$3,(D35*25.4),IF('conversion datos'!$L$30='Patrones LACOMET'!$D$4,D35,"No existe el patrón"))))</f>
        <v/>
      </c>
      <c r="H35" s="119" t="str">
        <f aca="false">IF(J35="","",(IF('conversion datos'!$L$30='Patrones LACOMET'!$D$3,(CALIBRACION!J35*25.4),IF('conversion datos'!$L$30='Patrones LACOMET'!$D$4,(CALIBRACION!J35),"No existe el patrón"))))</f>
        <v/>
      </c>
      <c r="I35" s="120" t="e">
        <f aca="false">IF('conversion datos'!B25="","",'conversion datos'!B25)</f>
        <v>#VALUE!</v>
      </c>
      <c r="J35" s="121" t="str">
        <f aca="false">IF('conversion datos'!C25="","",'conversion datos'!C25)</f>
        <v/>
      </c>
      <c r="K35" s="152"/>
      <c r="L35" s="151"/>
      <c r="M35" s="151"/>
      <c r="N35" s="141"/>
      <c r="O35" s="123" t="str">
        <f aca="false">IF('conversion datos'!F25="","",'conversion datos'!F25)</f>
        <v/>
      </c>
      <c r="P35" s="124" t="str">
        <f aca="false">IF($H35="","",+O35/1000)</f>
        <v/>
      </c>
      <c r="Q35" s="124" t="str">
        <f aca="false">IF($H35="","",(IF('conversion datos'!$L$30='Patrones LACOMET'!$D$3,P35*0.0254,IF('conversion datos'!$L$30='Patrones LACOMET'!$D$4,P35,"No existe el patrón"))))</f>
        <v/>
      </c>
      <c r="R35" s="124" t="str">
        <f aca="false">IF($H35="","",(IF('conversion datos'!$L$30='Patrones LACOMET'!$D$3,E35*25.4,IF('conversion datos'!$L$30='Patrones LACOMET'!$D$4,E35,"No existe el patrón"))))</f>
        <v/>
      </c>
      <c r="S35" s="124" t="str">
        <f aca="false">+IF($H35="","",((INCERTIDUMBRE!$M$8)/1000)/25.4)</f>
        <v/>
      </c>
      <c r="T35" s="124" t="str">
        <f aca="false">IF($H35="","",(+H35+Q35+S35))</f>
        <v/>
      </c>
      <c r="U35" s="125" t="str">
        <f aca="false">IF($H35="","",(T35/25.4))</f>
        <v/>
      </c>
      <c r="V35" s="97"/>
      <c r="W35" s="142" t="e">
        <f aca="false">IF('Datos de condiciones'!D27="","",'Datos de condiciones'!D27)</f>
        <v>#VALUE!</v>
      </c>
      <c r="X35" s="143" t="str">
        <f aca="false">+IF($H35="","",(W35-20))</f>
        <v/>
      </c>
      <c r="Y35" s="144" t="e">
        <f aca="false">IF('Datos de condiciones'!E27="","",'Datos de condiciones'!E27)</f>
        <v>#VALUE!</v>
      </c>
      <c r="Z35" s="145" t="str">
        <f aca="false">+IF($H35="","",Y35-20)</f>
        <v/>
      </c>
      <c r="AA35" s="146" t="str">
        <f aca="false">+IF($H35="","",ABS(X35-Z35))</f>
        <v/>
      </c>
      <c r="AB35" s="131"/>
      <c r="AC35" s="147" t="n">
        <f aca="false">+AC34+1</f>
        <v>24</v>
      </c>
      <c r="AD35" s="148" t="str">
        <f aca="false">+IF($H35="","",W35)</f>
        <v/>
      </c>
      <c r="AE35" s="145" t="str">
        <f aca="false">+IF($H35="","",Y35)</f>
        <v/>
      </c>
      <c r="AF35" s="146" t="str">
        <f aca="false">+IF($H35="","",+(ABS(AD35-AE35)))</f>
        <v/>
      </c>
      <c r="AG35" s="149" t="e">
        <f aca="false">IF('Datos de condiciones'!F27="","",'Datos de condiciones'!F27)</f>
        <v>#VALUE!</v>
      </c>
      <c r="AH35" s="135"/>
      <c r="AI35" s="147" t="n">
        <f aca="false">+AI34+1</f>
        <v>24</v>
      </c>
      <c r="AJ35" s="140"/>
      <c r="AK35" s="123" t="e">
        <f aca="false">IF('Datos de condiciones'!G27="","",'Datos de condiciones'!G27)</f>
        <v>#VALUE!</v>
      </c>
      <c r="AL35" s="150"/>
    </row>
    <row r="36" customFormat="false" ht="15.75" hidden="false" customHeight="true" outlineLevel="0" collapsed="false">
      <c r="A36" s="81" t="n">
        <f aca="false">+A35+1</f>
        <v>25</v>
      </c>
      <c r="B36" s="114" t="str">
        <f aca="false">J36</f>
        <v/>
      </c>
      <c r="C36" s="115" t="str">
        <f aca="false">IF(H36="","",H36)</f>
        <v/>
      </c>
      <c r="D36" s="116" t="str">
        <f aca="false">IF(B36="","",(IF('conversion datos'!$L$30='Patrones LACOMET'!$D$3,(VLOOKUP(B36,'BLOQUES PATRON (pulg) '!$D$5:$H$87,3,TRUE())),IF('conversion datos'!$L$30='Patrones LACOMET'!$D$4,((VLOOKUP(CALIBRACION!B36,'BLOQUES PATRON (mm)'!$D$5:$H$126,3,FALSE()))/1000),"No existe el patrón"))))</f>
        <v/>
      </c>
      <c r="E36" s="117" t="str">
        <f aca="false">IF(B36="","",(B36+D36))</f>
        <v/>
      </c>
      <c r="F36" s="118" t="str">
        <f aca="false">IF(B36="","",(IF('conversion datos'!$L$30='Patrones LACOMET'!$D$3,(VLOOKUP(B36,'BLOQUES PATRON (pulg) '!$D$5:$H$86,5,FALSE())),IF('conversion datos'!$L$30='Patrones LACOMET'!$D$4,((VLOOKUP(CALIBRACION!B36,'BLOQUES PATRON (mm)'!$D$5:$H$126,4,FALSE()))/1000000),"No existe el patrón"))))</f>
        <v/>
      </c>
      <c r="G36" s="118" t="str">
        <f aca="false">IF(D36="","",(IF('conversion datos'!$L$30='Patrones LACOMET'!$D$3,(D36*25.4),IF('conversion datos'!$L$30='Patrones LACOMET'!$D$4,D36,"No existe el patrón"))))</f>
        <v/>
      </c>
      <c r="H36" s="119" t="str">
        <f aca="false">IF(J36="","",(IF('conversion datos'!$L$30='Patrones LACOMET'!$D$3,(CALIBRACION!J36*25.4),IF('conversion datos'!$L$30='Patrones LACOMET'!$D$4,(CALIBRACION!J36),"No existe el patrón"))))</f>
        <v/>
      </c>
      <c r="I36" s="120" t="e">
        <f aca="false">IF('conversion datos'!B26="","",'conversion datos'!B26)</f>
        <v>#VALUE!</v>
      </c>
      <c r="J36" s="121" t="str">
        <f aca="false">IF('conversion datos'!C26="","",'conversion datos'!C26)</f>
        <v/>
      </c>
      <c r="K36" s="152"/>
      <c r="L36" s="151"/>
      <c r="M36" s="151"/>
      <c r="N36" s="141"/>
      <c r="O36" s="123" t="str">
        <f aca="false">IF('conversion datos'!F26="","",'conversion datos'!F26)</f>
        <v/>
      </c>
      <c r="P36" s="124" t="str">
        <f aca="false">IF($H36="","",+O36/1000)</f>
        <v/>
      </c>
      <c r="Q36" s="124" t="str">
        <f aca="false">IF($H36="","",(IF('conversion datos'!$L$30='Patrones LACOMET'!$D$3,P36*0.0254,IF('conversion datos'!$L$30='Patrones LACOMET'!$D$4,P36,"No existe el patrón"))))</f>
        <v/>
      </c>
      <c r="R36" s="124" t="str">
        <f aca="false">IF($H36="","",(IF('conversion datos'!$L$30='Patrones LACOMET'!$D$3,E36*25.4,IF('conversion datos'!$L$30='Patrones LACOMET'!$D$4,E36,"No existe el patrón"))))</f>
        <v/>
      </c>
      <c r="S36" s="124" t="str">
        <f aca="false">+IF($H36="","",((INCERTIDUMBRE!$M$8)/1000)/25.4)</f>
        <v/>
      </c>
      <c r="T36" s="124" t="str">
        <f aca="false">IF($H36="","",(+H36+Q36+S36))</f>
        <v/>
      </c>
      <c r="U36" s="125" t="str">
        <f aca="false">IF($H36="","",(T36/25.4))</f>
        <v/>
      </c>
      <c r="V36" s="97"/>
      <c r="W36" s="142" t="e">
        <f aca="false">IF('Datos de condiciones'!D28="","",'Datos de condiciones'!D28)</f>
        <v>#VALUE!</v>
      </c>
      <c r="X36" s="143" t="str">
        <f aca="false">+IF($H36="","",(W36-20))</f>
        <v/>
      </c>
      <c r="Y36" s="144" t="e">
        <f aca="false">IF('Datos de condiciones'!E28="","",'Datos de condiciones'!E28)</f>
        <v>#VALUE!</v>
      </c>
      <c r="Z36" s="145" t="str">
        <f aca="false">+IF($H36="","",Y36-20)</f>
        <v/>
      </c>
      <c r="AA36" s="146" t="str">
        <f aca="false">+IF($H36="","",ABS(X36-Z36))</f>
        <v/>
      </c>
      <c r="AB36" s="131"/>
      <c r="AC36" s="147" t="n">
        <f aca="false">+AC35+1</f>
        <v>25</v>
      </c>
      <c r="AD36" s="148" t="str">
        <f aca="false">+IF($H36="","",W36)</f>
        <v/>
      </c>
      <c r="AE36" s="145" t="str">
        <f aca="false">+IF($H36="","",Y36)</f>
        <v/>
      </c>
      <c r="AF36" s="146" t="str">
        <f aca="false">+IF($H36="","",+(ABS(AD36-AE36)))</f>
        <v/>
      </c>
      <c r="AG36" s="149" t="e">
        <f aca="false">IF('Datos de condiciones'!F28="","",'Datos de condiciones'!F28)</f>
        <v>#VALUE!</v>
      </c>
      <c r="AH36" s="135"/>
      <c r="AI36" s="147" t="n">
        <f aca="false">+AI35+1</f>
        <v>25</v>
      </c>
      <c r="AJ36" s="140"/>
      <c r="AK36" s="123" t="e">
        <f aca="false">IF('Datos de condiciones'!G28="","",'Datos de condiciones'!G28)</f>
        <v>#VALUE!</v>
      </c>
      <c r="AL36" s="150"/>
    </row>
    <row r="37" customFormat="false" ht="15.75" hidden="false" customHeight="true" outlineLevel="0" collapsed="false">
      <c r="A37" s="81" t="n">
        <f aca="false">+A36+1</f>
        <v>26</v>
      </c>
      <c r="B37" s="114" t="str">
        <f aca="false">J37</f>
        <v/>
      </c>
      <c r="C37" s="115" t="str">
        <f aca="false">IF(H37="","",H37)</f>
        <v/>
      </c>
      <c r="D37" s="116" t="str">
        <f aca="false">IF(B37="","",(IF('conversion datos'!$L$30='Patrones LACOMET'!$D$3,(VLOOKUP(B37,'BLOQUES PATRON (pulg) '!$D$5:$H$87,3,TRUE())),IF('conversion datos'!$L$30='Patrones LACOMET'!$D$4,((VLOOKUP(CALIBRACION!B37,'BLOQUES PATRON (mm)'!$D$5:$H$126,3,FALSE()))/1000),"No existe el patrón"))))</f>
        <v/>
      </c>
      <c r="E37" s="117" t="str">
        <f aca="false">IF(B37="","",(B37+D37))</f>
        <v/>
      </c>
      <c r="F37" s="118" t="str">
        <f aca="false">IF(B37="","",(IF('conversion datos'!$L$30='Patrones LACOMET'!$D$3,(VLOOKUP(B37,'BLOQUES PATRON (pulg) '!$D$5:$H$96,5,FALSE())),IF('conversion datos'!$L$30='Patrones LACOMET'!$D$4,((VLOOKUP(CALIBRACION!B37,'BLOQUES PATRON (mm)'!$D$5:$H$126,4,FALSE()))/1000000),"No existe el patrón"))))</f>
        <v/>
      </c>
      <c r="G37" s="118" t="str">
        <f aca="false">IF(D37="","",(IF('conversion datos'!$L$30='Patrones LACOMET'!$D$3,(D37*25.4),IF('conversion datos'!$L$30='Patrones LACOMET'!$D$4,D37,"No existe el patrón"))))</f>
        <v/>
      </c>
      <c r="H37" s="119" t="str">
        <f aca="false">IF(J37="","",(IF('conversion datos'!$L$30='Patrones LACOMET'!$D$3,(CALIBRACION!J37*25.4),IF('conversion datos'!$L$30='Patrones LACOMET'!$D$4,(CALIBRACION!J37),"No existe el patrón"))))</f>
        <v/>
      </c>
      <c r="I37" s="120" t="e">
        <f aca="false">IF('conversion datos'!B27="","",'conversion datos'!B27)</f>
        <v>#VALUE!</v>
      </c>
      <c r="J37" s="121" t="str">
        <f aca="false">IF('conversion datos'!C27="","",'conversion datos'!C27)</f>
        <v/>
      </c>
      <c r="K37" s="152"/>
      <c r="L37" s="151"/>
      <c r="M37" s="151"/>
      <c r="N37" s="141"/>
      <c r="O37" s="123" t="str">
        <f aca="false">IF('conversion datos'!F27="","",'conversion datos'!F27)</f>
        <v/>
      </c>
      <c r="P37" s="124" t="str">
        <f aca="false">IF($H37="","",+O37/1000)</f>
        <v/>
      </c>
      <c r="Q37" s="124" t="str">
        <f aca="false">IF($H37="","",(IF('conversion datos'!$L$30='Patrones LACOMET'!$D$3,P37*0.0254,IF('conversion datos'!$L$30='Patrones LACOMET'!$D$4,P37,"No existe el patrón"))))</f>
        <v/>
      </c>
      <c r="R37" s="124" t="str">
        <f aca="false">IF($H37="","",(IF('conversion datos'!$L$30='Patrones LACOMET'!$D$3,E37*25.4,IF('conversion datos'!$L$30='Patrones LACOMET'!$D$4,E37,"No existe el patrón"))))</f>
        <v/>
      </c>
      <c r="S37" s="124" t="str">
        <f aca="false">+IF($H37="","",((INCERTIDUMBRE!$M$8)/1000)/25.4)</f>
        <v/>
      </c>
      <c r="T37" s="124" t="str">
        <f aca="false">IF($H37="","",(+H37+Q37+S37))</f>
        <v/>
      </c>
      <c r="U37" s="125" t="str">
        <f aca="false">IF($H37="","",(T37/25.4))</f>
        <v/>
      </c>
      <c r="V37" s="97"/>
      <c r="W37" s="142" t="e">
        <f aca="false">IF('Datos de condiciones'!D29="","",'Datos de condiciones'!D29)</f>
        <v>#VALUE!</v>
      </c>
      <c r="X37" s="143" t="str">
        <f aca="false">+IF($H37="","",(W37-20))</f>
        <v/>
      </c>
      <c r="Y37" s="144" t="e">
        <f aca="false">IF('Datos de condiciones'!E29="","",'Datos de condiciones'!E29)</f>
        <v>#VALUE!</v>
      </c>
      <c r="Z37" s="145" t="str">
        <f aca="false">+IF($H37="","",Y37-20)</f>
        <v/>
      </c>
      <c r="AA37" s="146" t="str">
        <f aca="false">+IF($H37="","",ABS(X37-Z37))</f>
        <v/>
      </c>
      <c r="AB37" s="131"/>
      <c r="AC37" s="147" t="n">
        <f aca="false">+AC36+1</f>
        <v>26</v>
      </c>
      <c r="AD37" s="148" t="str">
        <f aca="false">+IF($H37="","",W37)</f>
        <v/>
      </c>
      <c r="AE37" s="145" t="str">
        <f aca="false">+IF($H37="","",Y37)</f>
        <v/>
      </c>
      <c r="AF37" s="146" t="str">
        <f aca="false">+IF($H37="","",+(ABS(AD37-AE37)))</f>
        <v/>
      </c>
      <c r="AG37" s="149" t="e">
        <f aca="false">IF('Datos de condiciones'!F29="","",'Datos de condiciones'!F29)</f>
        <v>#VALUE!</v>
      </c>
      <c r="AH37" s="135"/>
      <c r="AI37" s="147" t="n">
        <f aca="false">+AI36+1</f>
        <v>26</v>
      </c>
      <c r="AJ37" s="140"/>
      <c r="AK37" s="123" t="e">
        <f aca="false">IF('Datos de condiciones'!G29="","",'Datos de condiciones'!G29)</f>
        <v>#VALUE!</v>
      </c>
      <c r="AL37" s="150"/>
    </row>
    <row r="38" customFormat="false" ht="15" hidden="false" customHeight="true" outlineLevel="0" collapsed="false">
      <c r="A38" s="81" t="n">
        <f aca="false">+A37+1</f>
        <v>27</v>
      </c>
      <c r="B38" s="114" t="str">
        <f aca="false">J38</f>
        <v/>
      </c>
      <c r="C38" s="115" t="str">
        <f aca="false">IF(H38="","",H38)</f>
        <v/>
      </c>
      <c r="D38" s="116" t="str">
        <f aca="false">IF(B38="","",(IF('conversion datos'!$L$30='Patrones LACOMET'!$D$3,(VLOOKUP(B38,'BLOQUES PATRON (pulg) '!$D$5:$H$87,3,TRUE())),IF('conversion datos'!$L$30='Patrones LACOMET'!$D$4,((VLOOKUP(CALIBRACION!B38,'BLOQUES PATRON (mm)'!$D$5:$H$126,3,FALSE()))/1000),"No existe el patrón"))))</f>
        <v/>
      </c>
      <c r="E38" s="117" t="str">
        <f aca="false">IF(B38="","",(B38+D38))</f>
        <v/>
      </c>
      <c r="F38" s="118" t="str">
        <f aca="false">IF(B38="","",(IF('conversion datos'!$L$30='Patrones LACOMET'!$D$3,(VLOOKUP(B38,'BLOQUES PATRON (pulg) '!$D$5:$H$96,5,FALSE())),IF('conversion datos'!$L$30='Patrones LACOMET'!$D$4,((VLOOKUP(CALIBRACION!B38,'BLOQUES PATRON (mm)'!$D$5:$H$126,4,FALSE()))/1000000),"No existe el patrón"))))</f>
        <v/>
      </c>
      <c r="G38" s="118" t="str">
        <f aca="false">IF(D38="","",(IF('conversion datos'!$L$30='Patrones LACOMET'!$D$3,(D38*25.4),IF('conversion datos'!$L$30='Patrones LACOMET'!$D$4,D38,"No existe el patrón"))))</f>
        <v/>
      </c>
      <c r="H38" s="119" t="str">
        <f aca="false">IF(J38="","",(IF('conversion datos'!$L$30='Patrones LACOMET'!$D$3,(CALIBRACION!J38*25.4),IF('conversion datos'!$L$30='Patrones LACOMET'!$D$4,(CALIBRACION!J38),"No existe el patrón"))))</f>
        <v/>
      </c>
      <c r="I38" s="120" t="e">
        <f aca="false">IF('conversion datos'!B28="","",'conversion datos'!B28)</f>
        <v>#VALUE!</v>
      </c>
      <c r="J38" s="121" t="str">
        <f aca="false">IF('conversion datos'!C28="","",'conversion datos'!C28)</f>
        <v/>
      </c>
      <c r="K38" s="152"/>
      <c r="L38" s="151"/>
      <c r="M38" s="151"/>
      <c r="N38" s="141"/>
      <c r="O38" s="123" t="str">
        <f aca="false">IF('conversion datos'!F28="","",'conversion datos'!F28)</f>
        <v/>
      </c>
      <c r="P38" s="124" t="str">
        <f aca="false">IF($H38="","",+O38/1000)</f>
        <v/>
      </c>
      <c r="Q38" s="124" t="str">
        <f aca="false">IF($H38="","",(IF('conversion datos'!$L$30='Patrones LACOMET'!$D$3,P38*0.0254,IF('conversion datos'!$L$30='Patrones LACOMET'!$D$4,P38,"No existe el patrón"))))</f>
        <v/>
      </c>
      <c r="R38" s="124" t="str">
        <f aca="false">IF($H38="","",(IF('conversion datos'!$L$30='Patrones LACOMET'!$D$3,E38*25.4,IF('conversion datos'!$L$30='Patrones LACOMET'!$D$4,E38,"No existe el patrón"))))</f>
        <v/>
      </c>
      <c r="S38" s="124" t="str">
        <f aca="false">+IF($H38="","",((INCERTIDUMBRE!$M$8)/1000)/25.4)</f>
        <v/>
      </c>
      <c r="T38" s="124" t="str">
        <f aca="false">IF($H38="","",(+H38+Q38+S38))</f>
        <v/>
      </c>
      <c r="U38" s="125" t="str">
        <f aca="false">IF($H38="","",(T38/25.4))</f>
        <v/>
      </c>
      <c r="V38" s="97"/>
      <c r="W38" s="142" t="e">
        <f aca="false">IF('Datos de condiciones'!D30="","",'Datos de condiciones'!D30)</f>
        <v>#VALUE!</v>
      </c>
      <c r="X38" s="143" t="str">
        <f aca="false">+IF($H38="","",(W38-20))</f>
        <v/>
      </c>
      <c r="Y38" s="144" t="e">
        <f aca="false">IF('Datos de condiciones'!E30="","",'Datos de condiciones'!E30)</f>
        <v>#VALUE!</v>
      </c>
      <c r="Z38" s="145" t="str">
        <f aca="false">+IF($H38="","",Y38-20)</f>
        <v/>
      </c>
      <c r="AA38" s="146" t="str">
        <f aca="false">+IF($H38="","",ABS(X38-Z38))</f>
        <v/>
      </c>
      <c r="AB38" s="131"/>
      <c r="AC38" s="147" t="n">
        <f aca="false">+AC37+1</f>
        <v>27</v>
      </c>
      <c r="AD38" s="148" t="str">
        <f aca="false">+IF($H38="","",W38)</f>
        <v/>
      </c>
      <c r="AE38" s="145" t="str">
        <f aca="false">+IF($H38="","",Y38)</f>
        <v/>
      </c>
      <c r="AF38" s="146" t="str">
        <f aca="false">+IF($H38="","",+(ABS(AD38-AE38)))</f>
        <v/>
      </c>
      <c r="AG38" s="149" t="e">
        <f aca="false">IF('Datos de condiciones'!F30="","",'Datos de condiciones'!F30)</f>
        <v>#VALUE!</v>
      </c>
      <c r="AH38" s="135"/>
      <c r="AI38" s="147" t="n">
        <f aca="false">+AI37+1</f>
        <v>27</v>
      </c>
      <c r="AJ38" s="140"/>
      <c r="AK38" s="123" t="e">
        <f aca="false">IF('Datos de condiciones'!G30="","",'Datos de condiciones'!G30)</f>
        <v>#VALUE!</v>
      </c>
      <c r="AL38" s="150"/>
    </row>
    <row r="39" customFormat="false" ht="15.75" hidden="false" customHeight="true" outlineLevel="0" collapsed="false">
      <c r="A39" s="81" t="n">
        <f aca="false">+A38+1</f>
        <v>28</v>
      </c>
      <c r="B39" s="114" t="str">
        <f aca="false">J39</f>
        <v/>
      </c>
      <c r="C39" s="115" t="str">
        <f aca="false">IF(H39="","",H39)</f>
        <v/>
      </c>
      <c r="D39" s="116" t="str">
        <f aca="false">IF(B39="","",(IF('conversion datos'!$L$30='Patrones LACOMET'!$D$3,(VLOOKUP(B39,'BLOQUES PATRON (pulg) '!$D$5:$H$87,3,TRUE())),IF('conversion datos'!$L$30='Patrones LACOMET'!$D$4,((VLOOKUP(CALIBRACION!B39,'BLOQUES PATRON (mm)'!$D$5:$H$126,3,FALSE()))/1000),"No existe el patrón"))))</f>
        <v/>
      </c>
      <c r="E39" s="117" t="str">
        <f aca="false">IF(B39="","",(B39+D39))</f>
        <v/>
      </c>
      <c r="F39" s="118" t="str">
        <f aca="false">IF(B39="","",(IF('conversion datos'!$L$30='Patrones LACOMET'!$D$3,(VLOOKUP(B39,'BLOQUES PATRON (pulg) '!$D$5:$H$96,5,FALSE())),IF('conversion datos'!$L$30='Patrones LACOMET'!$D$4,((VLOOKUP(CALIBRACION!B39,'BLOQUES PATRON (mm)'!$D$5:$H$126,4,FALSE()))/1000000),"No existe el patrón"))))</f>
        <v/>
      </c>
      <c r="G39" s="118" t="str">
        <f aca="false">IF(D39="","",(IF('conversion datos'!$L$30='Patrones LACOMET'!$D$3,(D39*25.4),IF('conversion datos'!$L$30='Patrones LACOMET'!$D$4,D39,"No existe el patrón"))))</f>
        <v/>
      </c>
      <c r="H39" s="119" t="str">
        <f aca="false">IF(J39="","",(IF('conversion datos'!$L$30='Patrones LACOMET'!$D$3,(CALIBRACION!J39*25.4),IF('conversion datos'!$L$30='Patrones LACOMET'!$D$4,(CALIBRACION!J39),"No existe el patrón"))))</f>
        <v/>
      </c>
      <c r="I39" s="120" t="e">
        <f aca="false">IF('conversion datos'!B29="","",'conversion datos'!B29)</f>
        <v>#VALUE!</v>
      </c>
      <c r="J39" s="121" t="str">
        <f aca="false">IF('conversion datos'!C29="","",'conversion datos'!C29)</f>
        <v/>
      </c>
      <c r="K39" s="152"/>
      <c r="L39" s="151"/>
      <c r="M39" s="151"/>
      <c r="N39" s="141"/>
      <c r="O39" s="123" t="str">
        <f aca="false">IF('conversion datos'!F29="","",'conversion datos'!F29)</f>
        <v/>
      </c>
      <c r="P39" s="124" t="str">
        <f aca="false">IF($H39="","",+O39/1000)</f>
        <v/>
      </c>
      <c r="Q39" s="124" t="str">
        <f aca="false">IF($H39="","",(IF('conversion datos'!$L$30='Patrones LACOMET'!$D$3,P39*0.0254,IF('conversion datos'!$L$30='Patrones LACOMET'!$D$4,P39,"No existe el patrón"))))</f>
        <v/>
      </c>
      <c r="R39" s="124" t="str">
        <f aca="false">IF($H39="","",(IF('conversion datos'!$L$30='Patrones LACOMET'!$D$3,E39*25.4,IF('conversion datos'!$L$30='Patrones LACOMET'!$D$4,E39,"No existe el patrón"))))</f>
        <v/>
      </c>
      <c r="S39" s="124" t="str">
        <f aca="false">+IF($H39="","",((INCERTIDUMBRE!$M$8)/1000)/25.4)</f>
        <v/>
      </c>
      <c r="T39" s="124" t="str">
        <f aca="false">IF($H39="","",(+H39+Q39+S39))</f>
        <v/>
      </c>
      <c r="U39" s="125" t="str">
        <f aca="false">IF($H39="","",(T39/25.4))</f>
        <v/>
      </c>
      <c r="V39" s="97"/>
      <c r="W39" s="142" t="e">
        <f aca="false">IF('Datos de condiciones'!D31="","",'Datos de condiciones'!D31)</f>
        <v>#VALUE!</v>
      </c>
      <c r="X39" s="143" t="str">
        <f aca="false">+IF($H39="","",(W39-20))</f>
        <v/>
      </c>
      <c r="Y39" s="144" t="e">
        <f aca="false">IF('Datos de condiciones'!E31="","",'Datos de condiciones'!E31)</f>
        <v>#VALUE!</v>
      </c>
      <c r="Z39" s="145" t="str">
        <f aca="false">+IF($H39="","",Y39-20)</f>
        <v/>
      </c>
      <c r="AA39" s="146" t="str">
        <f aca="false">+IF($H39="","",ABS(X39-Z39))</f>
        <v/>
      </c>
      <c r="AB39" s="131"/>
      <c r="AC39" s="147" t="n">
        <f aca="false">+AC38+1</f>
        <v>28</v>
      </c>
      <c r="AD39" s="148" t="str">
        <f aca="false">+IF($H39="","",W39)</f>
        <v/>
      </c>
      <c r="AE39" s="145" t="str">
        <f aca="false">+IF($H39="","",Y39)</f>
        <v/>
      </c>
      <c r="AF39" s="146" t="str">
        <f aca="false">+IF($H39="","",+(ABS(AD39-AE39)))</f>
        <v/>
      </c>
      <c r="AG39" s="149" t="e">
        <f aca="false">IF('Datos de condiciones'!F31="","",'Datos de condiciones'!F31)</f>
        <v>#VALUE!</v>
      </c>
      <c r="AH39" s="135"/>
      <c r="AI39" s="147" t="n">
        <f aca="false">+AI38+1</f>
        <v>28</v>
      </c>
      <c r="AJ39" s="140"/>
      <c r="AK39" s="123" t="e">
        <f aca="false">IF('Datos de condiciones'!G31="","",'Datos de condiciones'!G31)</f>
        <v>#VALUE!</v>
      </c>
      <c r="AL39" s="150"/>
    </row>
    <row r="40" customFormat="false" ht="15.75" hidden="false" customHeight="true" outlineLevel="0" collapsed="false">
      <c r="A40" s="81" t="n">
        <f aca="false">+A39+1</f>
        <v>29</v>
      </c>
      <c r="B40" s="114" t="str">
        <f aca="false">J40</f>
        <v/>
      </c>
      <c r="C40" s="115" t="str">
        <f aca="false">IF(H40="","",H40)</f>
        <v/>
      </c>
      <c r="D40" s="116" t="str">
        <f aca="false">IF(B40="","",(IF('conversion datos'!$L$30='Patrones LACOMET'!$D$3,(VLOOKUP(B40,'BLOQUES PATRON (pulg) '!$D$5:$H$87,3,TRUE())),IF('conversion datos'!$L$30='Patrones LACOMET'!$D$4,((VLOOKUP(CALIBRACION!B40,'BLOQUES PATRON (mm)'!$D$5:$H$126,3,FALSE()))/1000),"No existe el patrón"))))</f>
        <v/>
      </c>
      <c r="E40" s="117" t="str">
        <f aca="false">IF(B40="","",(B40+D40))</f>
        <v/>
      </c>
      <c r="F40" s="118" t="str">
        <f aca="false">IF(B40="","",(IF('conversion datos'!$L$30='Patrones LACOMET'!$D$3,(VLOOKUP(B40,'BLOQUES PATRON (pulg) '!$D$5:$H$96,5,FALSE())),IF('conversion datos'!$L$30='Patrones LACOMET'!$D$4,((VLOOKUP(CALIBRACION!B40,'BLOQUES PATRON (mm)'!$D$5:$H$126,4,FALSE()))/1000000),"No existe el patrón"))))</f>
        <v/>
      </c>
      <c r="G40" s="118" t="str">
        <f aca="false">IF(D40="","",(IF('conversion datos'!$L$30='Patrones LACOMET'!$D$3,(D40*25.4),IF('conversion datos'!$L$30='Patrones LACOMET'!$D$4,D40,"No existe el patrón"))))</f>
        <v/>
      </c>
      <c r="H40" s="119" t="str">
        <f aca="false">IF(J40="","",(IF('conversion datos'!$L$30='Patrones LACOMET'!$D$3,(CALIBRACION!J40*25.4),IF('conversion datos'!$L$30='Patrones LACOMET'!$D$4,(CALIBRACION!J40),"No existe el patrón"))))</f>
        <v/>
      </c>
      <c r="I40" s="120" t="e">
        <f aca="false">IF('conversion datos'!B30="","",'conversion datos'!B30)</f>
        <v>#VALUE!</v>
      </c>
      <c r="J40" s="121" t="str">
        <f aca="false">IF('conversion datos'!C30="","",'conversion datos'!C30)</f>
        <v/>
      </c>
      <c r="K40" s="152"/>
      <c r="L40" s="151"/>
      <c r="M40" s="151"/>
      <c r="N40" s="141"/>
      <c r="O40" s="123" t="str">
        <f aca="false">IF('conversion datos'!F30="","",'conversion datos'!F30)</f>
        <v/>
      </c>
      <c r="P40" s="124" t="str">
        <f aca="false">IF($H40="","",+O40/1000)</f>
        <v/>
      </c>
      <c r="Q40" s="124" t="str">
        <f aca="false">IF($H40="","",(IF('conversion datos'!$L$30='Patrones LACOMET'!$D$3,P40*0.0254,IF('conversion datos'!$L$30='Patrones LACOMET'!$D$4,P40,"No existe el patrón"))))</f>
        <v/>
      </c>
      <c r="R40" s="124" t="str">
        <f aca="false">IF($H40="","",(IF('conversion datos'!$L$30='Patrones LACOMET'!$D$3,E40*25.4,IF('conversion datos'!$L$30='Patrones LACOMET'!$D$4,E40,"No existe el patrón"))))</f>
        <v/>
      </c>
      <c r="S40" s="124" t="str">
        <f aca="false">+IF($H40="","",((INCERTIDUMBRE!$M$8)/1000)/25.4)</f>
        <v/>
      </c>
      <c r="T40" s="124" t="str">
        <f aca="false">IF($H40="","",(+H40+Q40+S40))</f>
        <v/>
      </c>
      <c r="U40" s="125" t="str">
        <f aca="false">IF($H40="","",(T40/25.4))</f>
        <v/>
      </c>
      <c r="V40" s="97"/>
      <c r="W40" s="142" t="e">
        <f aca="false">IF('Datos de condiciones'!D32="","",'Datos de condiciones'!D32)</f>
        <v>#VALUE!</v>
      </c>
      <c r="X40" s="143" t="str">
        <f aca="false">+IF($H40="","",(W40-20))</f>
        <v/>
      </c>
      <c r="Y40" s="144" t="e">
        <f aca="false">IF('Datos de condiciones'!E32="","",'Datos de condiciones'!E32)</f>
        <v>#VALUE!</v>
      </c>
      <c r="Z40" s="145" t="str">
        <f aca="false">+IF($H40="","",Y40-20)</f>
        <v/>
      </c>
      <c r="AA40" s="146" t="str">
        <f aca="false">+IF($H40="","",ABS(X40-Z40))</f>
        <v/>
      </c>
      <c r="AB40" s="131"/>
      <c r="AC40" s="147" t="n">
        <f aca="false">+AC39+1</f>
        <v>29</v>
      </c>
      <c r="AD40" s="148" t="str">
        <f aca="false">+IF($H40="","",W40)</f>
        <v/>
      </c>
      <c r="AE40" s="145" t="str">
        <f aca="false">+IF($H40="","",Y40)</f>
        <v/>
      </c>
      <c r="AF40" s="146" t="str">
        <f aca="false">+IF($H40="","",+(ABS(AD40-AE40)))</f>
        <v/>
      </c>
      <c r="AG40" s="149" t="e">
        <f aca="false">IF('Datos de condiciones'!F32="","",'Datos de condiciones'!F32)</f>
        <v>#VALUE!</v>
      </c>
      <c r="AH40" s="135"/>
      <c r="AI40" s="147" t="n">
        <f aca="false">+AI39+1</f>
        <v>29</v>
      </c>
      <c r="AJ40" s="140"/>
      <c r="AK40" s="123" t="e">
        <f aca="false">IF('Datos de condiciones'!G32="","",'Datos de condiciones'!G32)</f>
        <v>#VALUE!</v>
      </c>
      <c r="AL40" s="150"/>
    </row>
    <row r="41" customFormat="false" ht="15" hidden="false" customHeight="true" outlineLevel="0" collapsed="false">
      <c r="A41" s="81" t="n">
        <f aca="false">+A40+1</f>
        <v>30</v>
      </c>
      <c r="B41" s="114" t="str">
        <f aca="false">J41</f>
        <v/>
      </c>
      <c r="C41" s="115" t="str">
        <f aca="false">IF(H41="","",H41)</f>
        <v/>
      </c>
      <c r="D41" s="116" t="str">
        <f aca="false">IF(B41="","",(IF('conversion datos'!$L$30='Patrones LACOMET'!$D$3,(VLOOKUP(B41,'BLOQUES PATRON (pulg) '!$D$5:$H$87,3,TRUE())),IF('conversion datos'!$L$30='Patrones LACOMET'!$D$4,((VLOOKUP(CALIBRACION!B41,'BLOQUES PATRON (mm)'!$D$5:$H$126,3,FALSE()))/1000),"No existe el patrón"))))</f>
        <v/>
      </c>
      <c r="E41" s="117" t="str">
        <f aca="false">IF(B41="","",(B41+D41))</f>
        <v/>
      </c>
      <c r="F41" s="118" t="str">
        <f aca="false">IF(B41="","",(IF('conversion datos'!$L$30='Patrones LACOMET'!$D$3,(VLOOKUP(B41,'BLOQUES PATRON (pulg) '!$D$5:$H$86,5,FALSE())),IF('conversion datos'!$L$30='Patrones LACOMET'!$D$4,((VLOOKUP(CALIBRACION!B41,'BLOQUES PATRON (mm)'!$D$5:$H$126,4,FALSE()))/1000000),"No existe el patrón"))))</f>
        <v/>
      </c>
      <c r="G41" s="118" t="str">
        <f aca="false">IF(D41="","",(IF('conversion datos'!$L$30='Patrones LACOMET'!$D$3,(D41*25.4),IF('conversion datos'!$L$30='Patrones LACOMET'!$D$4,D41,"No existe el patrón"))))</f>
        <v/>
      </c>
      <c r="H41" s="119" t="str">
        <f aca="false">IF(J41="","",(IF('conversion datos'!$L$30='Patrones LACOMET'!$D$3,(CALIBRACION!J41*25.4),IF('conversion datos'!$L$30='Patrones LACOMET'!$D$4,(CALIBRACION!J41),"No existe el patrón"))))</f>
        <v/>
      </c>
      <c r="I41" s="120" t="e">
        <f aca="false">IF('conversion datos'!B31="","",'conversion datos'!B31)</f>
        <v>#VALUE!</v>
      </c>
      <c r="J41" s="121" t="str">
        <f aca="false">IF('conversion datos'!C31="","",'conversion datos'!C31)</f>
        <v/>
      </c>
      <c r="K41" s="152"/>
      <c r="L41" s="151"/>
      <c r="M41" s="151"/>
      <c r="N41" s="141"/>
      <c r="O41" s="123" t="str">
        <f aca="false">IF('conversion datos'!F31="","",'conversion datos'!F31)</f>
        <v/>
      </c>
      <c r="P41" s="124" t="str">
        <f aca="false">IF($H41="","",+O41/1000)</f>
        <v/>
      </c>
      <c r="Q41" s="124" t="str">
        <f aca="false">IF($H41="","",(IF('conversion datos'!$L$30='Patrones LACOMET'!$D$3,P41*0.0254,IF('conversion datos'!$L$30='Patrones LACOMET'!$D$4,P41,"No existe el patrón"))))</f>
        <v/>
      </c>
      <c r="R41" s="124" t="str">
        <f aca="false">IF($H41="","",(IF('conversion datos'!$L$30='Patrones LACOMET'!$D$3,E41*25.4,IF('conversion datos'!$L$30='Patrones LACOMET'!$D$4,E41,"No existe el patrón"))))</f>
        <v/>
      </c>
      <c r="S41" s="124" t="str">
        <f aca="false">+IF($H41="","",((INCERTIDUMBRE!$M$8)/1000)/25.4)</f>
        <v/>
      </c>
      <c r="T41" s="124" t="str">
        <f aca="false">IF($H41="","",(+H41+Q41+S41))</f>
        <v/>
      </c>
      <c r="U41" s="125" t="str">
        <f aca="false">IF($H41="","",(T41/25.4))</f>
        <v/>
      </c>
      <c r="V41" s="97"/>
      <c r="W41" s="142" t="e">
        <f aca="false">IF('Datos de condiciones'!D33="","",'Datos de condiciones'!D33)</f>
        <v>#VALUE!</v>
      </c>
      <c r="X41" s="143" t="str">
        <f aca="false">+IF($H41="","",(W41-20))</f>
        <v/>
      </c>
      <c r="Y41" s="144" t="e">
        <f aca="false">IF('Datos de condiciones'!E33="","",'Datos de condiciones'!E33)</f>
        <v>#VALUE!</v>
      </c>
      <c r="Z41" s="145" t="str">
        <f aca="false">+IF($H41="","",Y41-20)</f>
        <v/>
      </c>
      <c r="AA41" s="146" t="str">
        <f aca="false">+IF($H41="","",ABS(X41-Z41))</f>
        <v/>
      </c>
      <c r="AB41" s="131"/>
      <c r="AC41" s="147" t="n">
        <f aca="false">+AC40+1</f>
        <v>30</v>
      </c>
      <c r="AD41" s="148" t="str">
        <f aca="false">+IF($H41="","",W41)</f>
        <v/>
      </c>
      <c r="AE41" s="145" t="str">
        <f aca="false">+IF($H41="","",Y41)</f>
        <v/>
      </c>
      <c r="AF41" s="146" t="str">
        <f aca="false">+IF($H41="","",+(ABS(AD41-AE41)))</f>
        <v/>
      </c>
      <c r="AG41" s="149" t="e">
        <f aca="false">IF('Datos de condiciones'!F33="","",'Datos de condiciones'!F33)</f>
        <v>#VALUE!</v>
      </c>
      <c r="AH41" s="135"/>
      <c r="AI41" s="147" t="n">
        <f aca="false">+AI40+1</f>
        <v>30</v>
      </c>
      <c r="AJ41" s="140"/>
      <c r="AK41" s="123" t="e">
        <f aca="false">IF('Datos de condiciones'!G33="","",'Datos de condiciones'!G33)</f>
        <v>#VALUE!</v>
      </c>
      <c r="AL41" s="150"/>
    </row>
    <row r="42" customFormat="false" ht="15.75" hidden="false" customHeight="true" outlineLevel="0" collapsed="false">
      <c r="A42" s="81" t="n">
        <f aca="false">+A41+1</f>
        <v>31</v>
      </c>
      <c r="B42" s="114" t="str">
        <f aca="false">J42</f>
        <v/>
      </c>
      <c r="C42" s="115" t="str">
        <f aca="false">IF(H42="","",H42)</f>
        <v/>
      </c>
      <c r="D42" s="116" t="str">
        <f aca="false">IF(B42="","",(IF('conversion datos'!$L$30='Patrones LACOMET'!$D$3,(VLOOKUP(B42,'BLOQUES PATRON (pulg) '!$D$5:$H$87,3,TRUE())),IF('conversion datos'!$L$30='Patrones LACOMET'!$D$4,((VLOOKUP(CALIBRACION!B42,'BLOQUES PATRON (mm)'!$D$5:$H$126,3,FALSE()))/1000),"No existe el patrón"))))</f>
        <v/>
      </c>
      <c r="E42" s="117" t="str">
        <f aca="false">IF(B42="","",(B42+D42))</f>
        <v/>
      </c>
      <c r="F42" s="118" t="str">
        <f aca="false">IF(B42="","",(IF('conversion datos'!$L$30='Patrones LACOMET'!$D$3,(VLOOKUP(B42,'BLOQUES PATRON (pulg) '!$D$5:$H$86,5,FALSE())),IF('conversion datos'!$L$30='Patrones LACOMET'!$D$4,((VLOOKUP(CALIBRACION!B42,'BLOQUES PATRON (mm)'!$D$5:$H$126,4,FALSE()))/1000000),"No existe el patrón"))))</f>
        <v/>
      </c>
      <c r="G42" s="118" t="str">
        <f aca="false">IF(D42="","",(IF('conversion datos'!$L$30='Patrones LACOMET'!$D$3,(D42*25.4),IF('conversion datos'!$L$30='Patrones LACOMET'!$D$4,D42,"No existe el patrón"))))</f>
        <v/>
      </c>
      <c r="H42" s="119" t="str">
        <f aca="false">IF(J42="","",(IF('conversion datos'!$L$30='Patrones LACOMET'!$D$3,(CALIBRACION!J42*25.4),IF('conversion datos'!$L$30='Patrones LACOMET'!$D$4,(CALIBRACION!J42),"No existe el patrón"))))</f>
        <v/>
      </c>
      <c r="I42" s="120" t="e">
        <f aca="false">IF('conversion datos'!B32="","",'conversion datos'!B32)</f>
        <v>#VALUE!</v>
      </c>
      <c r="J42" s="121" t="str">
        <f aca="false">IF('conversion datos'!C32="","",'conversion datos'!C32)</f>
        <v/>
      </c>
      <c r="K42" s="152"/>
      <c r="L42" s="151"/>
      <c r="M42" s="151"/>
      <c r="N42" s="141"/>
      <c r="O42" s="123" t="str">
        <f aca="false">IF('conversion datos'!F32="","",'conversion datos'!F32)</f>
        <v/>
      </c>
      <c r="P42" s="124" t="str">
        <f aca="false">IF($H42="","",+O42/1000)</f>
        <v/>
      </c>
      <c r="Q42" s="124" t="str">
        <f aca="false">IF($H42="","",(IF('conversion datos'!$L$30='Patrones LACOMET'!$D$3,P42*0.0254,IF('conversion datos'!$L$30='Patrones LACOMET'!$D$4,P42,"No existe el patrón"))))</f>
        <v/>
      </c>
      <c r="R42" s="124" t="str">
        <f aca="false">IF($H42="","",(IF('conversion datos'!$L$30='Patrones LACOMET'!$D$3,E42*25.4,IF('conversion datos'!$L$30='Patrones LACOMET'!$D$4,E42,"No existe el patrón"))))</f>
        <v/>
      </c>
      <c r="S42" s="124" t="str">
        <f aca="false">+IF($H42="","",((INCERTIDUMBRE!$M$8)/1000)/25.4)</f>
        <v/>
      </c>
      <c r="T42" s="124" t="str">
        <f aca="false">IF($H42="","",(+H42+Q42+S42))</f>
        <v/>
      </c>
      <c r="U42" s="125" t="str">
        <f aca="false">IF($H42="","",(T42/25.4))</f>
        <v/>
      </c>
      <c r="V42" s="97"/>
      <c r="W42" s="142" t="e">
        <f aca="false">IF('Datos de condiciones'!D34="","",'Datos de condiciones'!D34)</f>
        <v>#VALUE!</v>
      </c>
      <c r="X42" s="143" t="str">
        <f aca="false">+IF($H42="","",(W42-20))</f>
        <v/>
      </c>
      <c r="Y42" s="144" t="e">
        <f aca="false">IF('Datos de condiciones'!E34="","",'Datos de condiciones'!E34)</f>
        <v>#VALUE!</v>
      </c>
      <c r="Z42" s="145" t="str">
        <f aca="false">+IF($H42="","",Y42-20)</f>
        <v/>
      </c>
      <c r="AA42" s="146" t="str">
        <f aca="false">+IF($H42="","",ABS(X42-Z42))</f>
        <v/>
      </c>
      <c r="AB42" s="131"/>
      <c r="AC42" s="147" t="n">
        <f aca="false">+AC41+1</f>
        <v>31</v>
      </c>
      <c r="AD42" s="148" t="str">
        <f aca="false">+IF($H42="","",W42)</f>
        <v/>
      </c>
      <c r="AE42" s="145" t="str">
        <f aca="false">+IF($H42="","",Y42)</f>
        <v/>
      </c>
      <c r="AF42" s="146" t="str">
        <f aca="false">+IF($H42="","",+(ABS(AD42-AE42)))</f>
        <v/>
      </c>
      <c r="AG42" s="149" t="e">
        <f aca="false">IF('Datos de condiciones'!F34="","",'Datos de condiciones'!F34)</f>
        <v>#VALUE!</v>
      </c>
      <c r="AH42" s="135"/>
      <c r="AI42" s="147" t="n">
        <f aca="false">+AI41+1</f>
        <v>31</v>
      </c>
      <c r="AJ42" s="140"/>
      <c r="AK42" s="123" t="e">
        <f aca="false">IF('Datos de condiciones'!G34="","",'Datos de condiciones'!G34)</f>
        <v>#VALUE!</v>
      </c>
      <c r="AL42" s="150"/>
    </row>
    <row r="43" customFormat="false" ht="15.75" hidden="false" customHeight="true" outlineLevel="0" collapsed="false">
      <c r="A43" s="81" t="n">
        <f aca="false">+A42+1</f>
        <v>32</v>
      </c>
      <c r="B43" s="114" t="str">
        <f aca="false">J43</f>
        <v/>
      </c>
      <c r="C43" s="115" t="str">
        <f aca="false">IF(H43="","",H43)</f>
        <v/>
      </c>
      <c r="D43" s="116" t="str">
        <f aca="false">IF(B43="","",(IF('conversion datos'!$L$30='Patrones LACOMET'!$D$3,(VLOOKUP(B43,'BLOQUES PATRON (pulg) '!$D$5:$H$87,3,TRUE())),IF('conversion datos'!$L$30='Patrones LACOMET'!$D$4,((VLOOKUP(CALIBRACION!B43,'BLOQUES PATRON (mm)'!$D$5:$H$126,3,FALSE()))/1000),"No existe el patrón"))))</f>
        <v/>
      </c>
      <c r="E43" s="117" t="str">
        <f aca="false">IF(B43="","",(B43+D43))</f>
        <v/>
      </c>
      <c r="F43" s="118" t="str">
        <f aca="false">IF(B43="","",(IF('conversion datos'!$L$30='Patrones LACOMET'!$D$3,(VLOOKUP(B43,'BLOQUES PATRON (pulg) '!$D$5:$H$86,5,FALSE())),IF('conversion datos'!$L$30='Patrones LACOMET'!$D$4,((VLOOKUP(CALIBRACION!B43,'BLOQUES PATRON (mm)'!$D$5:$H$126,4,FALSE()))/1000000),"No existe el patrón"))))</f>
        <v/>
      </c>
      <c r="G43" s="118" t="str">
        <f aca="false">IF(D43="","",(IF('conversion datos'!$L$30='Patrones LACOMET'!$D$3,(D43*25.4),IF('conversion datos'!$L$30='Patrones LACOMET'!$D$4,D43,"No existe el patrón"))))</f>
        <v/>
      </c>
      <c r="H43" s="119" t="str">
        <f aca="false">IF(J43="","",(IF('conversion datos'!$L$30='Patrones LACOMET'!$D$3,(CALIBRACION!J43*25.4),IF('conversion datos'!$L$30='Patrones LACOMET'!$D$4,(CALIBRACION!J43),"No existe el patrón"))))</f>
        <v/>
      </c>
      <c r="I43" s="120" t="e">
        <f aca="false">IF('conversion datos'!B33="","",'conversion datos'!B33)</f>
        <v>#VALUE!</v>
      </c>
      <c r="J43" s="121" t="str">
        <f aca="false">IF('conversion datos'!C33="","",'conversion datos'!C33)</f>
        <v/>
      </c>
      <c r="K43" s="152"/>
      <c r="L43" s="151"/>
      <c r="M43" s="151"/>
      <c r="N43" s="141"/>
      <c r="O43" s="123" t="str">
        <f aca="false">IF('conversion datos'!F33="","",'conversion datos'!F33)</f>
        <v/>
      </c>
      <c r="P43" s="124" t="str">
        <f aca="false">IF($H43="","",+O43/1000)</f>
        <v/>
      </c>
      <c r="Q43" s="124" t="str">
        <f aca="false">IF($H43="","",(IF('conversion datos'!$L$30='Patrones LACOMET'!$D$3,P43*0.0254,IF('conversion datos'!$L$30='Patrones LACOMET'!$D$4,P43,"No existe el patrón"))))</f>
        <v/>
      </c>
      <c r="R43" s="124" t="str">
        <f aca="false">IF($H43="","",(IF('conversion datos'!$L$30='Patrones LACOMET'!$D$3,E43*25.4,IF('conversion datos'!$L$30='Patrones LACOMET'!$D$4,E43,"No existe el patrón"))))</f>
        <v/>
      </c>
      <c r="S43" s="124" t="str">
        <f aca="false">+IF($H43="","",((INCERTIDUMBRE!$M$8)/1000)/25.4)</f>
        <v/>
      </c>
      <c r="T43" s="124" t="str">
        <f aca="false">IF($H43="","",(+H43+Q43+S43))</f>
        <v/>
      </c>
      <c r="U43" s="125" t="str">
        <f aca="false">IF($H43="","",(T43/25.4))</f>
        <v/>
      </c>
      <c r="V43" s="97"/>
      <c r="W43" s="142" t="e">
        <f aca="false">IF('Datos de condiciones'!D35="","",'Datos de condiciones'!D35)</f>
        <v>#VALUE!</v>
      </c>
      <c r="X43" s="143" t="str">
        <f aca="false">+IF($H43="","",(W43-20))</f>
        <v/>
      </c>
      <c r="Y43" s="144" t="e">
        <f aca="false">IF('Datos de condiciones'!E35="","",'Datos de condiciones'!E35)</f>
        <v>#VALUE!</v>
      </c>
      <c r="Z43" s="145" t="str">
        <f aca="false">+IF($H43="","",Y43-20)</f>
        <v/>
      </c>
      <c r="AA43" s="146" t="str">
        <f aca="false">+IF($H43="","",ABS(X43-Z43))</f>
        <v/>
      </c>
      <c r="AB43" s="131"/>
      <c r="AC43" s="147" t="n">
        <f aca="false">+AC42+1</f>
        <v>32</v>
      </c>
      <c r="AD43" s="148" t="str">
        <f aca="false">+IF($H43="","",W43)</f>
        <v/>
      </c>
      <c r="AE43" s="145" t="str">
        <f aca="false">+IF($H43="","",Y43)</f>
        <v/>
      </c>
      <c r="AF43" s="146" t="str">
        <f aca="false">+IF($H43="","",+(ABS(AD43-AE43)))</f>
        <v/>
      </c>
      <c r="AG43" s="149" t="e">
        <f aca="false">IF('Datos de condiciones'!F35="","",'Datos de condiciones'!F35)</f>
        <v>#VALUE!</v>
      </c>
      <c r="AH43" s="135"/>
      <c r="AI43" s="147" t="n">
        <f aca="false">+AI42+1</f>
        <v>32</v>
      </c>
      <c r="AJ43" s="140"/>
      <c r="AK43" s="123" t="e">
        <f aca="false">IF('Datos de condiciones'!G35="","",'Datos de condiciones'!G35)</f>
        <v>#VALUE!</v>
      </c>
      <c r="AL43" s="150"/>
    </row>
    <row r="44" customFormat="false" ht="15" hidden="false" customHeight="true" outlineLevel="0" collapsed="false">
      <c r="A44" s="81" t="n">
        <f aca="false">+A43+1</f>
        <v>33</v>
      </c>
      <c r="B44" s="114" t="str">
        <f aca="false">J44</f>
        <v/>
      </c>
      <c r="C44" s="115" t="str">
        <f aca="false">IF(H44="","",H44)</f>
        <v/>
      </c>
      <c r="D44" s="116" t="str">
        <f aca="false">IF(B44="","",(IF('conversion datos'!$L$30='Patrones LACOMET'!$D$3,(VLOOKUP(B44,'BLOQUES PATRON (pulg) '!$D$5:$H$87,3,TRUE())),IF('conversion datos'!$L$30='Patrones LACOMET'!$D$4,((VLOOKUP(CALIBRACION!B44,'BLOQUES PATRON (mm)'!$D$5:$H$126,3,FALSE()))/1000),"No existe el patrón"))))</f>
        <v/>
      </c>
      <c r="E44" s="117" t="str">
        <f aca="false">IF(B44="","",(B44+D44))</f>
        <v/>
      </c>
      <c r="F44" s="118" t="str">
        <f aca="false">IF(B44="","",(IF('conversion datos'!$L$30='Patrones LACOMET'!$D$3,(VLOOKUP(B44,'BLOQUES PATRON (pulg) '!$D$5:$H$86,5,FALSE())),IF('conversion datos'!$L$30='Patrones LACOMET'!$D$4,((VLOOKUP(CALIBRACION!B44,'BLOQUES PATRON (mm)'!$D$5:$H$126,4,FALSE()))/1000000),"No existe el patrón"))))</f>
        <v/>
      </c>
      <c r="G44" s="118" t="str">
        <f aca="false">IF(D44="","",(IF('conversion datos'!$L$30='Patrones LACOMET'!$D$3,(D44*25.4),IF('conversion datos'!$L$30='Patrones LACOMET'!$D$4,D44,"No existe el patrón"))))</f>
        <v/>
      </c>
      <c r="H44" s="119" t="str">
        <f aca="false">IF(J44="","",(IF('conversion datos'!$L$30='Patrones LACOMET'!$D$3,(CALIBRACION!J44*25.4),IF('conversion datos'!$L$30='Patrones LACOMET'!$D$4,(CALIBRACION!J44),"No existe el patrón"))))</f>
        <v/>
      </c>
      <c r="I44" s="120" t="e">
        <f aca="false">IF('conversion datos'!B34="","",'conversion datos'!B34)</f>
        <v>#VALUE!</v>
      </c>
      <c r="J44" s="121" t="str">
        <f aca="false">IF('conversion datos'!C34="","",'conversion datos'!C34)</f>
        <v/>
      </c>
      <c r="K44" s="152"/>
      <c r="L44" s="151"/>
      <c r="M44" s="151"/>
      <c r="N44" s="141"/>
      <c r="O44" s="123" t="str">
        <f aca="false">IF('conversion datos'!F34="","",'conversion datos'!F34)</f>
        <v/>
      </c>
      <c r="P44" s="124" t="str">
        <f aca="false">IF($H44="","",+O44/1000)</f>
        <v/>
      </c>
      <c r="Q44" s="124" t="str">
        <f aca="false">IF($H44="","",(IF('conversion datos'!$L$30='Patrones LACOMET'!$D$3,P44*0.0254,IF('conversion datos'!$L$30='Patrones LACOMET'!$D$4,P44,"No existe el patrón"))))</f>
        <v/>
      </c>
      <c r="R44" s="124" t="str">
        <f aca="false">IF($H44="","",(IF('conversion datos'!$L$30='Patrones LACOMET'!$D$3,E44*25.4,IF('conversion datos'!$L$30='Patrones LACOMET'!$D$4,E44,"No existe el patrón"))))</f>
        <v/>
      </c>
      <c r="S44" s="124" t="str">
        <f aca="false">+IF($H44="","",((INCERTIDUMBRE!$M$8)/1000)/25.4)</f>
        <v/>
      </c>
      <c r="T44" s="124" t="str">
        <f aca="false">IF($H44="","",(+H44+Q44+S44))</f>
        <v/>
      </c>
      <c r="U44" s="125" t="str">
        <f aca="false">IF($H44="","",(T44/25.4))</f>
        <v/>
      </c>
      <c r="V44" s="97"/>
      <c r="W44" s="142" t="e">
        <f aca="false">IF('Datos de condiciones'!D36="","",'Datos de condiciones'!D36)</f>
        <v>#VALUE!</v>
      </c>
      <c r="X44" s="143" t="str">
        <f aca="false">+IF($H44="","",(W44-20))</f>
        <v/>
      </c>
      <c r="Y44" s="144" t="e">
        <f aca="false">IF('Datos de condiciones'!E36="","",'Datos de condiciones'!E36)</f>
        <v>#VALUE!</v>
      </c>
      <c r="Z44" s="145" t="str">
        <f aca="false">+IF($H44="","",Y44-20)</f>
        <v/>
      </c>
      <c r="AA44" s="146" t="str">
        <f aca="false">+IF($H44="","",ABS(X44-Z44))</f>
        <v/>
      </c>
      <c r="AB44" s="131"/>
      <c r="AC44" s="147" t="n">
        <f aca="false">+AC43+1</f>
        <v>33</v>
      </c>
      <c r="AD44" s="148" t="str">
        <f aca="false">+IF($H44="","",W44)</f>
        <v/>
      </c>
      <c r="AE44" s="145" t="str">
        <f aca="false">+IF($H44="","",Y44)</f>
        <v/>
      </c>
      <c r="AF44" s="146" t="str">
        <f aca="false">+IF($H44="","",+(ABS(AD44-AE44)))</f>
        <v/>
      </c>
      <c r="AG44" s="149" t="e">
        <f aca="false">IF('Datos de condiciones'!F36="","",'Datos de condiciones'!F36)</f>
        <v>#VALUE!</v>
      </c>
      <c r="AH44" s="135"/>
      <c r="AI44" s="147" t="n">
        <f aca="false">+AI43+1</f>
        <v>33</v>
      </c>
      <c r="AJ44" s="140"/>
      <c r="AK44" s="123" t="e">
        <f aca="false">IF('Datos de condiciones'!G36="","",'Datos de condiciones'!G36)</f>
        <v>#VALUE!</v>
      </c>
      <c r="AL44" s="150"/>
    </row>
    <row r="45" customFormat="false" ht="15.75" hidden="false" customHeight="true" outlineLevel="0" collapsed="false">
      <c r="A45" s="81" t="n">
        <f aca="false">+A44+1</f>
        <v>34</v>
      </c>
      <c r="B45" s="114" t="str">
        <f aca="false">J45</f>
        <v/>
      </c>
      <c r="C45" s="115" t="str">
        <f aca="false">IF(H45="","",H45)</f>
        <v/>
      </c>
      <c r="D45" s="116" t="str">
        <f aca="false">IF(B45="","",(IF('conversion datos'!$L$30='Patrones LACOMET'!$D$3,(VLOOKUP(B45,'BLOQUES PATRON (pulg) '!$D$5:$H$87,3,TRUE())),IF('conversion datos'!$L$30='Patrones LACOMET'!$D$4,((VLOOKUP(CALIBRACION!B45,'BLOQUES PATRON (mm)'!$D$5:$H$126,3,FALSE()))/1000),"No existe el patrón"))))</f>
        <v/>
      </c>
      <c r="E45" s="117" t="str">
        <f aca="false">IF(B45="","",(B45+D45))</f>
        <v/>
      </c>
      <c r="F45" s="118" t="str">
        <f aca="false">IF(B45="","",(IF('conversion datos'!$L$30='Patrones LACOMET'!$D$3,(VLOOKUP(B45,'BLOQUES PATRON (pulg) '!$D$5:$H$86,5,FALSE())),IF('conversion datos'!$L$30='Patrones LACOMET'!$D$4,((VLOOKUP(CALIBRACION!B45,'BLOQUES PATRON (mm)'!$D$5:$H$126,4,FALSE()))/1000000),"No existe el patrón"))))</f>
        <v/>
      </c>
      <c r="G45" s="118" t="str">
        <f aca="false">IF(D45="","",(IF('conversion datos'!$L$30='Patrones LACOMET'!$D$3,(D45*25.4),IF('conversion datos'!$L$30='Patrones LACOMET'!$D$4,D45,"No existe el patrón"))))</f>
        <v/>
      </c>
      <c r="H45" s="119" t="str">
        <f aca="false">IF(J45="","",(IF('conversion datos'!$L$30='Patrones LACOMET'!$D$3,(CALIBRACION!J45*25.4),IF('conversion datos'!$L$30='Patrones LACOMET'!$D$4,(CALIBRACION!J45),"No existe el patrón"))))</f>
        <v/>
      </c>
      <c r="I45" s="120" t="e">
        <f aca="false">IF('conversion datos'!B35="","",'conversion datos'!B35)</f>
        <v>#VALUE!</v>
      </c>
      <c r="J45" s="121" t="str">
        <f aca="false">IF('conversion datos'!C35="","",'conversion datos'!C35)</f>
        <v/>
      </c>
      <c r="K45" s="152"/>
      <c r="L45" s="151"/>
      <c r="M45" s="151"/>
      <c r="N45" s="141"/>
      <c r="O45" s="123" t="str">
        <f aca="false">IF('conversion datos'!F35="","",'conversion datos'!F35)</f>
        <v/>
      </c>
      <c r="P45" s="124" t="str">
        <f aca="false">IF($H45="","",+O45/1000)</f>
        <v/>
      </c>
      <c r="Q45" s="124" t="str">
        <f aca="false">IF($H45="","",(IF('conversion datos'!$L$30='Patrones LACOMET'!$D$3,P45*0.0254,IF('conversion datos'!$L$30='Patrones LACOMET'!$D$4,P45,"No existe el patrón"))))</f>
        <v/>
      </c>
      <c r="R45" s="124" t="str">
        <f aca="false">IF($H45="","",(IF('conversion datos'!$L$30='Patrones LACOMET'!$D$3,E45*25.4,IF('conversion datos'!$L$30='Patrones LACOMET'!$D$4,E45,"No existe el patrón"))))</f>
        <v/>
      </c>
      <c r="S45" s="124" t="str">
        <f aca="false">+IF($H45="","",((INCERTIDUMBRE!$M$8)/1000)/25.4)</f>
        <v/>
      </c>
      <c r="T45" s="124" t="str">
        <f aca="false">IF($H45="","",(+H45+Q45+S45))</f>
        <v/>
      </c>
      <c r="U45" s="125" t="str">
        <f aca="false">IF($H45="","",(T45/25.4))</f>
        <v/>
      </c>
      <c r="V45" s="97"/>
      <c r="W45" s="142" t="e">
        <f aca="false">IF('Datos de condiciones'!D37="","",'Datos de condiciones'!D37)</f>
        <v>#VALUE!</v>
      </c>
      <c r="X45" s="143" t="str">
        <f aca="false">+IF($H45="","",(W45-20))</f>
        <v/>
      </c>
      <c r="Y45" s="144" t="e">
        <f aca="false">IF('Datos de condiciones'!E37="","",'Datos de condiciones'!E37)</f>
        <v>#VALUE!</v>
      </c>
      <c r="Z45" s="145" t="str">
        <f aca="false">+IF($H45="","",Y45-20)</f>
        <v/>
      </c>
      <c r="AA45" s="146" t="str">
        <f aca="false">+IF($H45="","",ABS(X45-Z45))</f>
        <v/>
      </c>
      <c r="AB45" s="131"/>
      <c r="AC45" s="147" t="n">
        <f aca="false">+AC44+1</f>
        <v>34</v>
      </c>
      <c r="AD45" s="148" t="str">
        <f aca="false">+IF($H45="","",W45)</f>
        <v/>
      </c>
      <c r="AE45" s="145" t="str">
        <f aca="false">+IF($H45="","",Y45)</f>
        <v/>
      </c>
      <c r="AF45" s="146" t="str">
        <f aca="false">+IF($H45="","",+(ABS(AD45-AE45)))</f>
        <v/>
      </c>
      <c r="AG45" s="149" t="e">
        <f aca="false">IF('Datos de condiciones'!F37="","",'Datos de condiciones'!F37)</f>
        <v>#VALUE!</v>
      </c>
      <c r="AH45" s="135"/>
      <c r="AI45" s="147" t="n">
        <f aca="false">+AI44+1</f>
        <v>34</v>
      </c>
      <c r="AJ45" s="140"/>
      <c r="AK45" s="123" t="e">
        <f aca="false">IF('Datos de condiciones'!G37="","",'Datos de condiciones'!G37)</f>
        <v>#VALUE!</v>
      </c>
      <c r="AL45" s="150"/>
    </row>
    <row r="46" customFormat="false" ht="16.5" hidden="false" customHeight="true" outlineLevel="0" collapsed="false">
      <c r="A46" s="81" t="n">
        <f aca="false">+A45+1</f>
        <v>35</v>
      </c>
      <c r="B46" s="114" t="str">
        <f aca="false">J46</f>
        <v/>
      </c>
      <c r="C46" s="115" t="str">
        <f aca="false">IF(H46="","",H46)</f>
        <v/>
      </c>
      <c r="D46" s="116" t="str">
        <f aca="false">IF(B46="","",(IF('conversion datos'!$L$30='Patrones LACOMET'!$D$3,(VLOOKUP(B46,'BLOQUES PATRON (pulg) '!$D$5:$H$87,3,TRUE())),IF('conversion datos'!$L$30='Patrones LACOMET'!$D$4,((VLOOKUP(CALIBRACION!B46,'BLOQUES PATRON (mm)'!$D$5:$H$126,3,FALSE()))/1000),"No existe el patrón"))))</f>
        <v/>
      </c>
      <c r="E46" s="117" t="str">
        <f aca="false">IF(B46="","",(B46+D46))</f>
        <v/>
      </c>
      <c r="F46" s="118" t="str">
        <f aca="false">IF(B46="","",(IF('conversion datos'!$L$30='Patrones LACOMET'!$D$3,(VLOOKUP(B46,'BLOQUES PATRON (pulg) '!$D$5:$H$86,5,FALSE())),IF('conversion datos'!$L$30='Patrones LACOMET'!$D$4,((VLOOKUP(CALIBRACION!B46,'BLOQUES PATRON (mm)'!$D$5:$H$126,4,FALSE()))/1000000),"No existe el patrón"))))</f>
        <v/>
      </c>
      <c r="G46" s="118" t="str">
        <f aca="false">IF(D46="","",(IF('conversion datos'!$L$30='Patrones LACOMET'!$D$3,(D46*25.4),IF('conversion datos'!$L$30='Patrones LACOMET'!$D$4,D46,"No existe el patrón"))))</f>
        <v/>
      </c>
      <c r="H46" s="119" t="str">
        <f aca="false">IF(J46="","",(IF('conversion datos'!$L$30='Patrones LACOMET'!$D$3,(CALIBRACION!J46*25.4),IF('conversion datos'!$L$30='Patrones LACOMET'!$D$4,(CALIBRACION!J46),"No existe el patrón"))))</f>
        <v/>
      </c>
      <c r="I46" s="120" t="e">
        <f aca="false">IF('conversion datos'!B36="","",'conversion datos'!B36)</f>
        <v>#VALUE!</v>
      </c>
      <c r="J46" s="121" t="str">
        <f aca="false">IF('conversion datos'!C36="","",'conversion datos'!C36)</f>
        <v/>
      </c>
      <c r="K46" s="152"/>
      <c r="L46" s="151"/>
      <c r="M46" s="151"/>
      <c r="N46" s="141"/>
      <c r="O46" s="123" t="str">
        <f aca="false">IF('conversion datos'!F36="","",'conversion datos'!F36)</f>
        <v/>
      </c>
      <c r="P46" s="124" t="str">
        <f aca="false">IF($H46="","",+O46/1000)</f>
        <v/>
      </c>
      <c r="Q46" s="124" t="str">
        <f aca="false">IF($H46="","",(IF('conversion datos'!$L$30='Patrones LACOMET'!$D$3,P46*0.0254,IF('conversion datos'!$L$30='Patrones LACOMET'!$D$4,P46,"No existe el patrón"))))</f>
        <v/>
      </c>
      <c r="R46" s="124" t="str">
        <f aca="false">IF($H46="","",(IF('conversion datos'!$L$30='Patrones LACOMET'!$D$3,E46*25.4,IF('conversion datos'!$L$30='Patrones LACOMET'!$D$4,E46,"No existe el patrón"))))</f>
        <v/>
      </c>
      <c r="S46" s="124" t="str">
        <f aca="false">+IF($H46="","",((INCERTIDUMBRE!$M$8)/1000)/25.4)</f>
        <v/>
      </c>
      <c r="T46" s="124" t="str">
        <f aca="false">IF($H46="","",(+H46+Q46+S46))</f>
        <v/>
      </c>
      <c r="U46" s="125" t="str">
        <f aca="false">IF($H46="","",(T46/25.4))</f>
        <v/>
      </c>
      <c r="V46" s="97"/>
      <c r="W46" s="142" t="e">
        <f aca="false">IF('Datos de condiciones'!D38="","",'Datos de condiciones'!D38)</f>
        <v>#VALUE!</v>
      </c>
      <c r="X46" s="143" t="str">
        <f aca="false">+IF($H46="","",(W46-20))</f>
        <v/>
      </c>
      <c r="Y46" s="144" t="e">
        <f aca="false">IF('Datos de condiciones'!E38="","",'Datos de condiciones'!E38)</f>
        <v>#VALUE!</v>
      </c>
      <c r="Z46" s="145" t="str">
        <f aca="false">+IF($H46="","",Y46-20)</f>
        <v/>
      </c>
      <c r="AA46" s="146" t="str">
        <f aca="false">+IF($H46="","",ABS(X46-Z46))</f>
        <v/>
      </c>
      <c r="AB46" s="131"/>
      <c r="AC46" s="147" t="n">
        <f aca="false">+AC45+1</f>
        <v>35</v>
      </c>
      <c r="AD46" s="148" t="str">
        <f aca="false">+IF($H46="","",W46)</f>
        <v/>
      </c>
      <c r="AE46" s="145" t="str">
        <f aca="false">+IF($H46="","",Y46)</f>
        <v/>
      </c>
      <c r="AF46" s="146" t="str">
        <f aca="false">+IF($H46="","",+(ABS(AD46-AE46)))</f>
        <v/>
      </c>
      <c r="AG46" s="149" t="e">
        <f aca="false">IF('Datos de condiciones'!F38="","",'Datos de condiciones'!F38)</f>
        <v>#VALUE!</v>
      </c>
      <c r="AH46" s="135"/>
      <c r="AI46" s="147" t="n">
        <f aca="false">+AI45+1</f>
        <v>35</v>
      </c>
      <c r="AJ46" s="140"/>
      <c r="AK46" s="123" t="e">
        <f aca="false">IF('Datos de condiciones'!G38="","",'Datos de condiciones'!G38)</f>
        <v>#VALUE!</v>
      </c>
      <c r="AL46" s="150"/>
    </row>
    <row r="47" customFormat="false" ht="15.75" hidden="false" customHeight="true" outlineLevel="0" collapsed="false">
      <c r="A47" s="81" t="n">
        <f aca="false">+A46+1</f>
        <v>36</v>
      </c>
      <c r="B47" s="114" t="str">
        <f aca="false">J47</f>
        <v/>
      </c>
      <c r="C47" s="115" t="str">
        <f aca="false">IF(H47="","",H47)</f>
        <v/>
      </c>
      <c r="D47" s="116" t="str">
        <f aca="false">IF(B47="","",(IF('conversion datos'!$L$30='Patrones LACOMET'!$D$3,(VLOOKUP(B47,'BLOQUES PATRON (pulg) '!$D$5:$H$87,3,TRUE())),IF('conversion datos'!$L$30='Patrones LACOMET'!$D$4,((VLOOKUP(CALIBRACION!B47,'BLOQUES PATRON (mm)'!$D$5:$H$126,3,FALSE()))/1000),"No existe el patrón"))))</f>
        <v/>
      </c>
      <c r="E47" s="117" t="str">
        <f aca="false">IF(B47="","",(B47+D47))</f>
        <v/>
      </c>
      <c r="F47" s="118" t="str">
        <f aca="false">IF(B47="","",(IF('conversion datos'!$L$30='Patrones LACOMET'!$D$3,(VLOOKUP(B47,'BLOQUES PATRON (pulg) '!$D$5:$H$86,5,FALSE())),IF('conversion datos'!$L$30='Patrones LACOMET'!$D$4,((VLOOKUP(CALIBRACION!B47,'BLOQUES PATRON (mm)'!$D$5:$H$126,4,FALSE()))/1000000),"No existe el patrón"))))</f>
        <v/>
      </c>
      <c r="G47" s="118" t="str">
        <f aca="false">IF(D47="","",(IF('conversion datos'!$L$30='Patrones LACOMET'!$D$3,(D47*25.4),IF('conversion datos'!$L$30='Patrones LACOMET'!$D$4,D47,"No existe el patrón"))))</f>
        <v/>
      </c>
      <c r="H47" s="119" t="str">
        <f aca="false">IF(J47="","",(IF('conversion datos'!$L$30='Patrones LACOMET'!$D$3,(CALIBRACION!J47*25.4),IF('conversion datos'!$L$30='Patrones LACOMET'!$D$4,(CALIBRACION!J47),"No existe el patrón"))))</f>
        <v/>
      </c>
      <c r="I47" s="120" t="e">
        <f aca="false">IF('conversion datos'!B37="","",'conversion datos'!B37)</f>
        <v>#VALUE!</v>
      </c>
      <c r="J47" s="121" t="str">
        <f aca="false">IF('conversion datos'!C37="","",'conversion datos'!C37)</f>
        <v/>
      </c>
      <c r="K47" s="152"/>
      <c r="L47" s="151"/>
      <c r="M47" s="151"/>
      <c r="N47" s="141"/>
      <c r="O47" s="123" t="str">
        <f aca="false">IF('conversion datos'!F37="","",'conversion datos'!F37)</f>
        <v/>
      </c>
      <c r="P47" s="124" t="str">
        <f aca="false">IF($H47="","",+O47/1000)</f>
        <v/>
      </c>
      <c r="Q47" s="124" t="str">
        <f aca="false">IF($H47="","",(IF('conversion datos'!$L$30='Patrones LACOMET'!$D$3,P47*0.0254,IF('conversion datos'!$L$30='Patrones LACOMET'!$D$4,P47,"No existe el patrón"))))</f>
        <v/>
      </c>
      <c r="R47" s="124" t="str">
        <f aca="false">IF($H47="","",(IF('conversion datos'!$L$30='Patrones LACOMET'!$D$3,E47*25.4,IF('conversion datos'!$L$30='Patrones LACOMET'!$D$4,E47,"No existe el patrón"))))</f>
        <v/>
      </c>
      <c r="S47" s="124" t="str">
        <f aca="false">+IF($H47="","",((INCERTIDUMBRE!$M$8)/1000)/25.4)</f>
        <v/>
      </c>
      <c r="T47" s="124" t="str">
        <f aca="false">IF($H47="","",(+H47+Q47+S47))</f>
        <v/>
      </c>
      <c r="U47" s="125" t="str">
        <f aca="false">IF($H47="","",(T47/25.4))</f>
        <v/>
      </c>
      <c r="V47" s="97"/>
      <c r="W47" s="142" t="e">
        <f aca="false">IF('Datos de condiciones'!D39="","",'Datos de condiciones'!D39)</f>
        <v>#VALUE!</v>
      </c>
      <c r="X47" s="143" t="str">
        <f aca="false">+IF($H47="","",(W47-20))</f>
        <v/>
      </c>
      <c r="Y47" s="144" t="e">
        <f aca="false">IF('Datos de condiciones'!E39="","",'Datos de condiciones'!E39)</f>
        <v>#VALUE!</v>
      </c>
      <c r="Z47" s="145" t="str">
        <f aca="false">+IF($H47="","",Y47-20)</f>
        <v/>
      </c>
      <c r="AA47" s="146" t="str">
        <f aca="false">+IF($H47="","",ABS(X47-Z47))</f>
        <v/>
      </c>
      <c r="AB47" s="131"/>
      <c r="AC47" s="147" t="n">
        <f aca="false">+AC46+1</f>
        <v>36</v>
      </c>
      <c r="AD47" s="148" t="str">
        <f aca="false">+IF($H47="","",W47)</f>
        <v/>
      </c>
      <c r="AE47" s="145" t="str">
        <f aca="false">+IF($H47="","",Y47)</f>
        <v/>
      </c>
      <c r="AF47" s="146" t="str">
        <f aca="false">+IF($H47="","",+(ABS(AD47-AE47)))</f>
        <v/>
      </c>
      <c r="AG47" s="149" t="e">
        <f aca="false">IF('Datos de condiciones'!F39="","",'Datos de condiciones'!F39)</f>
        <v>#VALUE!</v>
      </c>
      <c r="AH47" s="135"/>
      <c r="AI47" s="147" t="n">
        <f aca="false">+AI46+1</f>
        <v>36</v>
      </c>
      <c r="AJ47" s="140"/>
      <c r="AK47" s="123" t="e">
        <f aca="false">IF('Datos de condiciones'!G39="","",'Datos de condiciones'!G39)</f>
        <v>#VALUE!</v>
      </c>
      <c r="AL47" s="150"/>
    </row>
    <row r="48" customFormat="false" ht="16.5" hidden="false" customHeight="true" outlineLevel="0" collapsed="false">
      <c r="A48" s="81" t="n">
        <f aca="false">+A47+1</f>
        <v>37</v>
      </c>
      <c r="B48" s="114" t="str">
        <f aca="false">J48</f>
        <v/>
      </c>
      <c r="C48" s="115" t="str">
        <f aca="false">IF(H48="","",H48)</f>
        <v/>
      </c>
      <c r="D48" s="116" t="str">
        <f aca="false">IF(B48="","",(IF('conversion datos'!$L$30='Patrones LACOMET'!$D$3,(VLOOKUP(B48,'BLOQUES PATRON (pulg) '!$D$5:$H$87,3,TRUE())),IF('conversion datos'!$L$30='Patrones LACOMET'!$D$4,((VLOOKUP(CALIBRACION!B48,'BLOQUES PATRON (mm)'!$D$5:$H$126,3,FALSE()))/1000),"No existe el patrón"))))</f>
        <v/>
      </c>
      <c r="E48" s="117" t="str">
        <f aca="false">IF(B48="","",(B48+D48))</f>
        <v/>
      </c>
      <c r="F48" s="118" t="str">
        <f aca="false">IF(B48="","",(IF('conversion datos'!$L$30='Patrones LACOMET'!$D$3,(VLOOKUP(B48,'BLOQUES PATRON (pulg) '!$D$5:$H$86,5,FALSE())),IF('conversion datos'!$L$30='Patrones LACOMET'!$D$4,((VLOOKUP(CALIBRACION!B48,'BLOQUES PATRON (mm)'!$D$5:$H$126,4,FALSE()))/1000000),"No existe el patrón"))))</f>
        <v/>
      </c>
      <c r="G48" s="118" t="str">
        <f aca="false">IF(D48="","",(IF('conversion datos'!$L$30='Patrones LACOMET'!$D$3,(D48*25.4),IF('conversion datos'!$L$30='Patrones LACOMET'!$D$4,D48,"No existe el patrón"))))</f>
        <v/>
      </c>
      <c r="H48" s="119" t="str">
        <f aca="false">IF(J48="","",(IF('conversion datos'!$L$30='Patrones LACOMET'!$D$3,(CALIBRACION!J48*25.4),IF('conversion datos'!$L$30='Patrones LACOMET'!$D$4,(CALIBRACION!J48),"No existe el patrón"))))</f>
        <v/>
      </c>
      <c r="I48" s="120" t="e">
        <f aca="false">IF('conversion datos'!B38="","",'conversion datos'!B38)</f>
        <v>#VALUE!</v>
      </c>
      <c r="J48" s="121" t="str">
        <f aca="false">IF('conversion datos'!C38="","",'conversion datos'!C38)</f>
        <v/>
      </c>
      <c r="K48" s="152"/>
      <c r="L48" s="151"/>
      <c r="M48" s="151"/>
      <c r="N48" s="141"/>
      <c r="O48" s="123" t="str">
        <f aca="false">IF('conversion datos'!F38="","",'conversion datos'!F38)</f>
        <v/>
      </c>
      <c r="P48" s="124" t="str">
        <f aca="false">IF($H48="","",+O48/1000)</f>
        <v/>
      </c>
      <c r="Q48" s="124" t="str">
        <f aca="false">IF($H48="","",(IF('conversion datos'!$L$30='Patrones LACOMET'!$D$3,P48*0.0254,IF('conversion datos'!$L$30='Patrones LACOMET'!$D$4,P48,"No existe el patrón"))))</f>
        <v/>
      </c>
      <c r="R48" s="124" t="str">
        <f aca="false">IF($H48="","",(IF('conversion datos'!$L$30='Patrones LACOMET'!$D$3,E48*25.4,IF('conversion datos'!$L$30='Patrones LACOMET'!$D$4,E48,"No existe el patrón"))))</f>
        <v/>
      </c>
      <c r="S48" s="124" t="str">
        <f aca="false">+IF($H48="","",((INCERTIDUMBRE!$M$8)/1000)/25.4)</f>
        <v/>
      </c>
      <c r="T48" s="124" t="str">
        <f aca="false">IF($H48="","",(+H48+Q48+S48))</f>
        <v/>
      </c>
      <c r="U48" s="125" t="str">
        <f aca="false">IF($H48="","",(T48/25.4))</f>
        <v/>
      </c>
      <c r="V48" s="97"/>
      <c r="W48" s="142" t="e">
        <f aca="false">IF('Datos de condiciones'!D40="","",'Datos de condiciones'!D40)</f>
        <v>#VALUE!</v>
      </c>
      <c r="X48" s="143" t="str">
        <f aca="false">+IF($H48="","",(W48-20))</f>
        <v/>
      </c>
      <c r="Y48" s="144" t="e">
        <f aca="false">IF('Datos de condiciones'!E40="","",'Datos de condiciones'!E40)</f>
        <v>#VALUE!</v>
      </c>
      <c r="Z48" s="145" t="str">
        <f aca="false">+IF($H48="","",Y48-20)</f>
        <v/>
      </c>
      <c r="AA48" s="146" t="str">
        <f aca="false">+IF($H48="","",ABS(X48-Z48))</f>
        <v/>
      </c>
      <c r="AB48" s="131"/>
      <c r="AC48" s="147" t="n">
        <f aca="false">+AC47+1</f>
        <v>37</v>
      </c>
      <c r="AD48" s="148" t="str">
        <f aca="false">+IF($H48="","",W48)</f>
        <v/>
      </c>
      <c r="AE48" s="145" t="str">
        <f aca="false">+IF($H48="","",Y48)</f>
        <v/>
      </c>
      <c r="AF48" s="146" t="str">
        <f aca="false">+IF($H48="","",+(ABS(AD48-AE48)))</f>
        <v/>
      </c>
      <c r="AG48" s="149" t="e">
        <f aca="false">IF('Datos de condiciones'!F40="","",'Datos de condiciones'!F40)</f>
        <v>#VALUE!</v>
      </c>
      <c r="AH48" s="135"/>
      <c r="AI48" s="147" t="n">
        <f aca="false">+AI47+1</f>
        <v>37</v>
      </c>
      <c r="AJ48" s="140"/>
      <c r="AK48" s="123" t="e">
        <f aca="false">IF('Datos de condiciones'!G40="","",'Datos de condiciones'!G40)</f>
        <v>#VALUE!</v>
      </c>
      <c r="AL48" s="150"/>
    </row>
    <row r="49" customFormat="false" ht="15.75" hidden="false" customHeight="true" outlineLevel="0" collapsed="false">
      <c r="A49" s="81" t="n">
        <f aca="false">+A48+1</f>
        <v>38</v>
      </c>
      <c r="B49" s="114" t="str">
        <f aca="false">J49</f>
        <v/>
      </c>
      <c r="C49" s="115" t="str">
        <f aca="false">IF(H49="","",H49)</f>
        <v/>
      </c>
      <c r="D49" s="116" t="str">
        <f aca="false">IF(B49="","",(IF('conversion datos'!$L$30='Patrones LACOMET'!$D$3,(VLOOKUP(B49,'BLOQUES PATRON (pulg) '!$D$5:$H$87,3,TRUE())),IF('conversion datos'!$L$30='Patrones LACOMET'!$D$4,((VLOOKUP(CALIBRACION!B49,'BLOQUES PATRON (mm)'!$D$5:$H$126,3,FALSE()))/1000),"No existe el patrón"))))</f>
        <v/>
      </c>
      <c r="E49" s="117" t="str">
        <f aca="false">IF(B49="","",(B49+D49))</f>
        <v/>
      </c>
      <c r="F49" s="118" t="str">
        <f aca="false">IF(B49="","",(IF('conversion datos'!$L$30='Patrones LACOMET'!$D$3,(VLOOKUP(B49,'BLOQUES PATRON (pulg) '!$D$5:$H$86,5,FALSE())),IF('conversion datos'!$L$30='Patrones LACOMET'!$D$4,((VLOOKUP(CALIBRACION!B49,'BLOQUES PATRON (mm)'!$D$5:$H$126,4,FALSE()))/1000000),"No existe el patrón"))))</f>
        <v/>
      </c>
      <c r="G49" s="118" t="str">
        <f aca="false">IF(D49="","",(IF('conversion datos'!$L$30='Patrones LACOMET'!$D$3,(D49*25.4),IF('conversion datos'!$L$30='Patrones LACOMET'!$D$4,D49,"No existe el patrón"))))</f>
        <v/>
      </c>
      <c r="H49" s="119" t="str">
        <f aca="false">IF(J49="","",(IF('conversion datos'!$L$30='Patrones LACOMET'!$D$3,(CALIBRACION!J49*25.4),IF('conversion datos'!$L$30='Patrones LACOMET'!$D$4,(CALIBRACION!J49),"No existe el patrón"))))</f>
        <v/>
      </c>
      <c r="I49" s="120" t="e">
        <f aca="false">IF('conversion datos'!B39="","",'conversion datos'!B39)</f>
        <v>#VALUE!</v>
      </c>
      <c r="J49" s="121" t="str">
        <f aca="false">IF('conversion datos'!C39="","",'conversion datos'!C39)</f>
        <v/>
      </c>
      <c r="K49" s="152"/>
      <c r="L49" s="151"/>
      <c r="M49" s="151"/>
      <c r="N49" s="141"/>
      <c r="O49" s="123" t="str">
        <f aca="false">IF('conversion datos'!F39="","",'conversion datos'!F39)</f>
        <v/>
      </c>
      <c r="P49" s="124" t="str">
        <f aca="false">IF($H49="","",+O49/1000)</f>
        <v/>
      </c>
      <c r="Q49" s="124" t="str">
        <f aca="false">IF($H49="","",(IF('conversion datos'!$L$30='Patrones LACOMET'!$D$3,P49*0.0254,IF('conversion datos'!$L$30='Patrones LACOMET'!$D$4,P49,"No existe el patrón"))))</f>
        <v/>
      </c>
      <c r="R49" s="124" t="str">
        <f aca="false">IF($H49="","",(IF('conversion datos'!$L$30='Patrones LACOMET'!$D$3,E49*25.4,IF('conversion datos'!$L$30='Patrones LACOMET'!$D$4,E49,"No existe el patrón"))))</f>
        <v/>
      </c>
      <c r="S49" s="124" t="str">
        <f aca="false">+IF($H49="","",((INCERTIDUMBRE!$M$8)/1000)/25.4)</f>
        <v/>
      </c>
      <c r="T49" s="124" t="str">
        <f aca="false">IF($H49="","",(+H49+Q49+S49))</f>
        <v/>
      </c>
      <c r="U49" s="125" t="str">
        <f aca="false">IF($H49="","",(T49/25.4))</f>
        <v/>
      </c>
      <c r="V49" s="97"/>
      <c r="W49" s="142" t="e">
        <f aca="false">IF('Datos de condiciones'!D41="","",'Datos de condiciones'!D41)</f>
        <v>#VALUE!</v>
      </c>
      <c r="X49" s="143" t="str">
        <f aca="false">+IF($H49="","",(W49-20))</f>
        <v/>
      </c>
      <c r="Y49" s="144" t="e">
        <f aca="false">IF('Datos de condiciones'!E41="","",'Datos de condiciones'!E41)</f>
        <v>#VALUE!</v>
      </c>
      <c r="Z49" s="145" t="str">
        <f aca="false">+IF($H49="","",Y49-20)</f>
        <v/>
      </c>
      <c r="AA49" s="146" t="str">
        <f aca="false">+IF($H49="","",ABS(X49-Z49))</f>
        <v/>
      </c>
      <c r="AB49" s="131"/>
      <c r="AC49" s="147" t="n">
        <f aca="false">+AC48+1</f>
        <v>38</v>
      </c>
      <c r="AD49" s="148" t="str">
        <f aca="false">+IF($H49="","",W49)</f>
        <v/>
      </c>
      <c r="AE49" s="145" t="str">
        <f aca="false">+IF($H49="","",Y49)</f>
        <v/>
      </c>
      <c r="AF49" s="146" t="str">
        <f aca="false">+IF($H49="","",+(ABS(AD49-AE49)))</f>
        <v/>
      </c>
      <c r="AG49" s="149" t="e">
        <f aca="false">IF('Datos de condiciones'!F41="","",'Datos de condiciones'!F41)</f>
        <v>#VALUE!</v>
      </c>
      <c r="AH49" s="135"/>
      <c r="AI49" s="147" t="n">
        <f aca="false">+AI48+1</f>
        <v>38</v>
      </c>
      <c r="AJ49" s="140"/>
      <c r="AK49" s="123" t="e">
        <f aca="false">IF('Datos de condiciones'!G41="","",'Datos de condiciones'!G41)</f>
        <v>#VALUE!</v>
      </c>
      <c r="AL49" s="150"/>
    </row>
    <row r="50" customFormat="false" ht="15" hidden="false" customHeight="true" outlineLevel="0" collapsed="false">
      <c r="A50" s="81" t="n">
        <f aca="false">+A49+1</f>
        <v>39</v>
      </c>
      <c r="B50" s="114" t="str">
        <f aca="false">J50</f>
        <v/>
      </c>
      <c r="C50" s="115" t="str">
        <f aca="false">IF(H50="","",H50)</f>
        <v/>
      </c>
      <c r="D50" s="116" t="str">
        <f aca="false">IF(B50="","",(IF('conversion datos'!$L$30='Patrones LACOMET'!$D$3,(VLOOKUP(B50,'BLOQUES PATRON (pulg) '!$D$5:$H$87,3,TRUE())),IF('conversion datos'!$L$30='Patrones LACOMET'!$D$4,((VLOOKUP(CALIBRACION!B50,'BLOQUES PATRON (mm)'!$D$5:$H$126,3,FALSE()))/1000),"No existe el patrón"))))</f>
        <v/>
      </c>
      <c r="E50" s="117" t="str">
        <f aca="false">IF(B50="","",(B50+D50))</f>
        <v/>
      </c>
      <c r="F50" s="118" t="str">
        <f aca="false">IF(B50="","",(IF('conversion datos'!$L$30='Patrones LACOMET'!$D$3,(VLOOKUP(B50,'BLOQUES PATRON (pulg) '!$D$5:$H$86,5,FALSE())),IF('conversion datos'!$L$30='Patrones LACOMET'!$D$4,((VLOOKUP(CALIBRACION!B50,'BLOQUES PATRON (mm)'!$D$5:$H$126,4,FALSE()))/1000000),"No existe el patrón"))))</f>
        <v/>
      </c>
      <c r="G50" s="118" t="str">
        <f aca="false">IF(D50="","",(IF('conversion datos'!$L$30='Patrones LACOMET'!$D$3,(D50*25.4),IF('conversion datos'!$L$30='Patrones LACOMET'!$D$4,D50,"No existe el patrón"))))</f>
        <v/>
      </c>
      <c r="H50" s="119" t="str">
        <f aca="false">IF(J50="","",(IF('conversion datos'!$L$30='Patrones LACOMET'!$D$3,(CALIBRACION!J50*25.4),IF('conversion datos'!$L$30='Patrones LACOMET'!$D$4,(CALIBRACION!J50),"No existe el patrón"))))</f>
        <v/>
      </c>
      <c r="I50" s="120" t="e">
        <f aca="false">IF('conversion datos'!B40="","",'conversion datos'!B40)</f>
        <v>#VALUE!</v>
      </c>
      <c r="J50" s="121" t="str">
        <f aca="false">IF('conversion datos'!C40="","",'conversion datos'!C40)</f>
        <v/>
      </c>
      <c r="K50" s="152"/>
      <c r="L50" s="151"/>
      <c r="M50" s="151"/>
      <c r="N50" s="141"/>
      <c r="O50" s="123" t="str">
        <f aca="false">IF('conversion datos'!F40="","",'conversion datos'!F40)</f>
        <v/>
      </c>
      <c r="P50" s="124" t="str">
        <f aca="false">IF($H50="","",+O50/1000)</f>
        <v/>
      </c>
      <c r="Q50" s="124" t="str">
        <f aca="false">IF($H50="","",(IF('conversion datos'!$L$30='Patrones LACOMET'!$D$3,P50*0.0254,IF('conversion datos'!$L$30='Patrones LACOMET'!$D$4,P50,"No existe el patrón"))))</f>
        <v/>
      </c>
      <c r="R50" s="124" t="str">
        <f aca="false">IF($H50="","",(IF('conversion datos'!$L$30='Patrones LACOMET'!$D$3,E50*25.4,IF('conversion datos'!$L$30='Patrones LACOMET'!$D$4,E50,"No existe el patrón"))))</f>
        <v/>
      </c>
      <c r="S50" s="124" t="str">
        <f aca="false">+IF($H50="","",((INCERTIDUMBRE!$M$8)/1000)/25.4)</f>
        <v/>
      </c>
      <c r="T50" s="124" t="str">
        <f aca="false">IF($H50="","",(+H50+Q50+S50))</f>
        <v/>
      </c>
      <c r="U50" s="125" t="str">
        <f aca="false">IF($H50="","",(T50/25.4))</f>
        <v/>
      </c>
      <c r="V50" s="97"/>
      <c r="W50" s="142" t="e">
        <f aca="false">IF('Datos de condiciones'!D42="","",'Datos de condiciones'!D42)</f>
        <v>#VALUE!</v>
      </c>
      <c r="X50" s="143" t="str">
        <f aca="false">+IF($H50="","",(W50-20))</f>
        <v/>
      </c>
      <c r="Y50" s="144" t="e">
        <f aca="false">IF('Datos de condiciones'!E42="","",'Datos de condiciones'!E42)</f>
        <v>#VALUE!</v>
      </c>
      <c r="Z50" s="145" t="str">
        <f aca="false">+IF($H50="","",Y50-20)</f>
        <v/>
      </c>
      <c r="AA50" s="146" t="str">
        <f aca="false">+IF($H50="","",ABS(X50-Z50))</f>
        <v/>
      </c>
      <c r="AB50" s="131"/>
      <c r="AC50" s="147" t="n">
        <f aca="false">+AC49+1</f>
        <v>39</v>
      </c>
      <c r="AD50" s="148" t="str">
        <f aca="false">+IF($H50="","",W50)</f>
        <v/>
      </c>
      <c r="AE50" s="145" t="str">
        <f aca="false">+IF($H50="","",Y50)</f>
        <v/>
      </c>
      <c r="AF50" s="146" t="str">
        <f aca="false">+IF($H50="","",+(ABS(AD50-AE50)))</f>
        <v/>
      </c>
      <c r="AG50" s="149" t="e">
        <f aca="false">IF('Datos de condiciones'!F42="","",'Datos de condiciones'!F42)</f>
        <v>#VALUE!</v>
      </c>
      <c r="AH50" s="135"/>
      <c r="AI50" s="147" t="n">
        <f aca="false">+AI49+1</f>
        <v>39</v>
      </c>
      <c r="AJ50" s="140"/>
      <c r="AK50" s="123" t="e">
        <f aca="false">IF('Datos de condiciones'!G42="","",'Datos de condiciones'!G42)</f>
        <v>#VALUE!</v>
      </c>
      <c r="AL50" s="150"/>
    </row>
    <row r="51" customFormat="false" ht="15.75" hidden="false" customHeight="true" outlineLevel="0" collapsed="false">
      <c r="A51" s="81" t="n">
        <f aca="false">+A50+1</f>
        <v>40</v>
      </c>
      <c r="B51" s="114" t="str">
        <f aca="false">J51</f>
        <v/>
      </c>
      <c r="C51" s="115" t="str">
        <f aca="false">IF(H51="","",H51)</f>
        <v/>
      </c>
      <c r="D51" s="116" t="str">
        <f aca="false">IF(B51="","",(IF('conversion datos'!$L$30='Patrones LACOMET'!$D$3,(VLOOKUP(B51,'BLOQUES PATRON (pulg) '!$D$5:$H$87,3,TRUE())),IF('conversion datos'!$L$30='Patrones LACOMET'!$D$4,((VLOOKUP(CALIBRACION!B51,'BLOQUES PATRON (mm)'!$D$5:$H$126,3,FALSE()))/1000),"No existe el patrón"))))</f>
        <v/>
      </c>
      <c r="E51" s="117" t="str">
        <f aca="false">IF(B51="","",(B51+D51))</f>
        <v/>
      </c>
      <c r="F51" s="118" t="str">
        <f aca="false">IF(B51="","",(IF('conversion datos'!$L$30='Patrones LACOMET'!$D$3,(VLOOKUP(B51,'BLOQUES PATRON (pulg) '!$D$5:$H$86,5,FALSE())),IF('conversion datos'!$L$30='Patrones LACOMET'!$D$4,((VLOOKUP(CALIBRACION!B51,'BLOQUES PATRON (mm)'!$D$5:$H$126,4,FALSE()))/1000000),"No existe el patrón"))))</f>
        <v/>
      </c>
      <c r="G51" s="118" t="str">
        <f aca="false">IF(D51="","",(IF('conversion datos'!$L$30='Patrones LACOMET'!$D$3,(D51*25.4),IF('conversion datos'!$L$30='Patrones LACOMET'!$D$4,D51,"No existe el patrón"))))</f>
        <v/>
      </c>
      <c r="H51" s="119" t="str">
        <f aca="false">IF(J51="","",(IF('conversion datos'!$L$30='Patrones LACOMET'!$D$3,(CALIBRACION!J51*25.4),IF('conversion datos'!$L$30='Patrones LACOMET'!$D$4,(CALIBRACION!J51),"No existe el patrón"))))</f>
        <v/>
      </c>
      <c r="I51" s="120" t="e">
        <f aca="false">IF('conversion datos'!B41="","",'conversion datos'!B41)</f>
        <v>#VALUE!</v>
      </c>
      <c r="J51" s="121" t="str">
        <f aca="false">IF('conversion datos'!C41="","",'conversion datos'!C41)</f>
        <v/>
      </c>
      <c r="K51" s="152"/>
      <c r="L51" s="151"/>
      <c r="M51" s="151"/>
      <c r="N51" s="141"/>
      <c r="O51" s="123" t="str">
        <f aca="false">IF('conversion datos'!F41="","",'conversion datos'!F41)</f>
        <v/>
      </c>
      <c r="P51" s="124" t="str">
        <f aca="false">IF($H51="","",+O51/1000)</f>
        <v/>
      </c>
      <c r="Q51" s="124" t="str">
        <f aca="false">IF($H51="","",(IF('conversion datos'!$L$30='Patrones LACOMET'!$D$3,P51*0.0254,IF('conversion datos'!$L$30='Patrones LACOMET'!$D$4,P51,"No existe el patrón"))))</f>
        <v/>
      </c>
      <c r="R51" s="124" t="str">
        <f aca="false">IF($H51="","",(IF('conversion datos'!$L$30='Patrones LACOMET'!$D$3,E51*25.4,IF('conversion datos'!$L$30='Patrones LACOMET'!$D$4,E51,"No existe el patrón"))))</f>
        <v/>
      </c>
      <c r="S51" s="124" t="str">
        <f aca="false">+IF($H51="","",((INCERTIDUMBRE!$M$8)/1000)/25.4)</f>
        <v/>
      </c>
      <c r="T51" s="124" t="str">
        <f aca="false">IF($H51="","",(+H51+Q51+S51))</f>
        <v/>
      </c>
      <c r="U51" s="125" t="str">
        <f aca="false">IF($H51="","",(T51/25.4))</f>
        <v/>
      </c>
      <c r="V51" s="97"/>
      <c r="W51" s="142" t="e">
        <f aca="false">IF('Datos de condiciones'!D43="","",'Datos de condiciones'!D43)</f>
        <v>#VALUE!</v>
      </c>
      <c r="X51" s="143" t="str">
        <f aca="false">+IF($H51="","",(W51-20))</f>
        <v/>
      </c>
      <c r="Y51" s="144" t="e">
        <f aca="false">IF('Datos de condiciones'!E43="","",'Datos de condiciones'!E43)</f>
        <v>#VALUE!</v>
      </c>
      <c r="Z51" s="145" t="str">
        <f aca="false">+IF($H51="","",Y51-20)</f>
        <v/>
      </c>
      <c r="AA51" s="146" t="str">
        <f aca="false">+IF($H51="","",ABS(X51-Z51))</f>
        <v/>
      </c>
      <c r="AB51" s="131"/>
      <c r="AC51" s="147" t="n">
        <f aca="false">+AC50+1</f>
        <v>40</v>
      </c>
      <c r="AD51" s="148" t="str">
        <f aca="false">+IF($H51="","",W51)</f>
        <v/>
      </c>
      <c r="AE51" s="145" t="str">
        <f aca="false">+IF($H51="","",Y51)</f>
        <v/>
      </c>
      <c r="AF51" s="146" t="str">
        <f aca="false">+IF($H51="","",+(ABS(AD51-AE51)))</f>
        <v/>
      </c>
      <c r="AG51" s="149" t="e">
        <f aca="false">IF('Datos de condiciones'!F43="","",'Datos de condiciones'!F43)</f>
        <v>#VALUE!</v>
      </c>
      <c r="AH51" s="135"/>
      <c r="AI51" s="147" t="n">
        <f aca="false">+AI50+1</f>
        <v>40</v>
      </c>
      <c r="AJ51" s="140"/>
      <c r="AK51" s="123" t="e">
        <f aca="false">IF('Datos de condiciones'!G43="","",'Datos de condiciones'!G43)</f>
        <v>#VALUE!</v>
      </c>
      <c r="AL51" s="150"/>
    </row>
    <row r="52" customFormat="false" ht="15" hidden="false" customHeight="true" outlineLevel="0" collapsed="false">
      <c r="A52" s="81" t="n">
        <f aca="false">+A51+1</f>
        <v>41</v>
      </c>
      <c r="B52" s="114" t="str">
        <f aca="false">J52</f>
        <v/>
      </c>
      <c r="C52" s="115" t="str">
        <f aca="false">IF(H52="","",H52)</f>
        <v/>
      </c>
      <c r="D52" s="116" t="str">
        <f aca="false">IF(B52="","",(IF('conversion datos'!$L$30='Patrones LACOMET'!$D$3,(VLOOKUP(B52,'BLOQUES PATRON (pulg) '!$D$5:$H$87,3,TRUE())),IF('conversion datos'!$L$30='Patrones LACOMET'!$D$4,((VLOOKUP(CALIBRACION!B52,'BLOQUES PATRON (mm)'!$D$5:$H$126,3,FALSE()))/1000),"No existe el patrón"))))</f>
        <v/>
      </c>
      <c r="E52" s="117" t="str">
        <f aca="false">IF(B52="","",(B52+D52))</f>
        <v/>
      </c>
      <c r="F52" s="118" t="str">
        <f aca="false">IF(B52="","",(IF('conversion datos'!$L$30='Patrones LACOMET'!$D$3,(VLOOKUP(B52,'BLOQUES PATRON (pulg) '!$D$5:$H$86,5,FALSE())),IF('conversion datos'!$L$30='Patrones LACOMET'!$D$4,((VLOOKUP(CALIBRACION!B52,'BLOQUES PATRON (mm)'!$D$5:$H$126,4,FALSE()))/1000000),"No existe el patrón"))))</f>
        <v/>
      </c>
      <c r="G52" s="118" t="str">
        <f aca="false">IF(D52="","",(IF('conversion datos'!$L$30='Patrones LACOMET'!$D$3,(D52*25.4),IF('conversion datos'!$L$30='Patrones LACOMET'!$D$4,D52,"No existe el patrón"))))</f>
        <v/>
      </c>
      <c r="H52" s="119" t="str">
        <f aca="false">IF(J52="","",(IF('conversion datos'!$L$30='Patrones LACOMET'!$D$3,(CALIBRACION!J52*25.4),IF('conversion datos'!$L$30='Patrones LACOMET'!$D$4,(CALIBRACION!J52),"No existe el patrón"))))</f>
        <v/>
      </c>
      <c r="I52" s="120" t="e">
        <f aca="false">IF('conversion datos'!B42="","",'conversion datos'!B42)</f>
        <v>#VALUE!</v>
      </c>
      <c r="J52" s="121" t="str">
        <f aca="false">IF('conversion datos'!C42="","",'conversion datos'!C42)</f>
        <v/>
      </c>
      <c r="K52" s="152"/>
      <c r="L52" s="151"/>
      <c r="M52" s="151"/>
      <c r="N52" s="141"/>
      <c r="O52" s="123" t="str">
        <f aca="false">IF('conversion datos'!F42="","",'conversion datos'!F42)</f>
        <v/>
      </c>
      <c r="P52" s="124" t="str">
        <f aca="false">IF($H52="","",+O52/1000)</f>
        <v/>
      </c>
      <c r="Q52" s="124" t="str">
        <f aca="false">IF($H52="","",(IF('conversion datos'!$L$30='Patrones LACOMET'!$D$3,P52*0.0254,IF('conversion datos'!$L$30='Patrones LACOMET'!$D$4,P52,"No existe el patrón"))))</f>
        <v/>
      </c>
      <c r="R52" s="124" t="str">
        <f aca="false">IF($H52="","",(IF('conversion datos'!$L$30='Patrones LACOMET'!$D$3,E52*25.4,IF('conversion datos'!$L$30='Patrones LACOMET'!$D$4,E52,"No existe el patrón"))))</f>
        <v/>
      </c>
      <c r="S52" s="124" t="str">
        <f aca="false">+IF($H52="","",((INCERTIDUMBRE!$M$8)/1000)/25.4)</f>
        <v/>
      </c>
      <c r="T52" s="124" t="str">
        <f aca="false">IF($H52="","",(+H52+Q52+S52))</f>
        <v/>
      </c>
      <c r="U52" s="125" t="str">
        <f aca="false">IF($H52="","",(T52/25.4))</f>
        <v/>
      </c>
      <c r="V52" s="97"/>
      <c r="W52" s="142" t="e">
        <f aca="false">IF('Datos de condiciones'!D44="","",'Datos de condiciones'!D44)</f>
        <v>#VALUE!</v>
      </c>
      <c r="X52" s="143" t="str">
        <f aca="false">+IF($H52="","",(W52-20))</f>
        <v/>
      </c>
      <c r="Y52" s="144" t="e">
        <f aca="false">IF('Datos de condiciones'!E44="","",'Datos de condiciones'!E44)</f>
        <v>#VALUE!</v>
      </c>
      <c r="Z52" s="145" t="str">
        <f aca="false">+IF($H52="","",Y52-20)</f>
        <v/>
      </c>
      <c r="AA52" s="146" t="str">
        <f aca="false">+IF($H52="","",ABS(X52-Z52))</f>
        <v/>
      </c>
      <c r="AB52" s="131"/>
      <c r="AC52" s="147" t="n">
        <f aca="false">+AC51+1</f>
        <v>41</v>
      </c>
      <c r="AD52" s="148" t="str">
        <f aca="false">+IF($H52="","",W52)</f>
        <v/>
      </c>
      <c r="AE52" s="145" t="str">
        <f aca="false">+IF($H52="","",Y52)</f>
        <v/>
      </c>
      <c r="AF52" s="146" t="str">
        <f aca="false">+IF($H52="","",+(ABS(AD52-AE52)))</f>
        <v/>
      </c>
      <c r="AG52" s="149" t="e">
        <f aca="false">IF('Datos de condiciones'!F44="","",'Datos de condiciones'!F44)</f>
        <v>#VALUE!</v>
      </c>
      <c r="AH52" s="135"/>
      <c r="AI52" s="147" t="n">
        <f aca="false">+AI51+1</f>
        <v>41</v>
      </c>
      <c r="AJ52" s="140"/>
      <c r="AK52" s="123" t="e">
        <f aca="false">IF('Datos de condiciones'!G44="","",'Datos de condiciones'!G44)</f>
        <v>#VALUE!</v>
      </c>
      <c r="AL52" s="150"/>
    </row>
    <row r="53" customFormat="false" ht="15" hidden="false" customHeight="true" outlineLevel="0" collapsed="false">
      <c r="A53" s="81" t="n">
        <f aca="false">+A52+1</f>
        <v>42</v>
      </c>
      <c r="B53" s="114" t="str">
        <f aca="false">J53</f>
        <v/>
      </c>
      <c r="C53" s="115" t="str">
        <f aca="false">IF(H53="","",H53)</f>
        <v/>
      </c>
      <c r="D53" s="116" t="str">
        <f aca="false">IF(B53="","",(IF('conversion datos'!$L$30='Patrones LACOMET'!$D$3,(VLOOKUP(B53,'BLOQUES PATRON (pulg) '!$D$5:$H$87,3,TRUE())),IF('conversion datos'!$L$30='Patrones LACOMET'!$D$4,((VLOOKUP(CALIBRACION!B53,'BLOQUES PATRON (mm)'!$D$5:$H$126,3,FALSE()))/1000),"No existe el patrón"))))</f>
        <v/>
      </c>
      <c r="E53" s="117" t="str">
        <f aca="false">IF(B53="","",(B53+D53))</f>
        <v/>
      </c>
      <c r="F53" s="118" t="str">
        <f aca="false">IF(B53="","",(IF('conversion datos'!$L$30='Patrones LACOMET'!$D$3,(VLOOKUP(B53,'BLOQUES PATRON (pulg) '!$D$5:$H$86,5,FALSE())),IF('conversion datos'!$L$30='Patrones LACOMET'!$D$4,((VLOOKUP(CALIBRACION!B53,'BLOQUES PATRON (mm)'!$D$5:$H$126,4,FALSE()))/1000000),"No existe el patrón"))))</f>
        <v/>
      </c>
      <c r="G53" s="118" t="str">
        <f aca="false">IF(D53="","",(IF('conversion datos'!$L$30='Patrones LACOMET'!$D$3,(D53*25.4),IF('conversion datos'!$L$30='Patrones LACOMET'!$D$4,D53,"No existe el patrón"))))</f>
        <v/>
      </c>
      <c r="H53" s="119" t="str">
        <f aca="false">IF(J53="","",(IF('conversion datos'!$L$30='Patrones LACOMET'!$D$3,(CALIBRACION!J53*25.4),IF('conversion datos'!$L$30='Patrones LACOMET'!$D$4,(CALIBRACION!J53),"No existe el patrón"))))</f>
        <v/>
      </c>
      <c r="I53" s="120" t="e">
        <f aca="false">IF('conversion datos'!B43="","",'conversion datos'!B43)</f>
        <v>#VALUE!</v>
      </c>
      <c r="J53" s="121" t="str">
        <f aca="false">IF('conversion datos'!C43="","",'conversion datos'!C43)</f>
        <v/>
      </c>
      <c r="K53" s="152"/>
      <c r="L53" s="151"/>
      <c r="M53" s="151"/>
      <c r="N53" s="141"/>
      <c r="O53" s="123" t="str">
        <f aca="false">IF('conversion datos'!F43="","",'conversion datos'!F43)</f>
        <v/>
      </c>
      <c r="P53" s="124" t="str">
        <f aca="false">IF($H53="","",+O53/1000)</f>
        <v/>
      </c>
      <c r="Q53" s="124" t="str">
        <f aca="false">IF($H53="","",(IF('conversion datos'!$L$30='Patrones LACOMET'!$D$3,P53*0.0254,IF('conversion datos'!$L$30='Patrones LACOMET'!$D$4,P53,"No existe el patrón"))))</f>
        <v/>
      </c>
      <c r="R53" s="124" t="str">
        <f aca="false">IF($H53="","",(IF('conversion datos'!$L$30='Patrones LACOMET'!$D$3,E53*25.4,IF('conversion datos'!$L$30='Patrones LACOMET'!$D$4,E53,"No existe el patrón"))))</f>
        <v/>
      </c>
      <c r="S53" s="124" t="str">
        <f aca="false">+IF($H53="","",((INCERTIDUMBRE!$M$8)/1000)/25.4)</f>
        <v/>
      </c>
      <c r="T53" s="124" t="str">
        <f aca="false">IF($H53="","",(+H53+Q53+S53))</f>
        <v/>
      </c>
      <c r="U53" s="125" t="str">
        <f aca="false">IF($H53="","",(T53/25.4))</f>
        <v/>
      </c>
      <c r="V53" s="97"/>
      <c r="W53" s="142" t="e">
        <f aca="false">IF('Datos de condiciones'!D45="","",'Datos de condiciones'!D45)</f>
        <v>#VALUE!</v>
      </c>
      <c r="X53" s="143" t="str">
        <f aca="false">+IF($H53="","",(W53-20))</f>
        <v/>
      </c>
      <c r="Y53" s="144" t="e">
        <f aca="false">IF('Datos de condiciones'!E45="","",'Datos de condiciones'!E45)</f>
        <v>#VALUE!</v>
      </c>
      <c r="Z53" s="145" t="str">
        <f aca="false">+IF($H53="","",Y53-20)</f>
        <v/>
      </c>
      <c r="AA53" s="146" t="str">
        <f aca="false">+IF($H53="","",ABS(X53-Z53))</f>
        <v/>
      </c>
      <c r="AB53" s="131"/>
      <c r="AC53" s="147" t="n">
        <f aca="false">+AC52+1</f>
        <v>42</v>
      </c>
      <c r="AD53" s="148" t="str">
        <f aca="false">+IF($H53="","",W53)</f>
        <v/>
      </c>
      <c r="AE53" s="145" t="str">
        <f aca="false">+IF($H53="","",Y53)</f>
        <v/>
      </c>
      <c r="AF53" s="146" t="str">
        <f aca="false">+IF($H53="","",+(ABS(AD53-AE53)))</f>
        <v/>
      </c>
      <c r="AG53" s="149" t="e">
        <f aca="false">IF('Datos de condiciones'!F45="","",'Datos de condiciones'!F45)</f>
        <v>#VALUE!</v>
      </c>
      <c r="AH53" s="135"/>
      <c r="AI53" s="147" t="n">
        <f aca="false">+AI52+1</f>
        <v>42</v>
      </c>
      <c r="AJ53" s="140"/>
      <c r="AK53" s="123" t="e">
        <f aca="false">IF('Datos de condiciones'!G45="","",'Datos de condiciones'!G45)</f>
        <v>#VALUE!</v>
      </c>
      <c r="AL53" s="150"/>
    </row>
    <row r="54" customFormat="false" ht="15" hidden="false" customHeight="true" outlineLevel="0" collapsed="false">
      <c r="A54" s="81" t="n">
        <f aca="false">+A53+1</f>
        <v>43</v>
      </c>
      <c r="B54" s="114" t="str">
        <f aca="false">J54</f>
        <v/>
      </c>
      <c r="C54" s="115" t="str">
        <f aca="false">IF(H54="","",H54)</f>
        <v/>
      </c>
      <c r="D54" s="116" t="str">
        <f aca="false">IF(B54="","",(IF('conversion datos'!$L$30='Patrones LACOMET'!$D$3,(VLOOKUP(B54,'BLOQUES PATRON (pulg) '!$D$5:$H$87,3,TRUE())),IF('conversion datos'!$L$30='Patrones LACOMET'!$D$4,((VLOOKUP(CALIBRACION!B54,'BLOQUES PATRON (mm)'!$D$5:$H$126,3,FALSE()))/1000),"No existe el patrón"))))</f>
        <v/>
      </c>
      <c r="E54" s="117" t="str">
        <f aca="false">IF(B54="","",(B54+D54))</f>
        <v/>
      </c>
      <c r="F54" s="118" t="str">
        <f aca="false">IF(B54="","",(IF('conversion datos'!$L$30='Patrones LACOMET'!$D$3,(VLOOKUP(B54,'BLOQUES PATRON (pulg) '!$D$5:$H$86,5,FALSE())),IF('conversion datos'!$L$30='Patrones LACOMET'!$D$4,((VLOOKUP(CALIBRACION!B54,'BLOQUES PATRON (mm)'!$D$5:$H$126,4,FALSE()))/1000000),"No existe el patrón"))))</f>
        <v/>
      </c>
      <c r="G54" s="118" t="str">
        <f aca="false">IF(D54="","",(IF('conversion datos'!$L$30='Patrones LACOMET'!$D$3,(D54*25.4),IF('conversion datos'!$L$30='Patrones LACOMET'!$D$4,D54,"No existe el patrón"))))</f>
        <v/>
      </c>
      <c r="H54" s="119" t="str">
        <f aca="false">IF(J54="","",(IF('conversion datos'!$L$30='Patrones LACOMET'!$D$3,(CALIBRACION!J54*25.4),IF('conversion datos'!$L$30='Patrones LACOMET'!$D$4,(CALIBRACION!J54),"No existe el patrón"))))</f>
        <v/>
      </c>
      <c r="I54" s="120" t="e">
        <f aca="false">IF('conversion datos'!B44="","",'conversion datos'!B44)</f>
        <v>#VALUE!</v>
      </c>
      <c r="J54" s="121" t="str">
        <f aca="false">IF('conversion datos'!C44="","",'conversion datos'!C44)</f>
        <v/>
      </c>
      <c r="K54" s="152"/>
      <c r="L54" s="151"/>
      <c r="M54" s="151"/>
      <c r="N54" s="141"/>
      <c r="O54" s="123" t="str">
        <f aca="false">IF('conversion datos'!F44="","",'conversion datos'!F44)</f>
        <v/>
      </c>
      <c r="P54" s="124" t="str">
        <f aca="false">IF($H54="","",+O54/1000)</f>
        <v/>
      </c>
      <c r="Q54" s="124" t="str">
        <f aca="false">IF($H54="","",(IF('conversion datos'!$L$30='Patrones LACOMET'!$D$3,P54*0.0254,IF('conversion datos'!$L$30='Patrones LACOMET'!$D$4,P54,"No existe el patrón"))))</f>
        <v/>
      </c>
      <c r="R54" s="124" t="str">
        <f aca="false">IF($H54="","",(IF('conversion datos'!$L$30='Patrones LACOMET'!$D$3,E54*25.4,IF('conversion datos'!$L$30='Patrones LACOMET'!$D$4,E54,"No existe el patrón"))))</f>
        <v/>
      </c>
      <c r="S54" s="124" t="str">
        <f aca="false">+IF($H54="","",((INCERTIDUMBRE!$M$8)/1000)/25.4)</f>
        <v/>
      </c>
      <c r="T54" s="124" t="str">
        <f aca="false">IF($H54="","",(+H54+Q54+S54))</f>
        <v/>
      </c>
      <c r="U54" s="125" t="str">
        <f aca="false">IF($H54="","",(T54/25.4))</f>
        <v/>
      </c>
      <c r="V54" s="97"/>
      <c r="W54" s="142" t="e">
        <f aca="false">IF('Datos de condiciones'!D46="","",'Datos de condiciones'!D46)</f>
        <v>#VALUE!</v>
      </c>
      <c r="X54" s="143" t="str">
        <f aca="false">+IF($H54="","",(W54-20))</f>
        <v/>
      </c>
      <c r="Y54" s="144" t="e">
        <f aca="false">IF('Datos de condiciones'!E46="","",'Datos de condiciones'!E46)</f>
        <v>#VALUE!</v>
      </c>
      <c r="Z54" s="145" t="str">
        <f aca="false">+IF($H54="","",Y54-20)</f>
        <v/>
      </c>
      <c r="AA54" s="146" t="str">
        <f aca="false">+IF($H54="","",ABS(X54-Z54))</f>
        <v/>
      </c>
      <c r="AB54" s="131"/>
      <c r="AC54" s="147" t="n">
        <f aca="false">+AC53+1</f>
        <v>43</v>
      </c>
      <c r="AD54" s="148" t="str">
        <f aca="false">+IF($H54="","",W54)</f>
        <v/>
      </c>
      <c r="AE54" s="145" t="str">
        <f aca="false">+IF($H54="","",Y54)</f>
        <v/>
      </c>
      <c r="AF54" s="146" t="str">
        <f aca="false">+IF($H54="","",+(ABS(AD54-AE54)))</f>
        <v/>
      </c>
      <c r="AG54" s="149" t="e">
        <f aca="false">IF('Datos de condiciones'!F46="","",'Datos de condiciones'!F46)</f>
        <v>#VALUE!</v>
      </c>
      <c r="AH54" s="135"/>
      <c r="AI54" s="147" t="n">
        <f aca="false">+AI53+1</f>
        <v>43</v>
      </c>
      <c r="AJ54" s="140"/>
      <c r="AK54" s="123" t="e">
        <f aca="false">IF('Datos de condiciones'!G46="","",'Datos de condiciones'!G46)</f>
        <v>#VALUE!</v>
      </c>
      <c r="AL54" s="150"/>
    </row>
    <row r="55" customFormat="false" ht="15" hidden="false" customHeight="true" outlineLevel="0" collapsed="false">
      <c r="A55" s="81" t="n">
        <f aca="false">+A54+1</f>
        <v>44</v>
      </c>
      <c r="B55" s="114" t="str">
        <f aca="false">J55</f>
        <v/>
      </c>
      <c r="C55" s="115" t="str">
        <f aca="false">IF(H55="","",H55)</f>
        <v/>
      </c>
      <c r="D55" s="116" t="str">
        <f aca="false">IF(B55="","",(IF('conversion datos'!$L$30='Patrones LACOMET'!$D$3,(VLOOKUP(B55,'BLOQUES PATRON (pulg) '!$D$5:$H$87,3,TRUE())),IF('conversion datos'!$L$30='Patrones LACOMET'!$D$4,((VLOOKUP(CALIBRACION!B55,'BLOQUES PATRON (mm)'!$D$5:$H$126,3,FALSE()))/1000),"No existe el patrón"))))</f>
        <v/>
      </c>
      <c r="E55" s="117" t="str">
        <f aca="false">IF(B55="","",(B55+D55))</f>
        <v/>
      </c>
      <c r="F55" s="118" t="str">
        <f aca="false">IF(B55="","",(IF('conversion datos'!$L$30='Patrones LACOMET'!$D$3,(VLOOKUP(B55,'BLOQUES PATRON (pulg) '!$D$5:$H$86,5,FALSE())),IF('conversion datos'!$L$30='Patrones LACOMET'!$D$4,((VLOOKUP(CALIBRACION!B55,'BLOQUES PATRON (mm)'!$D$5:$H$126,4,FALSE()))/1000000),"No existe el patrón"))))</f>
        <v/>
      </c>
      <c r="G55" s="118" t="str">
        <f aca="false">IF(D55="","",(IF('conversion datos'!$L$30='Patrones LACOMET'!$D$3,(D55*25.4),IF('conversion datos'!$L$30='Patrones LACOMET'!$D$4,D55,"No existe el patrón"))))</f>
        <v/>
      </c>
      <c r="H55" s="119" t="str">
        <f aca="false">IF(J55="","",(IF('conversion datos'!$L$30='Patrones LACOMET'!$D$3,(CALIBRACION!J55*25.4),IF('conversion datos'!$L$30='Patrones LACOMET'!$D$4,(CALIBRACION!J55),"No existe el patrón"))))</f>
        <v/>
      </c>
      <c r="I55" s="120" t="e">
        <f aca="false">IF('conversion datos'!B45="","",'conversion datos'!B45)</f>
        <v>#VALUE!</v>
      </c>
      <c r="J55" s="121" t="str">
        <f aca="false">IF('conversion datos'!C45="","",'conversion datos'!C45)</f>
        <v/>
      </c>
      <c r="K55" s="152"/>
      <c r="L55" s="151"/>
      <c r="M55" s="151"/>
      <c r="N55" s="141"/>
      <c r="O55" s="123" t="str">
        <f aca="false">IF('conversion datos'!F45="","",'conversion datos'!F45)</f>
        <v/>
      </c>
      <c r="P55" s="124" t="str">
        <f aca="false">IF($H55="","",+O55/1000)</f>
        <v/>
      </c>
      <c r="Q55" s="124" t="str">
        <f aca="false">IF($H55="","",(IF('conversion datos'!$L$30='Patrones LACOMET'!$D$3,P55*0.0254,IF('conversion datos'!$L$30='Patrones LACOMET'!$D$4,P55,"No existe el patrón"))))</f>
        <v/>
      </c>
      <c r="R55" s="124" t="str">
        <f aca="false">IF($H55="","",(IF('conversion datos'!$L$30='Patrones LACOMET'!$D$3,E55*25.4,IF('conversion datos'!$L$30='Patrones LACOMET'!$D$4,E55,"No existe el patrón"))))</f>
        <v/>
      </c>
      <c r="S55" s="124" t="str">
        <f aca="false">+IF($H55="","",((INCERTIDUMBRE!$M$8)/1000)/25.4)</f>
        <v/>
      </c>
      <c r="T55" s="124" t="str">
        <f aca="false">IF($H55="","",(+H55+Q55+S55))</f>
        <v/>
      </c>
      <c r="U55" s="125" t="str">
        <f aca="false">IF($H55="","",(T55/25.4))</f>
        <v/>
      </c>
      <c r="V55" s="97"/>
      <c r="W55" s="142" t="e">
        <f aca="false">IF('Datos de condiciones'!D47="","",'Datos de condiciones'!D47)</f>
        <v>#VALUE!</v>
      </c>
      <c r="X55" s="143" t="str">
        <f aca="false">+IF($H55="","",(W55-20))</f>
        <v/>
      </c>
      <c r="Y55" s="144" t="e">
        <f aca="false">IF('Datos de condiciones'!E47="","",'Datos de condiciones'!E47)</f>
        <v>#VALUE!</v>
      </c>
      <c r="Z55" s="145" t="str">
        <f aca="false">+IF($H55="","",Y55-20)</f>
        <v/>
      </c>
      <c r="AA55" s="146" t="str">
        <f aca="false">+IF($H55="","",ABS(X55-Z55))</f>
        <v/>
      </c>
      <c r="AB55" s="131"/>
      <c r="AC55" s="147" t="n">
        <f aca="false">+AC54+1</f>
        <v>44</v>
      </c>
      <c r="AD55" s="148" t="str">
        <f aca="false">+IF($H55="","",W55)</f>
        <v/>
      </c>
      <c r="AE55" s="145" t="str">
        <f aca="false">+IF($H55="","",Y55)</f>
        <v/>
      </c>
      <c r="AF55" s="146" t="str">
        <f aca="false">+IF($H55="","",+(ABS(AD55-AE55)))</f>
        <v/>
      </c>
      <c r="AG55" s="149" t="e">
        <f aca="false">IF('Datos de condiciones'!F47="","",'Datos de condiciones'!F47)</f>
        <v>#VALUE!</v>
      </c>
      <c r="AH55" s="135"/>
      <c r="AI55" s="147" t="n">
        <f aca="false">+AI54+1</f>
        <v>44</v>
      </c>
      <c r="AJ55" s="140"/>
      <c r="AK55" s="123" t="e">
        <f aca="false">IF('Datos de condiciones'!G47="","",'Datos de condiciones'!G47)</f>
        <v>#VALUE!</v>
      </c>
      <c r="AL55" s="150"/>
    </row>
    <row r="56" customFormat="false" ht="15" hidden="false" customHeight="true" outlineLevel="0" collapsed="false">
      <c r="A56" s="81" t="n">
        <f aca="false">+A55+1</f>
        <v>45</v>
      </c>
      <c r="B56" s="114" t="str">
        <f aca="false">J56</f>
        <v/>
      </c>
      <c r="C56" s="115" t="str">
        <f aca="false">IF(H56="","",H56)</f>
        <v/>
      </c>
      <c r="D56" s="116" t="str">
        <f aca="false">IF(B56="","",(IF('conversion datos'!$L$30='Patrones LACOMET'!$D$3,(VLOOKUP(B56,'BLOQUES PATRON (pulg) '!$D$5:$H$87,3,TRUE())),IF('conversion datos'!$L$30='Patrones LACOMET'!$D$4,((VLOOKUP(CALIBRACION!B56,'BLOQUES PATRON (mm)'!$D$5:$H$126,3,FALSE()))/1000),"No existe el patrón"))))</f>
        <v/>
      </c>
      <c r="E56" s="117" t="str">
        <f aca="false">IF(B56="","",(B56+D56))</f>
        <v/>
      </c>
      <c r="F56" s="118" t="str">
        <f aca="false">IF(B56="","",(IF('conversion datos'!$L$30='Patrones LACOMET'!$D$3,(VLOOKUP(B56,'BLOQUES PATRON (pulg) '!$D$5:$H$86,5,FALSE())),IF('conversion datos'!$L$30='Patrones LACOMET'!$D$4,((VLOOKUP(CALIBRACION!B56,'BLOQUES PATRON (mm)'!$D$5:$H$126,4,FALSE()))/1000000),"No existe el patrón"))))</f>
        <v/>
      </c>
      <c r="G56" s="118" t="str">
        <f aca="false">IF(D56="","",(IF('conversion datos'!$L$30='Patrones LACOMET'!$D$3,(D56*25.4),IF('conversion datos'!$L$30='Patrones LACOMET'!$D$4,D56,"No existe el patrón"))))</f>
        <v/>
      </c>
      <c r="H56" s="119" t="str">
        <f aca="false">IF(J56="","",(IF('conversion datos'!$L$30='Patrones LACOMET'!$D$3,(CALIBRACION!J56*25.4),IF('conversion datos'!$L$30='Patrones LACOMET'!$D$4,(CALIBRACION!J56),"No existe el patrón"))))</f>
        <v/>
      </c>
      <c r="I56" s="120" t="e">
        <f aca="false">IF('conversion datos'!B46="","",'conversion datos'!B46)</f>
        <v>#VALUE!</v>
      </c>
      <c r="J56" s="121" t="str">
        <f aca="false">IF('conversion datos'!C46="","",'conversion datos'!C46)</f>
        <v/>
      </c>
      <c r="K56" s="152"/>
      <c r="L56" s="151"/>
      <c r="M56" s="151"/>
      <c r="N56" s="141"/>
      <c r="O56" s="123" t="str">
        <f aca="false">IF('conversion datos'!F46="","",'conversion datos'!F46)</f>
        <v/>
      </c>
      <c r="P56" s="124" t="str">
        <f aca="false">IF($H56="","",+O56/1000)</f>
        <v/>
      </c>
      <c r="Q56" s="124" t="str">
        <f aca="false">IF($H56="","",(IF('conversion datos'!$L$30='Patrones LACOMET'!$D$3,P56*0.0254,IF('conversion datos'!$L$30='Patrones LACOMET'!$D$4,P56,"No existe el patrón"))))</f>
        <v/>
      </c>
      <c r="R56" s="124" t="str">
        <f aca="false">IF($H56="","",(IF('conversion datos'!$L$30='Patrones LACOMET'!$D$3,E56*25.4,IF('conversion datos'!$L$30='Patrones LACOMET'!$D$4,E56,"No existe el patrón"))))</f>
        <v/>
      </c>
      <c r="S56" s="124" t="str">
        <f aca="false">+IF($H56="","",((INCERTIDUMBRE!$M$8)/1000)/25.4)</f>
        <v/>
      </c>
      <c r="T56" s="124" t="str">
        <f aca="false">IF($H56="","",(+H56+Q56+S56))</f>
        <v/>
      </c>
      <c r="U56" s="125" t="str">
        <f aca="false">IF($H56="","",(T56/25.4))</f>
        <v/>
      </c>
      <c r="V56" s="97"/>
      <c r="W56" s="142" t="e">
        <f aca="false">IF('Datos de condiciones'!D48="","",'Datos de condiciones'!D48)</f>
        <v>#VALUE!</v>
      </c>
      <c r="X56" s="143" t="str">
        <f aca="false">+IF($H56="","",(W56-20))</f>
        <v/>
      </c>
      <c r="Y56" s="144" t="e">
        <f aca="false">IF('Datos de condiciones'!E48="","",'Datos de condiciones'!E48)</f>
        <v>#VALUE!</v>
      </c>
      <c r="Z56" s="145" t="str">
        <f aca="false">+IF($H56="","",Y56-20)</f>
        <v/>
      </c>
      <c r="AA56" s="146" t="str">
        <f aca="false">+IF($H56="","",ABS(X56-Z56))</f>
        <v/>
      </c>
      <c r="AB56" s="131"/>
      <c r="AC56" s="147" t="n">
        <f aca="false">+AC55+1</f>
        <v>45</v>
      </c>
      <c r="AD56" s="148" t="str">
        <f aca="false">+IF($H56="","",W56)</f>
        <v/>
      </c>
      <c r="AE56" s="145" t="str">
        <f aca="false">+IF($H56="","",Y56)</f>
        <v/>
      </c>
      <c r="AF56" s="146" t="str">
        <f aca="false">+IF($H56="","",+(ABS(AD56-AE56)))</f>
        <v/>
      </c>
      <c r="AG56" s="149" t="e">
        <f aca="false">IF('Datos de condiciones'!F48="","",'Datos de condiciones'!F48)</f>
        <v>#VALUE!</v>
      </c>
      <c r="AH56" s="135"/>
      <c r="AI56" s="147" t="n">
        <f aca="false">+AI55+1</f>
        <v>45</v>
      </c>
      <c r="AJ56" s="140"/>
      <c r="AK56" s="123" t="e">
        <f aca="false">IF('Datos de condiciones'!G48="","",'Datos de condiciones'!G48)</f>
        <v>#VALUE!</v>
      </c>
      <c r="AL56" s="150"/>
    </row>
    <row r="57" customFormat="false" ht="15" hidden="false" customHeight="true" outlineLevel="0" collapsed="false">
      <c r="A57" s="81" t="n">
        <f aca="false">+A56+1</f>
        <v>46</v>
      </c>
      <c r="B57" s="114" t="str">
        <f aca="false">J57</f>
        <v/>
      </c>
      <c r="C57" s="115" t="str">
        <f aca="false">IF(H57="","",H57)</f>
        <v/>
      </c>
      <c r="D57" s="116" t="str">
        <f aca="false">IF(B57="","",(IF('conversion datos'!$L$30='Patrones LACOMET'!$D$3,(VLOOKUP(B57,'BLOQUES PATRON (pulg) '!$D$5:$H$87,3,TRUE())),IF('conversion datos'!$L$30='Patrones LACOMET'!$D$4,((VLOOKUP(CALIBRACION!B57,'BLOQUES PATRON (mm)'!$D$5:$H$126,3,FALSE()))/1000),"No existe el patrón"))))</f>
        <v/>
      </c>
      <c r="E57" s="117" t="str">
        <f aca="false">IF(B57="","",(B57+D57))</f>
        <v/>
      </c>
      <c r="F57" s="118" t="str">
        <f aca="false">IF(B57="","",(IF('conversion datos'!$L$30='Patrones LACOMET'!$D$3,(VLOOKUP(B57,'BLOQUES PATRON (pulg) '!$D$5:$H$86,5,FALSE())),IF('conversion datos'!$L$30='Patrones LACOMET'!$D$4,((VLOOKUP(CALIBRACION!B57,'BLOQUES PATRON (mm)'!$D$5:$H$126,4,FALSE()))/1000000),"No existe el patrón"))))</f>
        <v/>
      </c>
      <c r="G57" s="118" t="str">
        <f aca="false">IF(D57="","",(IF('conversion datos'!$L$30='Patrones LACOMET'!$D$3,(D57*25.4),IF('conversion datos'!$L$30='Patrones LACOMET'!$D$4,D57,"No existe el patrón"))))</f>
        <v/>
      </c>
      <c r="H57" s="119" t="str">
        <f aca="false">IF(J57="","",(IF('conversion datos'!$L$30='Patrones LACOMET'!$D$3,(CALIBRACION!J57*25.4),IF('conversion datos'!$L$30='Patrones LACOMET'!$D$4,(CALIBRACION!J57),"No existe el patrón"))))</f>
        <v/>
      </c>
      <c r="I57" s="120" t="e">
        <f aca="false">IF('conversion datos'!B47="","",'conversion datos'!B47)</f>
        <v>#VALUE!</v>
      </c>
      <c r="J57" s="121" t="str">
        <f aca="false">IF('conversion datos'!C47="","",'conversion datos'!C47)</f>
        <v/>
      </c>
      <c r="K57" s="152"/>
      <c r="L57" s="151"/>
      <c r="M57" s="151"/>
      <c r="N57" s="141"/>
      <c r="O57" s="123" t="str">
        <f aca="false">IF('conversion datos'!F47="","",'conversion datos'!F47)</f>
        <v/>
      </c>
      <c r="P57" s="124" t="str">
        <f aca="false">IF($H57="","",+O57/1000)</f>
        <v/>
      </c>
      <c r="Q57" s="124" t="str">
        <f aca="false">IF($H57="","",(IF('conversion datos'!$L$30='Patrones LACOMET'!$D$3,P57*0.0254,IF('conversion datos'!$L$30='Patrones LACOMET'!$D$4,P57,"No existe el patrón"))))</f>
        <v/>
      </c>
      <c r="R57" s="124" t="str">
        <f aca="false">IF($H57="","",(IF('conversion datos'!$L$30='Patrones LACOMET'!$D$3,E57*25.4,IF('conversion datos'!$L$30='Patrones LACOMET'!$D$4,E57,"No existe el patrón"))))</f>
        <v/>
      </c>
      <c r="S57" s="124" t="str">
        <f aca="false">+IF($H57="","",((INCERTIDUMBRE!$M$8)/1000)/25.4)</f>
        <v/>
      </c>
      <c r="T57" s="124" t="str">
        <f aca="false">IF($H57="","",(+H57+Q57+S57))</f>
        <v/>
      </c>
      <c r="U57" s="125" t="str">
        <f aca="false">IF($H57="","",(T57/25.4))</f>
        <v/>
      </c>
      <c r="V57" s="97"/>
      <c r="W57" s="142" t="e">
        <f aca="false">IF('Datos de condiciones'!D49="","",'Datos de condiciones'!D49)</f>
        <v>#VALUE!</v>
      </c>
      <c r="X57" s="143" t="str">
        <f aca="false">+IF($H57="","",(W57-20))</f>
        <v/>
      </c>
      <c r="Y57" s="144" t="e">
        <f aca="false">IF('Datos de condiciones'!E49="","",'Datos de condiciones'!E49)</f>
        <v>#VALUE!</v>
      </c>
      <c r="Z57" s="145" t="str">
        <f aca="false">+IF($H57="","",Y57-20)</f>
        <v/>
      </c>
      <c r="AA57" s="146" t="str">
        <f aca="false">+IF($H57="","",ABS(X57-Z57))</f>
        <v/>
      </c>
      <c r="AB57" s="131"/>
      <c r="AC57" s="147" t="n">
        <f aca="false">+AC56+1</f>
        <v>46</v>
      </c>
      <c r="AD57" s="148" t="str">
        <f aca="false">+IF($H57="","",W57)</f>
        <v/>
      </c>
      <c r="AE57" s="145" t="str">
        <f aca="false">+IF($H57="","",Y57)</f>
        <v/>
      </c>
      <c r="AF57" s="146" t="str">
        <f aca="false">+IF($H57="","",+(ABS(AD57-AE57)))</f>
        <v/>
      </c>
      <c r="AG57" s="149" t="e">
        <f aca="false">IF('Datos de condiciones'!F49="","",'Datos de condiciones'!F49)</f>
        <v>#VALUE!</v>
      </c>
      <c r="AH57" s="135"/>
      <c r="AI57" s="147" t="n">
        <f aca="false">+AI56+1</f>
        <v>46</v>
      </c>
      <c r="AJ57" s="140"/>
      <c r="AK57" s="123" t="e">
        <f aca="false">IF('Datos de condiciones'!G49="","",'Datos de condiciones'!G49)</f>
        <v>#VALUE!</v>
      </c>
      <c r="AL57" s="150"/>
    </row>
    <row r="58" customFormat="false" ht="15" hidden="false" customHeight="true" outlineLevel="0" collapsed="false">
      <c r="A58" s="81" t="n">
        <f aca="false">+A57+1</f>
        <v>47</v>
      </c>
      <c r="B58" s="114" t="str">
        <f aca="false">J58</f>
        <v/>
      </c>
      <c r="C58" s="115" t="str">
        <f aca="false">IF(H58="","",H58)</f>
        <v/>
      </c>
      <c r="D58" s="116" t="str">
        <f aca="false">IF(B58="","",(IF('conversion datos'!$L$30='Patrones LACOMET'!$D$3,(VLOOKUP(B58,'BLOQUES PATRON (pulg) '!$D$5:$H$87,3,TRUE())),IF('conversion datos'!$L$30='Patrones LACOMET'!$D$4,((VLOOKUP(CALIBRACION!B58,'BLOQUES PATRON (mm)'!$D$5:$H$126,3,FALSE()))/1000),"No existe el patrón"))))</f>
        <v/>
      </c>
      <c r="E58" s="117" t="str">
        <f aca="false">IF(B58="","",(B58+D58))</f>
        <v/>
      </c>
      <c r="F58" s="118" t="str">
        <f aca="false">IF(B58="","",(IF('conversion datos'!$L$30='Patrones LACOMET'!$D$3,(VLOOKUP(B58,'BLOQUES PATRON (pulg) '!$D$5:$H$86,5,FALSE())),IF('conversion datos'!$L$30='Patrones LACOMET'!$D$4,((VLOOKUP(CALIBRACION!B58,'BLOQUES PATRON (mm)'!$D$5:$H$126,4,FALSE()))/1000000),"No existe el patrón"))))</f>
        <v/>
      </c>
      <c r="G58" s="118" t="str">
        <f aca="false">IF(D58="","",(IF('conversion datos'!$L$30='Patrones LACOMET'!$D$3,(D58*25.4),IF('conversion datos'!$L$30='Patrones LACOMET'!$D$4,D58,"No existe el patrón"))))</f>
        <v/>
      </c>
      <c r="H58" s="119" t="str">
        <f aca="false">IF(J58="","",(IF('conversion datos'!$L$30='Patrones LACOMET'!$D$3,(CALIBRACION!J58*25.4),IF('conversion datos'!$L$30='Patrones LACOMET'!$D$4,(CALIBRACION!J58),"No existe el patrón"))))</f>
        <v/>
      </c>
      <c r="I58" s="120" t="e">
        <f aca="false">IF('conversion datos'!B48="","",'conversion datos'!B48)</f>
        <v>#VALUE!</v>
      </c>
      <c r="J58" s="121" t="str">
        <f aca="false">IF('conversion datos'!C48="","",'conversion datos'!C48)</f>
        <v/>
      </c>
      <c r="K58" s="152"/>
      <c r="L58" s="151"/>
      <c r="M58" s="151"/>
      <c r="N58" s="141"/>
      <c r="O58" s="123" t="str">
        <f aca="false">IF('conversion datos'!F48="","",'conversion datos'!F48)</f>
        <v/>
      </c>
      <c r="P58" s="124" t="str">
        <f aca="false">IF($H58="","",+O58/1000)</f>
        <v/>
      </c>
      <c r="Q58" s="124" t="str">
        <f aca="false">IF($H58="","",(IF('conversion datos'!$L$30='Patrones LACOMET'!$D$3,P58*0.0254,IF('conversion datos'!$L$30='Patrones LACOMET'!$D$4,P58,"No existe el patrón"))))</f>
        <v/>
      </c>
      <c r="R58" s="124" t="str">
        <f aca="false">IF($H58="","",(IF('conversion datos'!$L$30='Patrones LACOMET'!$D$3,E58*25.4,IF('conversion datos'!$L$30='Patrones LACOMET'!$D$4,E58,"No existe el patrón"))))</f>
        <v/>
      </c>
      <c r="S58" s="124" t="str">
        <f aca="false">+IF($H58="","",((INCERTIDUMBRE!$M$8)/1000)/25.4)</f>
        <v/>
      </c>
      <c r="T58" s="124" t="str">
        <f aca="false">IF($H58="","",(+H58+Q58+S58))</f>
        <v/>
      </c>
      <c r="U58" s="125" t="str">
        <f aca="false">IF($H58="","",(T58/25.4))</f>
        <v/>
      </c>
      <c r="V58" s="97"/>
      <c r="W58" s="142" t="e">
        <f aca="false">IF('Datos de condiciones'!D50="","",'Datos de condiciones'!D50)</f>
        <v>#VALUE!</v>
      </c>
      <c r="X58" s="143" t="str">
        <f aca="false">+IF($H58="","",(W58-20))</f>
        <v/>
      </c>
      <c r="Y58" s="144" t="e">
        <f aca="false">IF('Datos de condiciones'!E50="","",'Datos de condiciones'!E50)</f>
        <v>#VALUE!</v>
      </c>
      <c r="Z58" s="145" t="str">
        <f aca="false">+IF($H58="","",Y58-20)</f>
        <v/>
      </c>
      <c r="AA58" s="146" t="str">
        <f aca="false">+IF($H58="","",ABS(X58-Z58))</f>
        <v/>
      </c>
      <c r="AB58" s="131"/>
      <c r="AC58" s="147" t="n">
        <f aca="false">+AC57+1</f>
        <v>47</v>
      </c>
      <c r="AD58" s="148" t="str">
        <f aca="false">+IF($H58="","",W58)</f>
        <v/>
      </c>
      <c r="AE58" s="145" t="str">
        <f aca="false">+IF($H58="","",Y58)</f>
        <v/>
      </c>
      <c r="AF58" s="146" t="str">
        <f aca="false">+IF($H58="","",+(ABS(AD58-AE58)))</f>
        <v/>
      </c>
      <c r="AG58" s="149" t="e">
        <f aca="false">IF('Datos de condiciones'!F50="","",'Datos de condiciones'!F50)</f>
        <v>#VALUE!</v>
      </c>
      <c r="AH58" s="135"/>
      <c r="AI58" s="147" t="n">
        <f aca="false">+AI57+1</f>
        <v>47</v>
      </c>
      <c r="AJ58" s="140"/>
      <c r="AK58" s="123" t="e">
        <f aca="false">IF('Datos de condiciones'!G50="","",'Datos de condiciones'!G50)</f>
        <v>#VALUE!</v>
      </c>
      <c r="AL58" s="150"/>
    </row>
    <row r="59" customFormat="false" ht="15" hidden="false" customHeight="true" outlineLevel="0" collapsed="false">
      <c r="A59" s="81" t="n">
        <f aca="false">+A58+1</f>
        <v>48</v>
      </c>
      <c r="B59" s="114" t="str">
        <f aca="false">J59</f>
        <v/>
      </c>
      <c r="C59" s="115" t="str">
        <f aca="false">IF(H59="","",H59)</f>
        <v/>
      </c>
      <c r="D59" s="116" t="str">
        <f aca="false">IF(B59="","",(IF('conversion datos'!$L$30='Patrones LACOMET'!$D$3,(VLOOKUP(B59,'BLOQUES PATRON (pulg) '!$D$5:$H$87,3,TRUE())),IF('conversion datos'!$L$30='Patrones LACOMET'!$D$4,((VLOOKUP(CALIBRACION!B59,'BLOQUES PATRON (mm)'!$D$5:$H$126,3,FALSE()))/1000),"No existe el patrón"))))</f>
        <v/>
      </c>
      <c r="E59" s="117" t="str">
        <f aca="false">IF(B59="","",(B59+D59))</f>
        <v/>
      </c>
      <c r="F59" s="118" t="str">
        <f aca="false">IF(B59="","",(IF('conversion datos'!$L$30='Patrones LACOMET'!$D$3,(VLOOKUP(B59,'BLOQUES PATRON (pulg) '!$D$5:$H$86,5,FALSE())),IF('conversion datos'!$L$30='Patrones LACOMET'!$D$4,((VLOOKUP(CALIBRACION!B59,'BLOQUES PATRON (mm)'!$D$5:$H$126,4,FALSE()))/1000000),"No existe el patrón"))))</f>
        <v/>
      </c>
      <c r="G59" s="118" t="str">
        <f aca="false">IF(D59="","",(IF('conversion datos'!$L$30='Patrones LACOMET'!$D$3,(D59*25.4),IF('conversion datos'!$L$30='Patrones LACOMET'!$D$4,D59,"No existe el patrón"))))</f>
        <v/>
      </c>
      <c r="H59" s="119" t="str">
        <f aca="false">IF(J59="","",(IF('conversion datos'!$L$30='Patrones LACOMET'!$D$3,(CALIBRACION!J59*25.4),IF('conversion datos'!$L$30='Patrones LACOMET'!$D$4,(CALIBRACION!J59),"No existe el patrón"))))</f>
        <v/>
      </c>
      <c r="I59" s="120" t="e">
        <f aca="false">IF('conversion datos'!B49="","",'conversion datos'!B49)</f>
        <v>#VALUE!</v>
      </c>
      <c r="J59" s="121" t="str">
        <f aca="false">IF('conversion datos'!C49="","",'conversion datos'!C49)</f>
        <v/>
      </c>
      <c r="K59" s="152"/>
      <c r="L59" s="151"/>
      <c r="M59" s="151"/>
      <c r="N59" s="141"/>
      <c r="O59" s="123" t="str">
        <f aca="false">IF('conversion datos'!F49="","",'conversion datos'!F49)</f>
        <v/>
      </c>
      <c r="P59" s="124" t="str">
        <f aca="false">IF($H59="","",+O59/1000)</f>
        <v/>
      </c>
      <c r="Q59" s="124" t="str">
        <f aca="false">IF($H59="","",(IF('conversion datos'!$L$30='Patrones LACOMET'!$D$3,P59*0.0254,IF('conversion datos'!$L$30='Patrones LACOMET'!$D$4,P59,"No existe el patrón"))))</f>
        <v/>
      </c>
      <c r="R59" s="124" t="str">
        <f aca="false">IF($H59="","",(IF('conversion datos'!$L$30='Patrones LACOMET'!$D$3,E59*25.4,IF('conversion datos'!$L$30='Patrones LACOMET'!$D$4,E59,"No existe el patrón"))))</f>
        <v/>
      </c>
      <c r="S59" s="124" t="str">
        <f aca="false">+IF($H59="","",((INCERTIDUMBRE!$M$8)/1000)/25.4)</f>
        <v/>
      </c>
      <c r="T59" s="124" t="str">
        <f aca="false">IF($H59="","",(+H59+Q59+S59))</f>
        <v/>
      </c>
      <c r="U59" s="125" t="str">
        <f aca="false">IF($H59="","",(T59/25.4))</f>
        <v/>
      </c>
      <c r="V59" s="97"/>
      <c r="W59" s="142" t="e">
        <f aca="false">IF('Datos de condiciones'!D51="","",'Datos de condiciones'!D51)</f>
        <v>#VALUE!</v>
      </c>
      <c r="X59" s="143" t="str">
        <f aca="false">+IF($H59="","",(W59-20))</f>
        <v/>
      </c>
      <c r="Y59" s="144" t="e">
        <f aca="false">IF('Datos de condiciones'!E51="","",'Datos de condiciones'!E51)</f>
        <v>#VALUE!</v>
      </c>
      <c r="Z59" s="145" t="str">
        <f aca="false">+IF($H59="","",Y59-20)</f>
        <v/>
      </c>
      <c r="AA59" s="146" t="str">
        <f aca="false">+IF($H59="","",ABS(X59-Z59))</f>
        <v/>
      </c>
      <c r="AB59" s="131"/>
      <c r="AC59" s="147" t="n">
        <f aca="false">+AC58+1</f>
        <v>48</v>
      </c>
      <c r="AD59" s="148" t="str">
        <f aca="false">+IF($H59="","",W59)</f>
        <v/>
      </c>
      <c r="AE59" s="145" t="str">
        <f aca="false">+IF($H59="","",Y59)</f>
        <v/>
      </c>
      <c r="AF59" s="146" t="str">
        <f aca="false">+IF($H59="","",+(ABS(AD59-AE59)))</f>
        <v/>
      </c>
      <c r="AG59" s="149" t="e">
        <f aca="false">IF('Datos de condiciones'!F51="","",'Datos de condiciones'!F51)</f>
        <v>#VALUE!</v>
      </c>
      <c r="AH59" s="135"/>
      <c r="AI59" s="147" t="n">
        <f aca="false">+AI58+1</f>
        <v>48</v>
      </c>
      <c r="AJ59" s="140"/>
      <c r="AK59" s="123" t="e">
        <f aca="false">IF('Datos de condiciones'!G51="","",'Datos de condiciones'!G51)</f>
        <v>#VALUE!</v>
      </c>
      <c r="AL59" s="150"/>
    </row>
    <row r="60" customFormat="false" ht="15" hidden="false" customHeight="true" outlineLevel="0" collapsed="false">
      <c r="A60" s="81" t="n">
        <f aca="false">+A59+1</f>
        <v>49</v>
      </c>
      <c r="B60" s="114" t="str">
        <f aca="false">J60</f>
        <v/>
      </c>
      <c r="C60" s="115" t="str">
        <f aca="false">IF(H60="","",H60)</f>
        <v/>
      </c>
      <c r="D60" s="116" t="str">
        <f aca="false">IF(B60="","",(IF('conversion datos'!$L$30='Patrones LACOMET'!$D$3,(VLOOKUP(B60,'BLOQUES PATRON (pulg) '!$D$5:$H$87,3,TRUE())),IF('conversion datos'!$L$30='Patrones LACOMET'!$D$4,((VLOOKUP(CALIBRACION!B60,'BLOQUES PATRON (mm)'!$D$5:$H$126,3,FALSE()))/1000),"No existe el patrón"))))</f>
        <v/>
      </c>
      <c r="E60" s="117" t="str">
        <f aca="false">IF(B60="","",(B60+D60))</f>
        <v/>
      </c>
      <c r="F60" s="118" t="str">
        <f aca="false">IF(B60="","",(IF('conversion datos'!$L$30='Patrones LACOMET'!$D$3,(VLOOKUP(B60,'BLOQUES PATRON (pulg) '!$D$5:$H$86,5,FALSE())),IF('conversion datos'!$L$30='Patrones LACOMET'!$D$4,((VLOOKUP(CALIBRACION!B60,'BLOQUES PATRON (mm)'!$D$5:$H$126,4,FALSE()))/1000000),"No existe el patrón"))))</f>
        <v/>
      </c>
      <c r="G60" s="118" t="str">
        <f aca="false">IF(D60="","",(IF('conversion datos'!$L$30='Patrones LACOMET'!$D$3,(D60*25.4),IF('conversion datos'!$L$30='Patrones LACOMET'!$D$4,D60,"No existe el patrón"))))</f>
        <v/>
      </c>
      <c r="H60" s="119" t="str">
        <f aca="false">IF(J60="","",(IF('conversion datos'!$L$30='Patrones LACOMET'!$D$3,(CALIBRACION!J60*25.4),IF('conversion datos'!$L$30='Patrones LACOMET'!$D$4,(CALIBRACION!J60),"No existe el patrón"))))</f>
        <v/>
      </c>
      <c r="I60" s="120" t="e">
        <f aca="false">IF('conversion datos'!B50="","",'conversion datos'!B50)</f>
        <v>#VALUE!</v>
      </c>
      <c r="J60" s="121" t="str">
        <f aca="false">IF('conversion datos'!C50="","",'conversion datos'!C50)</f>
        <v/>
      </c>
      <c r="K60" s="152"/>
      <c r="L60" s="151"/>
      <c r="M60" s="151"/>
      <c r="N60" s="141"/>
      <c r="O60" s="123" t="str">
        <f aca="false">IF('conversion datos'!F50="","",'conversion datos'!F50)</f>
        <v/>
      </c>
      <c r="P60" s="124" t="str">
        <f aca="false">IF($H60="","",+O60/1000)</f>
        <v/>
      </c>
      <c r="Q60" s="124" t="str">
        <f aca="false">IF($H60="","",(IF('conversion datos'!$L$30='Patrones LACOMET'!$D$3,P60*0.0254,IF('conversion datos'!$L$30='Patrones LACOMET'!$D$4,P60,"No existe el patrón"))))</f>
        <v/>
      </c>
      <c r="R60" s="124" t="str">
        <f aca="false">IF($H60="","",(IF('conversion datos'!$L$30='Patrones LACOMET'!$D$3,E60*25.4,IF('conversion datos'!$L$30='Patrones LACOMET'!$D$4,E60,"No existe el patrón"))))</f>
        <v/>
      </c>
      <c r="S60" s="124" t="str">
        <f aca="false">+IF($H60="","",((INCERTIDUMBRE!$M$8)/1000)/25.4)</f>
        <v/>
      </c>
      <c r="T60" s="124" t="str">
        <f aca="false">IF($H60="","",(+H60+Q60+S60))</f>
        <v/>
      </c>
      <c r="U60" s="125" t="str">
        <f aca="false">IF($H60="","",(T60/25.4))</f>
        <v/>
      </c>
      <c r="V60" s="97"/>
      <c r="W60" s="142" t="e">
        <f aca="false">IF('Datos de condiciones'!D52="","",'Datos de condiciones'!D52)</f>
        <v>#VALUE!</v>
      </c>
      <c r="X60" s="143" t="str">
        <f aca="false">+IF($H60="","",(W60-20))</f>
        <v/>
      </c>
      <c r="Y60" s="144" t="e">
        <f aca="false">IF('Datos de condiciones'!E52="","",'Datos de condiciones'!E52)</f>
        <v>#VALUE!</v>
      </c>
      <c r="Z60" s="145" t="str">
        <f aca="false">+IF($H60="","",Y60-20)</f>
        <v/>
      </c>
      <c r="AA60" s="146" t="str">
        <f aca="false">+IF($H60="","",ABS(X60-Z60))</f>
        <v/>
      </c>
      <c r="AB60" s="131"/>
      <c r="AC60" s="147" t="n">
        <f aca="false">+AC59+1</f>
        <v>49</v>
      </c>
      <c r="AD60" s="148" t="str">
        <f aca="false">+IF($H60="","",W60)</f>
        <v/>
      </c>
      <c r="AE60" s="145" t="str">
        <f aca="false">+IF($H60="","",Y60)</f>
        <v/>
      </c>
      <c r="AF60" s="146" t="str">
        <f aca="false">+IF($H60="","",+(ABS(AD60-AE60)))</f>
        <v/>
      </c>
      <c r="AG60" s="149" t="e">
        <f aca="false">IF('Datos de condiciones'!F52="","",'Datos de condiciones'!F52)</f>
        <v>#VALUE!</v>
      </c>
      <c r="AH60" s="135"/>
      <c r="AI60" s="147" t="n">
        <f aca="false">+AI59+1</f>
        <v>49</v>
      </c>
      <c r="AJ60" s="140"/>
      <c r="AK60" s="123" t="e">
        <f aca="false">IF('Datos de condiciones'!G52="","",'Datos de condiciones'!G52)</f>
        <v>#VALUE!</v>
      </c>
      <c r="AL60" s="150"/>
    </row>
    <row r="61" customFormat="false" ht="15" hidden="false" customHeight="true" outlineLevel="0" collapsed="false">
      <c r="A61" s="81" t="n">
        <f aca="false">+A60+1</f>
        <v>50</v>
      </c>
      <c r="B61" s="114" t="str">
        <f aca="false">J61</f>
        <v/>
      </c>
      <c r="C61" s="115" t="str">
        <f aca="false">IF(H61="","",H61)</f>
        <v/>
      </c>
      <c r="D61" s="116" t="str">
        <f aca="false">IF(B61="","",(IF('conversion datos'!$L$30='Patrones LACOMET'!$D$3,(VLOOKUP(B61,'BLOQUES PATRON (pulg) '!$D$5:$H$87,3,TRUE())),IF('conversion datos'!$L$30='Patrones LACOMET'!$D$4,((VLOOKUP(CALIBRACION!B61,'BLOQUES PATRON (mm)'!$D$5:$H$126,3,FALSE()))/1000),"No existe el patrón"))))</f>
        <v/>
      </c>
      <c r="E61" s="117" t="str">
        <f aca="false">IF(B61="","",(B61+D61))</f>
        <v/>
      </c>
      <c r="F61" s="118" t="str">
        <f aca="false">IF(B61="","",(IF('conversion datos'!$L$30='Patrones LACOMET'!$D$3,(VLOOKUP(B61,'BLOQUES PATRON (pulg) '!$D$5:$H$86,5,FALSE())),IF('conversion datos'!$L$30='Patrones LACOMET'!$D$4,((VLOOKUP(CALIBRACION!B61,'BLOQUES PATRON (mm)'!$D$5:$H$126,4,FALSE()))/1000000),"No existe el patrón"))))</f>
        <v/>
      </c>
      <c r="G61" s="118" t="str">
        <f aca="false">IF(D61="","",(IF('conversion datos'!$L$30='Patrones LACOMET'!$D$3,(D61*25.4),IF('conversion datos'!$L$30='Patrones LACOMET'!$D$4,D61,"No existe el patrón"))))</f>
        <v/>
      </c>
      <c r="H61" s="119" t="str">
        <f aca="false">IF(J61="","",(IF('conversion datos'!$L$30='Patrones LACOMET'!$D$3,(CALIBRACION!J61*25.4),IF('conversion datos'!$L$30='Patrones LACOMET'!$D$4,(CALIBRACION!J61),"No existe el patrón"))))</f>
        <v/>
      </c>
      <c r="I61" s="120" t="e">
        <f aca="false">IF('conversion datos'!B51="","",'conversion datos'!B51)</f>
        <v>#VALUE!</v>
      </c>
      <c r="J61" s="121" t="str">
        <f aca="false">IF('conversion datos'!C51="","",'conversion datos'!C51)</f>
        <v/>
      </c>
      <c r="K61" s="152"/>
      <c r="L61" s="151"/>
      <c r="M61" s="151"/>
      <c r="N61" s="141"/>
      <c r="O61" s="123" t="str">
        <f aca="false">IF('conversion datos'!F51="","",'conversion datos'!F51)</f>
        <v/>
      </c>
      <c r="P61" s="124" t="str">
        <f aca="false">IF($H61="","",+O61/1000)</f>
        <v/>
      </c>
      <c r="Q61" s="124" t="str">
        <f aca="false">IF($H61="","",(IF('conversion datos'!$L$30='Patrones LACOMET'!$D$3,P61*0.0254,IF('conversion datos'!$L$30='Patrones LACOMET'!$D$4,P61,"No existe el patrón"))))</f>
        <v/>
      </c>
      <c r="R61" s="124" t="str">
        <f aca="false">IF($H61="","",(IF('conversion datos'!$L$30='Patrones LACOMET'!$D$3,E61*25.4,IF('conversion datos'!$L$30='Patrones LACOMET'!$D$4,E61,"No existe el patrón"))))</f>
        <v/>
      </c>
      <c r="S61" s="124" t="str">
        <f aca="false">+IF($H61="","",((INCERTIDUMBRE!$M$8)/1000)/25.4)</f>
        <v/>
      </c>
      <c r="T61" s="124" t="str">
        <f aca="false">IF($H61="","",(+H61+Q61+S61))</f>
        <v/>
      </c>
      <c r="U61" s="125" t="str">
        <f aca="false">IF($H61="","",(T61/25.4))</f>
        <v/>
      </c>
      <c r="V61" s="97"/>
      <c r="W61" s="142" t="e">
        <f aca="false">IF('Datos de condiciones'!D53="","",'Datos de condiciones'!D53)</f>
        <v>#VALUE!</v>
      </c>
      <c r="X61" s="143" t="str">
        <f aca="false">+IF($H61="","",(W61-20))</f>
        <v/>
      </c>
      <c r="Y61" s="144" t="e">
        <f aca="false">IF('Datos de condiciones'!E53="","",'Datos de condiciones'!E53)</f>
        <v>#VALUE!</v>
      </c>
      <c r="Z61" s="145" t="str">
        <f aca="false">+IF($H61="","",Y61-20)</f>
        <v/>
      </c>
      <c r="AA61" s="146" t="str">
        <f aca="false">+IF($H61="","",ABS(X61-Z61))</f>
        <v/>
      </c>
      <c r="AB61" s="131"/>
      <c r="AC61" s="147" t="n">
        <f aca="false">+AC60+1</f>
        <v>50</v>
      </c>
      <c r="AD61" s="148" t="str">
        <f aca="false">+IF($H61="","",W61)</f>
        <v/>
      </c>
      <c r="AE61" s="145" t="str">
        <f aca="false">+IF($H61="","",Y61)</f>
        <v/>
      </c>
      <c r="AF61" s="146" t="str">
        <f aca="false">+IF($H61="","",+(ABS(AD61-AE61)))</f>
        <v/>
      </c>
      <c r="AG61" s="149" t="e">
        <f aca="false">IF('Datos de condiciones'!F53="","",'Datos de condiciones'!F53)</f>
        <v>#VALUE!</v>
      </c>
      <c r="AH61" s="135"/>
      <c r="AI61" s="147" t="n">
        <f aca="false">+AI60+1</f>
        <v>50</v>
      </c>
      <c r="AJ61" s="140"/>
      <c r="AK61" s="123" t="e">
        <f aca="false">IF('Datos de condiciones'!G53="","",'Datos de condiciones'!G53)</f>
        <v>#VALUE!</v>
      </c>
      <c r="AL61" s="150"/>
    </row>
    <row r="62" customFormat="false" ht="15" hidden="false" customHeight="true" outlineLevel="0" collapsed="false">
      <c r="A62" s="81" t="n">
        <f aca="false">+A61+1</f>
        <v>51</v>
      </c>
      <c r="B62" s="114" t="str">
        <f aca="false">J62</f>
        <v/>
      </c>
      <c r="C62" s="115" t="str">
        <f aca="false">IF(H62="","",H62)</f>
        <v/>
      </c>
      <c r="D62" s="116" t="str">
        <f aca="false">IF(B62="","",(IF('conversion datos'!$L$30='Patrones LACOMET'!$D$3,(VLOOKUP(B62,'BLOQUES PATRON (pulg) '!$D$5:$H$87,3,TRUE())),IF('conversion datos'!$L$30='Patrones LACOMET'!$D$4,((VLOOKUP(CALIBRACION!B62,'BLOQUES PATRON (mm)'!$D$5:$H$126,3,FALSE()))/1000),"No existe el patrón"))))</f>
        <v/>
      </c>
      <c r="E62" s="117" t="str">
        <f aca="false">IF(B62="","",(B62+D62))</f>
        <v/>
      </c>
      <c r="F62" s="118" t="str">
        <f aca="false">IF(B62="","",(IF('conversion datos'!$L$30='Patrones LACOMET'!$D$3,(VLOOKUP(B62,'BLOQUES PATRON (pulg) '!$D$5:$H$86,5,FALSE())),IF('conversion datos'!$L$30='Patrones LACOMET'!$D$4,((VLOOKUP(CALIBRACION!B62,'BLOQUES PATRON (mm)'!$D$5:$H$126,4,FALSE()))/1000000),"No existe el patrón"))))</f>
        <v/>
      </c>
      <c r="G62" s="118" t="str">
        <f aca="false">IF(D62="","",(IF('conversion datos'!$L$30='Patrones LACOMET'!$D$3,(D62*25.4),IF('conversion datos'!$L$30='Patrones LACOMET'!$D$4,D62,"No existe el patrón"))))</f>
        <v/>
      </c>
      <c r="H62" s="119" t="str">
        <f aca="false">IF(J62="","",(IF('conversion datos'!$L$30='Patrones LACOMET'!$D$3,(CALIBRACION!J62*25.4),IF('conversion datos'!$L$30='Patrones LACOMET'!$D$4,(CALIBRACION!J62),"No existe el patrón"))))</f>
        <v/>
      </c>
      <c r="I62" s="120" t="e">
        <f aca="false">IF('conversion datos'!B52="","",'conversion datos'!B52)</f>
        <v>#VALUE!</v>
      </c>
      <c r="J62" s="121" t="str">
        <f aca="false">IF('conversion datos'!C52="","",'conversion datos'!C52)</f>
        <v/>
      </c>
      <c r="K62" s="152"/>
      <c r="L62" s="151"/>
      <c r="M62" s="151"/>
      <c r="N62" s="141"/>
      <c r="O62" s="123" t="str">
        <f aca="false">IF('conversion datos'!F52="","",'conversion datos'!F52)</f>
        <v/>
      </c>
      <c r="P62" s="124" t="str">
        <f aca="false">IF($H62="","",+O62/1000)</f>
        <v/>
      </c>
      <c r="Q62" s="124" t="str">
        <f aca="false">IF($H62="","",(IF('conversion datos'!$L$30='Patrones LACOMET'!$D$3,P62*0.0254,IF('conversion datos'!$L$30='Patrones LACOMET'!$D$4,P62,"No existe el patrón"))))</f>
        <v/>
      </c>
      <c r="R62" s="124" t="str">
        <f aca="false">IF($H62="","",(IF('conversion datos'!$L$30='Patrones LACOMET'!$D$3,E62*25.4,IF('conversion datos'!$L$30='Patrones LACOMET'!$D$4,E62,"No existe el patrón"))))</f>
        <v/>
      </c>
      <c r="S62" s="124" t="str">
        <f aca="false">+IF($H62="","",((INCERTIDUMBRE!$M$8)/1000)/25.4)</f>
        <v/>
      </c>
      <c r="T62" s="124" t="str">
        <f aca="false">IF($H62="","",(+H62+Q62+S62))</f>
        <v/>
      </c>
      <c r="U62" s="125" t="str">
        <f aca="false">IF($H62="","",(T62/25.4))</f>
        <v/>
      </c>
      <c r="V62" s="97"/>
      <c r="W62" s="142" t="e">
        <f aca="false">IF('Datos de condiciones'!D54="","",'Datos de condiciones'!D54)</f>
        <v>#VALUE!</v>
      </c>
      <c r="X62" s="143" t="str">
        <f aca="false">+IF($H62="","",(W62-20))</f>
        <v/>
      </c>
      <c r="Y62" s="144" t="e">
        <f aca="false">IF('Datos de condiciones'!E54="","",'Datos de condiciones'!E54)</f>
        <v>#VALUE!</v>
      </c>
      <c r="Z62" s="145" t="str">
        <f aca="false">+IF($H62="","",Y62-20)</f>
        <v/>
      </c>
      <c r="AA62" s="146" t="str">
        <f aca="false">+IF($H62="","",ABS(X62-Z62))</f>
        <v/>
      </c>
      <c r="AB62" s="131"/>
      <c r="AC62" s="147" t="n">
        <f aca="false">+AC61+1</f>
        <v>51</v>
      </c>
      <c r="AD62" s="148" t="str">
        <f aca="false">+IF($H62="","",W62)</f>
        <v/>
      </c>
      <c r="AE62" s="145" t="str">
        <f aca="false">+IF($H62="","",Y62)</f>
        <v/>
      </c>
      <c r="AF62" s="146" t="str">
        <f aca="false">+IF($H62="","",+(ABS(AD62-AE62)))</f>
        <v/>
      </c>
      <c r="AG62" s="149" t="e">
        <f aca="false">IF('Datos de condiciones'!F54="","",'Datos de condiciones'!F54)</f>
        <v>#VALUE!</v>
      </c>
      <c r="AH62" s="135"/>
      <c r="AI62" s="147" t="n">
        <f aca="false">+AI61+1</f>
        <v>51</v>
      </c>
      <c r="AJ62" s="140"/>
      <c r="AK62" s="123" t="e">
        <f aca="false">IF('Datos de condiciones'!G54="","",'Datos de condiciones'!G54)</f>
        <v>#VALUE!</v>
      </c>
      <c r="AL62" s="150"/>
    </row>
    <row r="63" customFormat="false" ht="15.75" hidden="false" customHeight="true" outlineLevel="0" collapsed="false">
      <c r="A63" s="81" t="n">
        <f aca="false">+A62+1</f>
        <v>52</v>
      </c>
      <c r="B63" s="114" t="str">
        <f aca="false">J63</f>
        <v/>
      </c>
      <c r="C63" s="115" t="str">
        <f aca="false">IF(H63="","",H63)</f>
        <v/>
      </c>
      <c r="D63" s="116" t="str">
        <f aca="false">IF(B63="","",(IF('conversion datos'!$L$30='Patrones LACOMET'!$D$3,(VLOOKUP(B63,'BLOQUES PATRON (pulg) '!$D$5:$H$87,3,TRUE())),IF('conversion datos'!$L$30='Patrones LACOMET'!$D$4,((VLOOKUP(CALIBRACION!B63,'BLOQUES PATRON (mm)'!$D$5:$H$126,3,FALSE()))/1000),"No existe el patrón"))))</f>
        <v/>
      </c>
      <c r="E63" s="117" t="str">
        <f aca="false">IF(B63="","",(B63+D63))</f>
        <v/>
      </c>
      <c r="F63" s="118" t="str">
        <f aca="false">IF(B63="","",(IF('conversion datos'!$L$30='Patrones LACOMET'!$D$3,(VLOOKUP(B63,'BLOQUES PATRON (pulg) '!$D$5:$H$86,5,FALSE())),IF('conversion datos'!$L$30='Patrones LACOMET'!$D$4,((VLOOKUP(CALIBRACION!B63,'BLOQUES PATRON (mm)'!$D$5:$H$126,4,FALSE()))/1000000),"No existe el patrón"))))</f>
        <v/>
      </c>
      <c r="G63" s="118" t="str">
        <f aca="false">IF(D63="","",(IF('conversion datos'!$L$30='Patrones LACOMET'!$D$3,(D63*25.4),IF('conversion datos'!$L$30='Patrones LACOMET'!$D$4,D63,"No existe el patrón"))))</f>
        <v/>
      </c>
      <c r="H63" s="119" t="str">
        <f aca="false">IF(J63="","",(IF('conversion datos'!$L$30='Patrones LACOMET'!$D$3,(CALIBRACION!J63*25.4),IF('conversion datos'!$L$30='Patrones LACOMET'!$D$4,(CALIBRACION!J63),"No existe el patrón"))))</f>
        <v/>
      </c>
      <c r="I63" s="120" t="e">
        <f aca="false">IF('conversion datos'!B53="","",'conversion datos'!B53)</f>
        <v>#VALUE!</v>
      </c>
      <c r="J63" s="121" t="str">
        <f aca="false">IF('conversion datos'!C53="","",'conversion datos'!C53)</f>
        <v/>
      </c>
      <c r="K63" s="152"/>
      <c r="L63" s="151"/>
      <c r="M63" s="151"/>
      <c r="N63" s="141"/>
      <c r="O63" s="123" t="str">
        <f aca="false">IF('conversion datos'!F53="","",'conversion datos'!F53)</f>
        <v/>
      </c>
      <c r="P63" s="124" t="str">
        <f aca="false">IF($H63="","",+O63/1000)</f>
        <v/>
      </c>
      <c r="Q63" s="124" t="str">
        <f aca="false">IF($H63="","",(IF('conversion datos'!$L$30='Patrones LACOMET'!$D$3,P63*0.0254,IF('conversion datos'!$L$30='Patrones LACOMET'!$D$4,P63,"No existe el patrón"))))</f>
        <v/>
      </c>
      <c r="R63" s="124" t="str">
        <f aca="false">IF($H63="","",(IF('conversion datos'!$L$30='Patrones LACOMET'!$D$3,E63*25.4,IF('conversion datos'!$L$30='Patrones LACOMET'!$D$4,E63,"No existe el patrón"))))</f>
        <v/>
      </c>
      <c r="S63" s="124" t="str">
        <f aca="false">+IF($H63="","",((INCERTIDUMBRE!$M$8)/1000)/25.4)</f>
        <v/>
      </c>
      <c r="T63" s="124" t="str">
        <f aca="false">IF($H63="","",(+H63+Q63+S63))</f>
        <v/>
      </c>
      <c r="U63" s="125" t="str">
        <f aca="false">IF($H63="","",(T63/25.4))</f>
        <v/>
      </c>
      <c r="V63" s="97"/>
      <c r="W63" s="142" t="e">
        <f aca="false">IF('Datos de condiciones'!D55="","",'Datos de condiciones'!D55)</f>
        <v>#VALUE!</v>
      </c>
      <c r="X63" s="143" t="str">
        <f aca="false">+IF($H63="","",(W63-20))</f>
        <v/>
      </c>
      <c r="Y63" s="144" t="e">
        <f aca="false">IF('Datos de condiciones'!E55="","",'Datos de condiciones'!E55)</f>
        <v>#VALUE!</v>
      </c>
      <c r="Z63" s="145" t="str">
        <f aca="false">+IF($H63="","",Y63-20)</f>
        <v/>
      </c>
      <c r="AA63" s="146" t="str">
        <f aca="false">+IF($H63="","",ABS(X63-Z63))</f>
        <v/>
      </c>
      <c r="AB63" s="131"/>
      <c r="AC63" s="147" t="n">
        <f aca="false">+AC62+1</f>
        <v>52</v>
      </c>
      <c r="AD63" s="148" t="str">
        <f aca="false">+IF($H63="","",W63)</f>
        <v/>
      </c>
      <c r="AE63" s="145" t="str">
        <f aca="false">+IF($H63="","",Y63)</f>
        <v/>
      </c>
      <c r="AF63" s="146" t="str">
        <f aca="false">+IF($H63="","",+(ABS(AD63-AE63)))</f>
        <v/>
      </c>
      <c r="AG63" s="149" t="e">
        <f aca="false">IF('Datos de condiciones'!F55="","",'Datos de condiciones'!F55)</f>
        <v>#VALUE!</v>
      </c>
      <c r="AH63" s="135"/>
      <c r="AI63" s="147" t="n">
        <f aca="false">+AI62+1</f>
        <v>52</v>
      </c>
      <c r="AJ63" s="140"/>
      <c r="AK63" s="123" t="e">
        <f aca="false">IF('Datos de condiciones'!G55="","",'Datos de condiciones'!G55)</f>
        <v>#VALUE!</v>
      </c>
      <c r="AL63" s="150"/>
    </row>
    <row r="64" customFormat="false" ht="16.5" hidden="false" customHeight="false" outlineLevel="0" collapsed="false">
      <c r="A64" s="81" t="n">
        <f aca="false">+A63+1</f>
        <v>53</v>
      </c>
      <c r="B64" s="114" t="str">
        <f aca="false">J64</f>
        <v/>
      </c>
      <c r="C64" s="115" t="str">
        <f aca="false">IF(H64="","",H64)</f>
        <v/>
      </c>
      <c r="D64" s="116" t="str">
        <f aca="false">IF(B64="","",(IF('conversion datos'!$L$30='Patrones LACOMET'!$D$3,(VLOOKUP(B64,'BLOQUES PATRON (pulg) '!$D$5:$H$87,3,TRUE())),IF('conversion datos'!$L$30='Patrones LACOMET'!$D$4,((VLOOKUP(CALIBRACION!B64,'BLOQUES PATRON (mm)'!$D$5:$H$126,3,FALSE()))/1000),"No existe el patrón"))))</f>
        <v/>
      </c>
      <c r="E64" s="117" t="str">
        <f aca="false">IF(B64="","",(B64+D64))</f>
        <v/>
      </c>
      <c r="F64" s="118" t="str">
        <f aca="false">IF(B64="","",(IF('conversion datos'!$L$30='Patrones LACOMET'!$D$3,(VLOOKUP(B64,'BLOQUES PATRON (pulg) '!$D$5:$H$86,5,FALSE())),IF('conversion datos'!$L$30='Patrones LACOMET'!$D$4,((VLOOKUP(CALIBRACION!B64,'BLOQUES PATRON (mm)'!$D$5:$H$126,4,FALSE()))/1000000),"No existe el patrón"))))</f>
        <v/>
      </c>
      <c r="G64" s="118" t="str">
        <f aca="false">IF(D64="","",(IF('conversion datos'!$L$30='Patrones LACOMET'!$D$3,(D64*25.4),IF('conversion datos'!$L$30='Patrones LACOMET'!$D$4,D64,"No existe el patrón"))))</f>
        <v/>
      </c>
      <c r="H64" s="119" t="str">
        <f aca="false">IF(J64="","",(IF('conversion datos'!$L$30='Patrones LACOMET'!$D$3,(CALIBRACION!J64*25.4),IF('conversion datos'!$L$30='Patrones LACOMET'!$D$4,(CALIBRACION!J64),"No existe el patrón"))))</f>
        <v/>
      </c>
      <c r="I64" s="120" t="e">
        <f aca="false">IF('conversion datos'!B54="","",'conversion datos'!B54)</f>
        <v>#VALUE!</v>
      </c>
      <c r="J64" s="121" t="str">
        <f aca="false">IF('conversion datos'!C54="","",'conversion datos'!C54)</f>
        <v/>
      </c>
      <c r="K64" s="152"/>
      <c r="L64" s="151"/>
      <c r="M64" s="151"/>
      <c r="N64" s="141"/>
      <c r="O64" s="123" t="str">
        <f aca="false">IF('conversion datos'!F54="","",'conversion datos'!F54)</f>
        <v/>
      </c>
      <c r="P64" s="124" t="str">
        <f aca="false">IF($H64="","",+O64/1000)</f>
        <v/>
      </c>
      <c r="Q64" s="124" t="str">
        <f aca="false">IF($H64="","",(IF('conversion datos'!$L$30='Patrones LACOMET'!$D$3,P64*0.0254,IF('conversion datos'!$L$30='Patrones LACOMET'!$D$4,P64,"No existe el patrón"))))</f>
        <v/>
      </c>
      <c r="R64" s="124" t="str">
        <f aca="false">IF($H64="","",(IF('conversion datos'!$L$30='Patrones LACOMET'!$D$3,E64*25.4,IF('conversion datos'!$L$30='Patrones LACOMET'!$D$4,E64,"No existe el patrón"))))</f>
        <v/>
      </c>
      <c r="S64" s="124" t="str">
        <f aca="false">+IF($H64="","",((INCERTIDUMBRE!$M$8)/1000)/25.4)</f>
        <v/>
      </c>
      <c r="T64" s="124" t="str">
        <f aca="false">IF($H64="","",(+H64+Q64+S64))</f>
        <v/>
      </c>
      <c r="U64" s="125" t="str">
        <f aca="false">IF($H64="","",(T64/25.4))</f>
        <v/>
      </c>
      <c r="V64" s="97"/>
      <c r="W64" s="142" t="e">
        <f aca="false">IF('Datos de condiciones'!D56="","",'Datos de condiciones'!D56)</f>
        <v>#VALUE!</v>
      </c>
      <c r="X64" s="143" t="str">
        <f aca="false">+IF($H64="","",(W64-20))</f>
        <v/>
      </c>
      <c r="Y64" s="144" t="e">
        <f aca="false">IF('Datos de condiciones'!E56="","",'Datos de condiciones'!E56)</f>
        <v>#VALUE!</v>
      </c>
      <c r="Z64" s="145" t="str">
        <f aca="false">+IF($H64="","",Y64-20)</f>
        <v/>
      </c>
      <c r="AA64" s="146" t="str">
        <f aca="false">+IF($H64="","",ABS(X64-Z64))</f>
        <v/>
      </c>
      <c r="AB64" s="131"/>
      <c r="AC64" s="147" t="n">
        <f aca="false">+AC63+1</f>
        <v>53</v>
      </c>
      <c r="AD64" s="148" t="str">
        <f aca="false">+IF($H64="","",W64)</f>
        <v/>
      </c>
      <c r="AE64" s="145" t="str">
        <f aca="false">+IF($H64="","",Y64)</f>
        <v/>
      </c>
      <c r="AF64" s="146" t="str">
        <f aca="false">+IF($H64="","",+(ABS(AD64-AE64)))</f>
        <v/>
      </c>
      <c r="AG64" s="149" t="e">
        <f aca="false">IF('Datos de condiciones'!F56="","",'Datos de condiciones'!F56)</f>
        <v>#VALUE!</v>
      </c>
      <c r="AH64" s="135"/>
      <c r="AI64" s="147" t="n">
        <f aca="false">+AI63+1</f>
        <v>53</v>
      </c>
      <c r="AJ64" s="140"/>
      <c r="AK64" s="123" t="e">
        <f aca="false">IF('Datos de condiciones'!G56="","",'Datos de condiciones'!G56)</f>
        <v>#VALUE!</v>
      </c>
      <c r="AL64" s="150"/>
    </row>
    <row r="65" customFormat="false" ht="15" hidden="false" customHeight="true" outlineLevel="0" collapsed="false">
      <c r="A65" s="81" t="n">
        <f aca="false">+A64+1</f>
        <v>54</v>
      </c>
      <c r="B65" s="114" t="str">
        <f aca="false">J65</f>
        <v/>
      </c>
      <c r="C65" s="115" t="str">
        <f aca="false">IF(H65="","",H65)</f>
        <v/>
      </c>
      <c r="D65" s="116" t="str">
        <f aca="false">IF(B65="","",(IF('conversion datos'!$L$30='Patrones LACOMET'!$D$3,(VLOOKUP(B65,'BLOQUES PATRON (pulg) '!$D$5:$H$87,3,TRUE())),IF('conversion datos'!$L$30='Patrones LACOMET'!$D$4,((VLOOKUP(CALIBRACION!B65,'BLOQUES PATRON (mm)'!$D$5:$H$126,3,FALSE()))/1000),"No existe el patrón"))))</f>
        <v/>
      </c>
      <c r="E65" s="117" t="str">
        <f aca="false">IF(B65="","",(B65+D65))</f>
        <v/>
      </c>
      <c r="F65" s="118" t="str">
        <f aca="false">IF(B65="","",(IF('conversion datos'!$L$30='Patrones LACOMET'!$D$3,(VLOOKUP(B65,'BLOQUES PATRON (pulg) '!$D$5:$H$86,5,FALSE())),IF('conversion datos'!$L$30='Patrones LACOMET'!$D$4,((VLOOKUP(CALIBRACION!B65,'BLOQUES PATRON (mm)'!$D$5:$H$126,4,FALSE()))/1000000),"No existe el patrón"))))</f>
        <v/>
      </c>
      <c r="G65" s="118" t="str">
        <f aca="false">IF(D65="","",(IF('conversion datos'!$L$30='Patrones LACOMET'!$D$3,(D65*25.4),IF('conversion datos'!$L$30='Patrones LACOMET'!$D$4,D65,"No existe el patrón"))))</f>
        <v/>
      </c>
      <c r="H65" s="119" t="str">
        <f aca="false">IF(J65="","",(IF('conversion datos'!$L$30='Patrones LACOMET'!$D$3,(CALIBRACION!J65*25.4),IF('conversion datos'!$L$30='Patrones LACOMET'!$D$4,(CALIBRACION!J65),"No existe el patrón"))))</f>
        <v/>
      </c>
      <c r="I65" s="120" t="e">
        <f aca="false">IF('conversion datos'!B55="","",'conversion datos'!B55)</f>
        <v>#VALUE!</v>
      </c>
      <c r="J65" s="121" t="str">
        <f aca="false">IF('conversion datos'!C55="","",'conversion datos'!C55)</f>
        <v/>
      </c>
      <c r="K65" s="152"/>
      <c r="L65" s="151"/>
      <c r="M65" s="151"/>
      <c r="N65" s="141"/>
      <c r="O65" s="123" t="str">
        <f aca="false">IF('conversion datos'!F55="","",'conversion datos'!F55)</f>
        <v/>
      </c>
      <c r="P65" s="124" t="str">
        <f aca="false">IF($H65="","",+O65/1000)</f>
        <v/>
      </c>
      <c r="Q65" s="124" t="str">
        <f aca="false">IF($H65="","",(IF('conversion datos'!$L$30='Patrones LACOMET'!$D$3,P65*0.0254,IF('conversion datos'!$L$30='Patrones LACOMET'!$D$4,P65,"No existe el patrón"))))</f>
        <v/>
      </c>
      <c r="R65" s="124" t="str">
        <f aca="false">IF($H65="","",(IF('conversion datos'!$L$30='Patrones LACOMET'!$D$3,E65*25.4,IF('conversion datos'!$L$30='Patrones LACOMET'!$D$4,E65,"No existe el patrón"))))</f>
        <v/>
      </c>
      <c r="S65" s="124" t="str">
        <f aca="false">+IF($H65="","",((INCERTIDUMBRE!$M$8)/1000)/25.4)</f>
        <v/>
      </c>
      <c r="T65" s="124" t="str">
        <f aca="false">IF($H65="","",(+H65+Q65+S65))</f>
        <v/>
      </c>
      <c r="U65" s="125" t="str">
        <f aca="false">IF($H65="","",(T65/25.4))</f>
        <v/>
      </c>
      <c r="V65" s="97"/>
      <c r="W65" s="142" t="e">
        <f aca="false">IF('Datos de condiciones'!D57="","",'Datos de condiciones'!D57)</f>
        <v>#VALUE!</v>
      </c>
      <c r="X65" s="143" t="str">
        <f aca="false">+IF($H65="","",(W65-20))</f>
        <v/>
      </c>
      <c r="Y65" s="144" t="e">
        <f aca="false">IF('Datos de condiciones'!E57="","",'Datos de condiciones'!E57)</f>
        <v>#VALUE!</v>
      </c>
      <c r="Z65" s="145" t="str">
        <f aca="false">+IF($H65="","",Y65-20)</f>
        <v/>
      </c>
      <c r="AA65" s="146" t="str">
        <f aca="false">+IF($H65="","",ABS(X65-Z65))</f>
        <v/>
      </c>
      <c r="AB65" s="131"/>
      <c r="AC65" s="147" t="n">
        <f aca="false">+AC64+1</f>
        <v>54</v>
      </c>
      <c r="AD65" s="148" t="str">
        <f aca="false">+IF($H65="","",W65)</f>
        <v/>
      </c>
      <c r="AE65" s="145" t="str">
        <f aca="false">+IF($H65="","",Y65)</f>
        <v/>
      </c>
      <c r="AF65" s="146" t="str">
        <f aca="false">+IF($H65="","",+(ABS(AD65-AE65)))</f>
        <v/>
      </c>
      <c r="AG65" s="149" t="e">
        <f aca="false">IF('Datos de condiciones'!F57="","",'Datos de condiciones'!F57)</f>
        <v>#VALUE!</v>
      </c>
      <c r="AH65" s="135"/>
      <c r="AI65" s="147" t="n">
        <f aca="false">+AI64+1</f>
        <v>54</v>
      </c>
      <c r="AJ65" s="140"/>
      <c r="AK65" s="123" t="e">
        <f aca="false">IF('Datos de condiciones'!G57="","",'Datos de condiciones'!G57)</f>
        <v>#VALUE!</v>
      </c>
      <c r="AL65" s="150"/>
    </row>
    <row r="66" customFormat="false" ht="15.75" hidden="false" customHeight="true" outlineLevel="0" collapsed="false">
      <c r="A66" s="81" t="n">
        <f aca="false">+A65+1</f>
        <v>55</v>
      </c>
      <c r="B66" s="114" t="str">
        <f aca="false">J66</f>
        <v/>
      </c>
      <c r="C66" s="115" t="str">
        <f aca="false">IF(H66="","",H66)</f>
        <v/>
      </c>
      <c r="D66" s="116" t="str">
        <f aca="false">IF(B66="","",(IF('conversion datos'!$L$30='Patrones LACOMET'!$D$3,(VLOOKUP(B66,'BLOQUES PATRON (pulg) '!$D$5:$H$87,3,TRUE())),IF('conversion datos'!$L$30='Patrones LACOMET'!$D$4,((VLOOKUP(CALIBRACION!B66,'BLOQUES PATRON (mm)'!$D$5:$H$126,3,FALSE()))/1000),"No existe el patrón"))))</f>
        <v/>
      </c>
      <c r="E66" s="117" t="str">
        <f aca="false">IF(B66="","",(B66+D66))</f>
        <v/>
      </c>
      <c r="F66" s="118" t="str">
        <f aca="false">IF(B66="","",(IF('conversion datos'!$L$30='Patrones LACOMET'!$D$3,(VLOOKUP(B66,'BLOQUES PATRON (pulg) '!$D$5:$H$86,5,FALSE())),IF('conversion datos'!$L$30='Patrones LACOMET'!$D$4,((VLOOKUP(CALIBRACION!B66,'BLOQUES PATRON (mm)'!$D$5:$H$126,4,FALSE()))/1000000),"No existe el patrón"))))</f>
        <v/>
      </c>
      <c r="G66" s="118" t="str">
        <f aca="false">IF(D66="","",(IF('conversion datos'!$L$30='Patrones LACOMET'!$D$3,(D66*25.4),IF('conversion datos'!$L$30='Patrones LACOMET'!$D$4,D66,"No existe el patrón"))))</f>
        <v/>
      </c>
      <c r="H66" s="119" t="str">
        <f aca="false">IF(J66="","",(IF('conversion datos'!$L$30='Patrones LACOMET'!$D$3,(CALIBRACION!J66*25.4),IF('conversion datos'!$L$30='Patrones LACOMET'!$D$4,(CALIBRACION!J66),"No existe el patrón"))))</f>
        <v/>
      </c>
      <c r="I66" s="120" t="e">
        <f aca="false">IF('conversion datos'!B56="","",'conversion datos'!B56)</f>
        <v>#VALUE!</v>
      </c>
      <c r="J66" s="121" t="str">
        <f aca="false">IF('conversion datos'!C56="","",'conversion datos'!C56)</f>
        <v/>
      </c>
      <c r="K66" s="152"/>
      <c r="L66" s="151"/>
      <c r="M66" s="151"/>
      <c r="N66" s="141"/>
      <c r="O66" s="123" t="str">
        <f aca="false">IF('conversion datos'!F56="","",'conversion datos'!F56)</f>
        <v/>
      </c>
      <c r="P66" s="124" t="str">
        <f aca="false">IF($H66="","",+O66/1000)</f>
        <v/>
      </c>
      <c r="Q66" s="124" t="str">
        <f aca="false">IF($H66="","",(IF('conversion datos'!$L$30='Patrones LACOMET'!$D$3,P66*0.0254,IF('conversion datos'!$L$30='Patrones LACOMET'!$D$4,P66,"No existe el patrón"))))</f>
        <v/>
      </c>
      <c r="R66" s="124" t="str">
        <f aca="false">IF($H66="","",(IF('conversion datos'!$L$30='Patrones LACOMET'!$D$3,E66*25.4,IF('conversion datos'!$L$30='Patrones LACOMET'!$D$4,E66,"No existe el patrón"))))</f>
        <v/>
      </c>
      <c r="S66" s="124" t="str">
        <f aca="false">+IF($H66="","",((INCERTIDUMBRE!$M$8)/1000)/25.4)</f>
        <v/>
      </c>
      <c r="T66" s="124" t="str">
        <f aca="false">IF($H66="","",(+H66+Q66+S66))</f>
        <v/>
      </c>
      <c r="U66" s="125" t="str">
        <f aca="false">IF($H66="","",(T66/25.4))</f>
        <v/>
      </c>
      <c r="V66" s="97"/>
      <c r="W66" s="142" t="e">
        <f aca="false">IF('Datos de condiciones'!D58="","",'Datos de condiciones'!D58)</f>
        <v>#VALUE!</v>
      </c>
      <c r="X66" s="143" t="str">
        <f aca="false">+IF($H66="","",(W66-20))</f>
        <v/>
      </c>
      <c r="Y66" s="144" t="e">
        <f aca="false">IF('Datos de condiciones'!E58="","",'Datos de condiciones'!E58)</f>
        <v>#VALUE!</v>
      </c>
      <c r="Z66" s="145" t="str">
        <f aca="false">+IF($H66="","",Y66-20)</f>
        <v/>
      </c>
      <c r="AA66" s="146" t="str">
        <f aca="false">+IF($H66="","",ABS(X66-Z66))</f>
        <v/>
      </c>
      <c r="AB66" s="131"/>
      <c r="AC66" s="147" t="n">
        <f aca="false">+AC65+1</f>
        <v>55</v>
      </c>
      <c r="AD66" s="148" t="str">
        <f aca="false">+IF($H66="","",W66)</f>
        <v/>
      </c>
      <c r="AE66" s="145" t="str">
        <f aca="false">+IF($H66="","",Y66)</f>
        <v/>
      </c>
      <c r="AF66" s="146" t="str">
        <f aca="false">+IF($H66="","",+(ABS(AD66-AE66)))</f>
        <v/>
      </c>
      <c r="AG66" s="149" t="e">
        <f aca="false">IF('Datos de condiciones'!F58="","",'Datos de condiciones'!F58)</f>
        <v>#VALUE!</v>
      </c>
      <c r="AH66" s="135"/>
      <c r="AI66" s="147" t="n">
        <f aca="false">+AI65+1</f>
        <v>55</v>
      </c>
      <c r="AJ66" s="140"/>
      <c r="AK66" s="123" t="e">
        <f aca="false">IF('Datos de condiciones'!G58="","",'Datos de condiciones'!G58)</f>
        <v>#VALUE!</v>
      </c>
      <c r="AL66" s="150"/>
    </row>
    <row r="67" customFormat="false" ht="16.5" hidden="false" customHeight="false" outlineLevel="0" collapsed="false">
      <c r="A67" s="81" t="n">
        <f aca="false">+A66+1</f>
        <v>56</v>
      </c>
      <c r="B67" s="114" t="str">
        <f aca="false">J67</f>
        <v/>
      </c>
      <c r="C67" s="115" t="str">
        <f aca="false">IF(H67="","",H67)</f>
        <v/>
      </c>
      <c r="D67" s="116" t="str">
        <f aca="false">IF(B67="","",(IF('conversion datos'!$L$30='Patrones LACOMET'!$D$3,(VLOOKUP(B67,'BLOQUES PATRON (pulg) '!$D$5:$H$87,3,TRUE())),IF('conversion datos'!$L$30='Patrones LACOMET'!$D$4,((VLOOKUP(CALIBRACION!B67,'BLOQUES PATRON (mm)'!$D$5:$H$126,3,FALSE()))/1000),"No existe el patrón"))))</f>
        <v/>
      </c>
      <c r="E67" s="117" t="str">
        <f aca="false">IF(B67="","",(B67+D67))</f>
        <v/>
      </c>
      <c r="F67" s="118" t="str">
        <f aca="false">IF(B67="","",(IF('conversion datos'!$L$30='Patrones LACOMET'!$D$3,(VLOOKUP(B67,'BLOQUES PATRON (pulg) '!$D$5:$H$86,5,FALSE())),IF('conversion datos'!$L$30='Patrones LACOMET'!$D$4,((VLOOKUP(CALIBRACION!B67,'BLOQUES PATRON (mm)'!$D$5:$H$126,4,FALSE()))/1000000),"No existe el patrón"))))</f>
        <v/>
      </c>
      <c r="G67" s="118" t="str">
        <f aca="false">IF(D67="","",(IF('conversion datos'!$L$30='Patrones LACOMET'!$D$3,(D67*25.4),IF('conversion datos'!$L$30='Patrones LACOMET'!$D$4,D67,"No existe el patrón"))))</f>
        <v/>
      </c>
      <c r="H67" s="119" t="str">
        <f aca="false">IF(J67="","",(IF('conversion datos'!$L$30='Patrones LACOMET'!$D$3,(CALIBRACION!J67*25.4),IF('conversion datos'!$L$30='Patrones LACOMET'!$D$4,(CALIBRACION!J67),"No existe el patrón"))))</f>
        <v/>
      </c>
      <c r="I67" s="120" t="e">
        <f aca="false">IF('conversion datos'!B57="","",'conversion datos'!B57)</f>
        <v>#VALUE!</v>
      </c>
      <c r="J67" s="121" t="str">
        <f aca="false">IF('conversion datos'!C57="","",'conversion datos'!C57)</f>
        <v/>
      </c>
      <c r="K67" s="152"/>
      <c r="L67" s="151"/>
      <c r="M67" s="151"/>
      <c r="N67" s="141"/>
      <c r="O67" s="123" t="str">
        <f aca="false">IF('conversion datos'!F57="","",'conversion datos'!F57)</f>
        <v/>
      </c>
      <c r="P67" s="124" t="str">
        <f aca="false">IF($H67="","",+O67/1000)</f>
        <v/>
      </c>
      <c r="Q67" s="124" t="str">
        <f aca="false">IF($H67="","",(IF('conversion datos'!$L$30='Patrones LACOMET'!$D$3,P67*0.0254,IF('conversion datos'!$L$30='Patrones LACOMET'!$D$4,P67,"No existe el patrón"))))</f>
        <v/>
      </c>
      <c r="R67" s="124" t="str">
        <f aca="false">IF($H67="","",(IF('conversion datos'!$L$30='Patrones LACOMET'!$D$3,E67*25.4,IF('conversion datos'!$L$30='Patrones LACOMET'!$D$4,E67,"No existe el patrón"))))</f>
        <v/>
      </c>
      <c r="S67" s="124" t="str">
        <f aca="false">+IF($H67="","",((INCERTIDUMBRE!$M$8)/1000)/25.4)</f>
        <v/>
      </c>
      <c r="T67" s="124" t="str">
        <f aca="false">IF($H67="","",(+H67+Q67+S67))</f>
        <v/>
      </c>
      <c r="U67" s="125" t="str">
        <f aca="false">IF($H67="","",(T67/25.4))</f>
        <v/>
      </c>
      <c r="V67" s="97"/>
      <c r="W67" s="142" t="e">
        <f aca="false">IF('Datos de condiciones'!D59="","",'Datos de condiciones'!D59)</f>
        <v>#VALUE!</v>
      </c>
      <c r="X67" s="143" t="str">
        <f aca="false">+IF($H67="","",(W67-20))</f>
        <v/>
      </c>
      <c r="Y67" s="144" t="e">
        <f aca="false">IF('Datos de condiciones'!E59="","",'Datos de condiciones'!E59)</f>
        <v>#VALUE!</v>
      </c>
      <c r="Z67" s="145" t="str">
        <f aca="false">+IF($H67="","",Y67-20)</f>
        <v/>
      </c>
      <c r="AA67" s="146" t="str">
        <f aca="false">+IF($H67="","",ABS(X67-Z67))</f>
        <v/>
      </c>
      <c r="AB67" s="131"/>
      <c r="AC67" s="147" t="n">
        <f aca="false">+AC66+1</f>
        <v>56</v>
      </c>
      <c r="AD67" s="148" t="str">
        <f aca="false">+IF($H67="","",W67)</f>
        <v/>
      </c>
      <c r="AE67" s="145" t="str">
        <f aca="false">+IF($H67="","",Y67)</f>
        <v/>
      </c>
      <c r="AF67" s="146" t="str">
        <f aca="false">+IF($H67="","",+(ABS(AD67-AE67)))</f>
        <v/>
      </c>
      <c r="AG67" s="149" t="e">
        <f aca="false">IF('Datos de condiciones'!F59="","",'Datos de condiciones'!F59)</f>
        <v>#VALUE!</v>
      </c>
      <c r="AH67" s="135"/>
      <c r="AI67" s="147" t="n">
        <f aca="false">+AI66+1</f>
        <v>56</v>
      </c>
      <c r="AJ67" s="140"/>
      <c r="AK67" s="123" t="e">
        <f aca="false">IF('Datos de condiciones'!G59="","",'Datos de condiciones'!G59)</f>
        <v>#VALUE!</v>
      </c>
      <c r="AL67" s="150"/>
    </row>
    <row r="68" customFormat="false" ht="15" hidden="false" customHeight="true" outlineLevel="0" collapsed="false">
      <c r="A68" s="81" t="n">
        <f aca="false">+A67+1</f>
        <v>57</v>
      </c>
      <c r="B68" s="114" t="str">
        <f aca="false">J68</f>
        <v/>
      </c>
      <c r="C68" s="115" t="str">
        <f aca="false">IF(H68="","",H68)</f>
        <v/>
      </c>
      <c r="D68" s="116" t="str">
        <f aca="false">IF(B68="","",(IF('conversion datos'!$L$30='Patrones LACOMET'!$D$3,(VLOOKUP(B68,'BLOQUES PATRON (pulg) '!$D$5:$H$87,3,TRUE())),IF('conversion datos'!$L$30='Patrones LACOMET'!$D$4,((VLOOKUP(CALIBRACION!B68,'BLOQUES PATRON (mm)'!$D$5:$H$126,3,FALSE()))/1000),"No existe el patrón"))))</f>
        <v/>
      </c>
      <c r="E68" s="117" t="str">
        <f aca="false">IF(B68="","",(B68+D68))</f>
        <v/>
      </c>
      <c r="F68" s="118" t="str">
        <f aca="false">IF(B68="","",(IF('conversion datos'!$L$30='Patrones LACOMET'!$D$3,(VLOOKUP(B68,'BLOQUES PATRON (pulg) '!$D$5:$H$86,5,FALSE())),IF('conversion datos'!$L$30='Patrones LACOMET'!$D$4,((VLOOKUP(CALIBRACION!B68,'BLOQUES PATRON (mm)'!$D$5:$H$126,4,FALSE()))/1000000),"No existe el patrón"))))</f>
        <v/>
      </c>
      <c r="G68" s="118" t="str">
        <f aca="false">IF(D68="","",(IF('conversion datos'!$L$30='Patrones LACOMET'!$D$3,(D68*25.4),IF('conversion datos'!$L$30='Patrones LACOMET'!$D$4,D68,"No existe el patrón"))))</f>
        <v/>
      </c>
      <c r="H68" s="119" t="str">
        <f aca="false">IF(J68="","",(IF('conversion datos'!$L$30='Patrones LACOMET'!$D$3,(CALIBRACION!J68*25.4),IF('conversion datos'!$L$30='Patrones LACOMET'!$D$4,(CALIBRACION!J68),"No existe el patrón"))))</f>
        <v/>
      </c>
      <c r="I68" s="120" t="e">
        <f aca="false">IF('conversion datos'!B58="","",'conversion datos'!B58)</f>
        <v>#VALUE!</v>
      </c>
      <c r="J68" s="121" t="str">
        <f aca="false">IF('conversion datos'!C58="","",'conversion datos'!C58)</f>
        <v/>
      </c>
      <c r="K68" s="153"/>
      <c r="L68" s="151"/>
      <c r="M68" s="151"/>
      <c r="N68" s="141"/>
      <c r="O68" s="123" t="str">
        <f aca="false">IF('conversion datos'!F58="","",'conversion datos'!F58)</f>
        <v/>
      </c>
      <c r="P68" s="124" t="str">
        <f aca="false">IF($H68="","",+O68/1000)</f>
        <v/>
      </c>
      <c r="Q68" s="124" t="str">
        <f aca="false">IF($H68="","",(IF('conversion datos'!$L$30='Patrones LACOMET'!$D$3,P68*0.0254,IF('conversion datos'!$L$30='Patrones LACOMET'!$D$4,P68,"No existe el patrón"))))</f>
        <v/>
      </c>
      <c r="R68" s="124" t="str">
        <f aca="false">IF($H68="","",(IF('conversion datos'!$L$30='Patrones LACOMET'!$D$3,E68*25.4,IF('conversion datos'!$L$30='Patrones LACOMET'!$D$4,E68,"No existe el patrón"))))</f>
        <v/>
      </c>
      <c r="S68" s="124" t="str">
        <f aca="false">+IF($H68="","",((INCERTIDUMBRE!$M$8)/1000)/25.4)</f>
        <v/>
      </c>
      <c r="T68" s="124" t="str">
        <f aca="false">IF($H68="","",(+H68+Q68+S68))</f>
        <v/>
      </c>
      <c r="U68" s="125" t="str">
        <f aca="false">IF($H68="","",(T68/25.4))</f>
        <v/>
      </c>
      <c r="V68" s="97"/>
      <c r="W68" s="142" t="e">
        <f aca="false">IF('Datos de condiciones'!D60="","",'Datos de condiciones'!D60)</f>
        <v>#VALUE!</v>
      </c>
      <c r="X68" s="143" t="str">
        <f aca="false">+IF($H68="","",(W68-20))</f>
        <v/>
      </c>
      <c r="Y68" s="144" t="e">
        <f aca="false">IF('Datos de condiciones'!E60="","",'Datos de condiciones'!E60)</f>
        <v>#VALUE!</v>
      </c>
      <c r="Z68" s="145" t="str">
        <f aca="false">+IF($H68="","",Y68-20)</f>
        <v/>
      </c>
      <c r="AA68" s="146" t="str">
        <f aca="false">+IF($H68="","",ABS(X68-Z68))</f>
        <v/>
      </c>
      <c r="AB68" s="131"/>
      <c r="AC68" s="147" t="n">
        <f aca="false">+AC67+1</f>
        <v>57</v>
      </c>
      <c r="AD68" s="148" t="str">
        <f aca="false">+IF($H68="","",W68)</f>
        <v/>
      </c>
      <c r="AE68" s="145" t="str">
        <f aca="false">+IF($H68="","",Y68)</f>
        <v/>
      </c>
      <c r="AF68" s="146" t="str">
        <f aca="false">+IF($H68="","",+(ABS(AD68-AE68)))</f>
        <v/>
      </c>
      <c r="AG68" s="149" t="e">
        <f aca="false">IF('Datos de condiciones'!F60="","",'Datos de condiciones'!F60)</f>
        <v>#VALUE!</v>
      </c>
      <c r="AH68" s="135"/>
      <c r="AI68" s="147" t="n">
        <f aca="false">+AI67+1</f>
        <v>57</v>
      </c>
      <c r="AJ68" s="140"/>
      <c r="AK68" s="123" t="e">
        <f aca="false">IF('Datos de condiciones'!G60="","",'Datos de condiciones'!G60)</f>
        <v>#VALUE!</v>
      </c>
      <c r="AL68" s="150"/>
    </row>
    <row r="69" customFormat="false" ht="15.75" hidden="false" customHeight="true" outlineLevel="0" collapsed="false">
      <c r="A69" s="81" t="n">
        <f aca="false">+A68+1</f>
        <v>58</v>
      </c>
      <c r="B69" s="114" t="str">
        <f aca="false">J69</f>
        <v/>
      </c>
      <c r="C69" s="115" t="str">
        <f aca="false">IF(H69="","",H69)</f>
        <v/>
      </c>
      <c r="D69" s="116" t="str">
        <f aca="false">IF(B69="","",(IF('conversion datos'!$L$30='Patrones LACOMET'!$D$3,(VLOOKUP(B69,'BLOQUES PATRON (pulg) '!$D$5:$H$87,3,TRUE())),IF('conversion datos'!$L$30='Patrones LACOMET'!$D$4,((VLOOKUP(CALIBRACION!B69,'BLOQUES PATRON (mm)'!$D$5:$H$126,3,FALSE()))/1000),"No existe el patrón"))))</f>
        <v/>
      </c>
      <c r="E69" s="117" t="str">
        <f aca="false">IF(B69="","",(B69+D69))</f>
        <v/>
      </c>
      <c r="F69" s="118" t="str">
        <f aca="false">IF(B69="","",(IF('conversion datos'!$L$30='Patrones LACOMET'!$D$3,(VLOOKUP(B69,'BLOQUES PATRON (pulg) '!$D$5:$H$86,5,FALSE())),IF('conversion datos'!$L$30='Patrones LACOMET'!$D$4,((VLOOKUP(CALIBRACION!B69,'BLOQUES PATRON (mm)'!$D$5:$H$126,4,FALSE()))/1000000),"No existe el patrón"))))</f>
        <v/>
      </c>
      <c r="G69" s="118" t="str">
        <f aca="false">IF(D69="","",(IF('conversion datos'!$L$30='Patrones LACOMET'!$D$3,(D69*25.4),IF('conversion datos'!$L$30='Patrones LACOMET'!$D$4,D69,"No existe el patrón"))))</f>
        <v/>
      </c>
      <c r="H69" s="119" t="str">
        <f aca="false">IF(J69="","",(IF('conversion datos'!$L$30='Patrones LACOMET'!$D$3,(CALIBRACION!J69*25.4),IF('conversion datos'!$L$30='Patrones LACOMET'!$D$4,(CALIBRACION!J69),"No existe el patrón"))))</f>
        <v/>
      </c>
      <c r="I69" s="120" t="e">
        <f aca="false">IF('conversion datos'!B59="","",'conversion datos'!B59)</f>
        <v>#VALUE!</v>
      </c>
      <c r="J69" s="121" t="str">
        <f aca="false">IF('conversion datos'!C59="","",'conversion datos'!C59)</f>
        <v/>
      </c>
      <c r="K69" s="153"/>
      <c r="L69" s="151"/>
      <c r="M69" s="151"/>
      <c r="N69" s="141"/>
      <c r="O69" s="123" t="str">
        <f aca="false">IF('conversion datos'!F59="","",'conversion datos'!F59)</f>
        <v/>
      </c>
      <c r="P69" s="124" t="str">
        <f aca="false">IF($H69="","",+O69/1000)</f>
        <v/>
      </c>
      <c r="Q69" s="124" t="str">
        <f aca="false">IF($H69="","",(IF('conversion datos'!$L$30='Patrones LACOMET'!$D$3,P69*0.0254,IF('conversion datos'!$L$30='Patrones LACOMET'!$D$4,P69,"No existe el patrón"))))</f>
        <v/>
      </c>
      <c r="R69" s="124" t="str">
        <f aca="false">IF($H69="","",(IF('conversion datos'!$L$30='Patrones LACOMET'!$D$3,E69*25.4,IF('conversion datos'!$L$30='Patrones LACOMET'!$D$4,E69,"No existe el patrón"))))</f>
        <v/>
      </c>
      <c r="S69" s="124" t="str">
        <f aca="false">+IF($H69="","",((INCERTIDUMBRE!$M$8)/1000)/25.4)</f>
        <v/>
      </c>
      <c r="T69" s="124" t="str">
        <f aca="false">IF($H69="","",(+H69+Q69+S69))</f>
        <v/>
      </c>
      <c r="U69" s="125" t="str">
        <f aca="false">IF($H69="","",(T69/25.4))</f>
        <v/>
      </c>
      <c r="V69" s="97"/>
      <c r="W69" s="142" t="e">
        <f aca="false">IF('Datos de condiciones'!D61="","",'Datos de condiciones'!D61)</f>
        <v>#VALUE!</v>
      </c>
      <c r="X69" s="143" t="str">
        <f aca="false">+IF($H69="","",(W69-20))</f>
        <v/>
      </c>
      <c r="Y69" s="144" t="e">
        <f aca="false">IF('Datos de condiciones'!E61="","",'Datos de condiciones'!E61)</f>
        <v>#VALUE!</v>
      </c>
      <c r="Z69" s="145" t="str">
        <f aca="false">+IF($H69="","",Y69-20)</f>
        <v/>
      </c>
      <c r="AA69" s="146" t="str">
        <f aca="false">+IF($H69="","",ABS(X69-Z69))</f>
        <v/>
      </c>
      <c r="AB69" s="131"/>
      <c r="AC69" s="147" t="n">
        <f aca="false">+AC68+1</f>
        <v>58</v>
      </c>
      <c r="AD69" s="148" t="str">
        <f aca="false">+IF($H69="","",W69)</f>
        <v/>
      </c>
      <c r="AE69" s="145" t="str">
        <f aca="false">+IF($H69="","",Y69)</f>
        <v/>
      </c>
      <c r="AF69" s="146" t="str">
        <f aca="false">+IF($H69="","",+(ABS(AD69-AE69)))</f>
        <v/>
      </c>
      <c r="AG69" s="149" t="e">
        <f aca="false">IF('Datos de condiciones'!F61="","",'Datos de condiciones'!F61)</f>
        <v>#VALUE!</v>
      </c>
      <c r="AH69" s="135"/>
      <c r="AI69" s="147" t="n">
        <f aca="false">+AI68+1</f>
        <v>58</v>
      </c>
      <c r="AJ69" s="140"/>
      <c r="AK69" s="123" t="e">
        <f aca="false">IF('Datos de condiciones'!G61="","",'Datos de condiciones'!G61)</f>
        <v>#VALUE!</v>
      </c>
      <c r="AL69" s="150"/>
    </row>
    <row r="70" customFormat="false" ht="16.5" hidden="false" customHeight="false" outlineLevel="0" collapsed="false">
      <c r="A70" s="81" t="n">
        <f aca="false">+A69+1</f>
        <v>59</v>
      </c>
      <c r="B70" s="114" t="str">
        <f aca="false">J70</f>
        <v/>
      </c>
      <c r="C70" s="115" t="str">
        <f aca="false">IF(H70="","",H70)</f>
        <v/>
      </c>
      <c r="D70" s="116" t="str">
        <f aca="false">IF(B70="","",(IF('conversion datos'!$L$30='Patrones LACOMET'!$D$3,(VLOOKUP(B70,'BLOQUES PATRON (pulg) '!$D$5:$H$87,3,TRUE())),IF('conversion datos'!$L$30='Patrones LACOMET'!$D$4,((VLOOKUP(CALIBRACION!B70,'BLOQUES PATRON (mm)'!$D$5:$H$126,3,FALSE()))/1000),"No existe el patrón"))))</f>
        <v/>
      </c>
      <c r="E70" s="117" t="str">
        <f aca="false">IF(B70="","",(B70+D70))</f>
        <v/>
      </c>
      <c r="F70" s="118" t="str">
        <f aca="false">IF(B70="","",(IF('conversion datos'!$L$30='Patrones LACOMET'!$D$3,(VLOOKUP(B70,'BLOQUES PATRON (pulg) '!$D$5:$H$86,5,FALSE())),IF('conversion datos'!$L$30='Patrones LACOMET'!$D$4,((VLOOKUP(CALIBRACION!B70,'BLOQUES PATRON (mm)'!$D$5:$H$126,4,FALSE()))/1000000),"No existe el patrón"))))</f>
        <v/>
      </c>
      <c r="G70" s="118" t="str">
        <f aca="false">IF(D70="","",(IF('conversion datos'!$L$30='Patrones LACOMET'!$D$3,(D70*25.4),IF('conversion datos'!$L$30='Patrones LACOMET'!$D$4,D70,"No existe el patrón"))))</f>
        <v/>
      </c>
      <c r="H70" s="119" t="str">
        <f aca="false">IF(J70="","",(IF('conversion datos'!$L$30='Patrones LACOMET'!$D$3,(CALIBRACION!J70*25.4),IF('conversion datos'!$L$30='Patrones LACOMET'!$D$4,(CALIBRACION!J70),"No existe el patrón"))))</f>
        <v/>
      </c>
      <c r="I70" s="120" t="e">
        <f aca="false">IF('conversion datos'!B60="","",'conversion datos'!B60)</f>
        <v>#VALUE!</v>
      </c>
      <c r="J70" s="121" t="str">
        <f aca="false">IF('conversion datos'!C60="","",'conversion datos'!C60)</f>
        <v/>
      </c>
      <c r="K70" s="153"/>
      <c r="L70" s="151"/>
      <c r="M70" s="151"/>
      <c r="N70" s="141"/>
      <c r="O70" s="123" t="str">
        <f aca="false">IF('conversion datos'!F60="","",'conversion datos'!F60)</f>
        <v/>
      </c>
      <c r="P70" s="124" t="str">
        <f aca="false">IF($H70="","",+O70/1000)</f>
        <v/>
      </c>
      <c r="Q70" s="124" t="str">
        <f aca="false">IF($H70="","",(IF('conversion datos'!$L$30='Patrones LACOMET'!$D$3,P70*0.0254,IF('conversion datos'!$L$30='Patrones LACOMET'!$D$4,P70,"No existe el patrón"))))</f>
        <v/>
      </c>
      <c r="R70" s="124" t="str">
        <f aca="false">IF($H70="","",(IF('conversion datos'!$L$30='Patrones LACOMET'!$D$3,E70*25.4,IF('conversion datos'!$L$30='Patrones LACOMET'!$D$4,E70,"No existe el patrón"))))</f>
        <v/>
      </c>
      <c r="S70" s="124" t="str">
        <f aca="false">+IF($H70="","",((INCERTIDUMBRE!$M$8)/1000)/25.4)</f>
        <v/>
      </c>
      <c r="T70" s="124" t="str">
        <f aca="false">IF($H70="","",(+H70+Q70+S70))</f>
        <v/>
      </c>
      <c r="U70" s="125" t="str">
        <f aca="false">IF($H70="","",(T70/25.4))</f>
        <v/>
      </c>
      <c r="V70" s="97"/>
      <c r="W70" s="142" t="e">
        <f aca="false">IF('Datos de condiciones'!D62="","",'Datos de condiciones'!D62)</f>
        <v>#VALUE!</v>
      </c>
      <c r="X70" s="143" t="str">
        <f aca="false">+IF($H70="","",(W70-20))</f>
        <v/>
      </c>
      <c r="Y70" s="144" t="e">
        <f aca="false">IF('Datos de condiciones'!E62="","",'Datos de condiciones'!E62)</f>
        <v>#VALUE!</v>
      </c>
      <c r="Z70" s="145" t="str">
        <f aca="false">+IF($H70="","",Y70-20)</f>
        <v/>
      </c>
      <c r="AA70" s="146" t="str">
        <f aca="false">+IF($H70="","",ABS(X70-Z70))</f>
        <v/>
      </c>
      <c r="AB70" s="131"/>
      <c r="AC70" s="147" t="n">
        <f aca="false">+AC69+1</f>
        <v>59</v>
      </c>
      <c r="AD70" s="148" t="str">
        <f aca="false">+IF($H70="","",W70)</f>
        <v/>
      </c>
      <c r="AE70" s="145" t="str">
        <f aca="false">+IF($H70="","",Y70)</f>
        <v/>
      </c>
      <c r="AF70" s="146" t="str">
        <f aca="false">+IF($H70="","",+(ABS(AD70-AE70)))</f>
        <v/>
      </c>
      <c r="AG70" s="149" t="e">
        <f aca="false">IF('Datos de condiciones'!F62="","",'Datos de condiciones'!F62)</f>
        <v>#VALUE!</v>
      </c>
      <c r="AH70" s="135"/>
      <c r="AI70" s="147" t="n">
        <f aca="false">+AI69+1</f>
        <v>59</v>
      </c>
      <c r="AJ70" s="140"/>
      <c r="AK70" s="123" t="e">
        <f aca="false">IF('Datos de condiciones'!G62="","",'Datos de condiciones'!G62)</f>
        <v>#VALUE!</v>
      </c>
      <c r="AL70" s="150"/>
    </row>
    <row r="71" customFormat="false" ht="16.5" hidden="false" customHeight="false" outlineLevel="0" collapsed="false">
      <c r="A71" s="81" t="n">
        <f aca="false">+A70+1</f>
        <v>60</v>
      </c>
      <c r="B71" s="114" t="str">
        <f aca="false">J71</f>
        <v/>
      </c>
      <c r="C71" s="115" t="str">
        <f aca="false">IF(H71="","",H71)</f>
        <v/>
      </c>
      <c r="D71" s="116" t="str">
        <f aca="false">IF(B71="","",(IF('conversion datos'!$L$30='Patrones LACOMET'!$D$3,(VLOOKUP(B71,'BLOQUES PATRON (pulg) '!$D$5:$H$87,3,TRUE())),IF('conversion datos'!$L$30='Patrones LACOMET'!$D$4,((VLOOKUP(CALIBRACION!B71,'BLOQUES PATRON (mm)'!$D$5:$H$126,3,FALSE()))/1000),"No existe el patrón"))))</f>
        <v/>
      </c>
      <c r="E71" s="117" t="str">
        <f aca="false">IF(B71="","",(B71+D71))</f>
        <v/>
      </c>
      <c r="F71" s="118" t="str">
        <f aca="false">IF(B71="","",(IF('conversion datos'!$L$30='Patrones LACOMET'!$D$3,(VLOOKUP(B71,'BLOQUES PATRON (pulg) '!$D$5:$H$86,5,FALSE())),IF('conversion datos'!$L$30='Patrones LACOMET'!$D$4,((VLOOKUP(CALIBRACION!B71,'BLOQUES PATRON (mm)'!$D$5:$H$126,4,FALSE()))/1000000),"No existe el patrón"))))</f>
        <v/>
      </c>
      <c r="G71" s="118" t="str">
        <f aca="false">IF(D71="","",(IF('conversion datos'!$L$30='Patrones LACOMET'!$D$3,(D71*25.4),IF('conversion datos'!$L$30='Patrones LACOMET'!$D$4,D71,"No existe el patrón"))))</f>
        <v/>
      </c>
      <c r="H71" s="119" t="str">
        <f aca="false">IF(J71="","",(IF('conversion datos'!$L$30='Patrones LACOMET'!$D$3,(CALIBRACION!J71*25.4),IF('conversion datos'!$L$30='Patrones LACOMET'!$D$4,(CALIBRACION!J71),"No existe el patrón"))))</f>
        <v/>
      </c>
      <c r="I71" s="120" t="e">
        <f aca="false">IF('conversion datos'!B61="","",'conversion datos'!B61)</f>
        <v>#VALUE!</v>
      </c>
      <c r="J71" s="121" t="str">
        <f aca="false">IF('conversion datos'!C61="","",'conversion datos'!C61)</f>
        <v/>
      </c>
      <c r="K71" s="153"/>
      <c r="L71" s="151"/>
      <c r="M71" s="151"/>
      <c r="N71" s="141"/>
      <c r="O71" s="123" t="str">
        <f aca="false">IF('conversion datos'!F61="","",'conversion datos'!F61)</f>
        <v/>
      </c>
      <c r="P71" s="124" t="str">
        <f aca="false">IF($H71="","",+O71/1000)</f>
        <v/>
      </c>
      <c r="Q71" s="124" t="str">
        <f aca="false">IF($H71="","",(IF('conversion datos'!$L$30='Patrones LACOMET'!$D$3,P71*0.0254,IF('conversion datos'!$L$30='Patrones LACOMET'!$D$4,P71,"No existe el patrón"))))</f>
        <v/>
      </c>
      <c r="R71" s="124" t="str">
        <f aca="false">IF($H71="","",(IF('conversion datos'!$L$30='Patrones LACOMET'!$D$3,E71*25.4,IF('conversion datos'!$L$30='Patrones LACOMET'!$D$4,E71,"No existe el patrón"))))</f>
        <v/>
      </c>
      <c r="S71" s="124" t="str">
        <f aca="false">+IF($H71="","",((INCERTIDUMBRE!$M$8)/1000)/25.4)</f>
        <v/>
      </c>
      <c r="T71" s="124" t="str">
        <f aca="false">IF($H71="","",(+H71+Q71+S71))</f>
        <v/>
      </c>
      <c r="U71" s="125" t="str">
        <f aca="false">IF($H71="","",(T71/25.4))</f>
        <v/>
      </c>
      <c r="V71" s="97"/>
      <c r="W71" s="142" t="e">
        <f aca="false">IF('Datos de condiciones'!D63="","",'Datos de condiciones'!D63)</f>
        <v>#VALUE!</v>
      </c>
      <c r="X71" s="143" t="str">
        <f aca="false">+IF($H71="","",(W71-20))</f>
        <v/>
      </c>
      <c r="Y71" s="144" t="e">
        <f aca="false">IF('Datos de condiciones'!E63="","",'Datos de condiciones'!E63)</f>
        <v>#VALUE!</v>
      </c>
      <c r="Z71" s="145" t="str">
        <f aca="false">+IF($H71="","",Y71-20)</f>
        <v/>
      </c>
      <c r="AA71" s="146" t="str">
        <f aca="false">+IF($H71="","",ABS(X71-Z71))</f>
        <v/>
      </c>
      <c r="AB71" s="131"/>
      <c r="AC71" s="147" t="n">
        <f aca="false">+AC70+1</f>
        <v>60</v>
      </c>
      <c r="AD71" s="148" t="str">
        <f aca="false">+IF($H71="","",W71)</f>
        <v/>
      </c>
      <c r="AE71" s="145" t="str">
        <f aca="false">+IF($H71="","",Y71)</f>
        <v/>
      </c>
      <c r="AF71" s="146" t="str">
        <f aca="false">+IF($H71="","",+(ABS(AD71-AE71)))</f>
        <v/>
      </c>
      <c r="AG71" s="149" t="e">
        <f aca="false">IF('Datos de condiciones'!F63="","",'Datos de condiciones'!F63)</f>
        <v>#VALUE!</v>
      </c>
      <c r="AH71" s="135"/>
      <c r="AI71" s="147" t="n">
        <f aca="false">+AI70+1</f>
        <v>60</v>
      </c>
      <c r="AJ71" s="140"/>
      <c r="AK71" s="123" t="e">
        <f aca="false">IF('Datos de condiciones'!G63="","",'Datos de condiciones'!G63)</f>
        <v>#VALUE!</v>
      </c>
      <c r="AL71" s="150"/>
    </row>
    <row r="72" customFormat="false" ht="15" hidden="false" customHeight="true" outlineLevel="0" collapsed="false">
      <c r="A72" s="81" t="n">
        <f aca="false">+A71+1</f>
        <v>61</v>
      </c>
      <c r="B72" s="114" t="str">
        <f aca="false">J72</f>
        <v/>
      </c>
      <c r="C72" s="115" t="str">
        <f aca="false">IF(H72="","",H72)</f>
        <v/>
      </c>
      <c r="D72" s="116" t="str">
        <f aca="false">IF(B72="","",(IF('conversion datos'!$L$30='Patrones LACOMET'!$D$3,(VLOOKUP(B72,'BLOQUES PATRON (pulg) '!$D$5:$H$87,3,TRUE())),IF('conversion datos'!$L$30='Patrones LACOMET'!$D$4,((VLOOKUP(CALIBRACION!B72,'BLOQUES PATRON (mm)'!$D$5:$H$126,3,FALSE()))/1000),"No existe el patrón"))))</f>
        <v/>
      </c>
      <c r="E72" s="117" t="str">
        <f aca="false">IF(B72="","",(B72+D72))</f>
        <v/>
      </c>
      <c r="F72" s="118" t="str">
        <f aca="false">IF(B72="","",(IF('conversion datos'!$L$30='Patrones LACOMET'!$D$3,(VLOOKUP(B72,'BLOQUES PATRON (pulg) '!$D$5:$H$86,5,FALSE())),IF('conversion datos'!$L$30='Patrones LACOMET'!$D$4,((VLOOKUP(CALIBRACION!B72,'BLOQUES PATRON (mm)'!$D$5:$H$126,4,FALSE()))/1000000),"No existe el patrón"))))</f>
        <v/>
      </c>
      <c r="G72" s="118" t="str">
        <f aca="false">IF(D72="","",(IF('conversion datos'!$L$30='Patrones LACOMET'!$D$3,(D72*25.4),IF('conversion datos'!$L$30='Patrones LACOMET'!$D$4,D72,"No existe el patrón"))))</f>
        <v/>
      </c>
      <c r="H72" s="119" t="str">
        <f aca="false">IF(J72="","",(IF('conversion datos'!$L$30='Patrones LACOMET'!$D$3,(CALIBRACION!J72*25.4),IF('conversion datos'!$L$30='Patrones LACOMET'!$D$4,(CALIBRACION!J72),"No existe el patrón"))))</f>
        <v/>
      </c>
      <c r="I72" s="120" t="e">
        <f aca="false">IF('conversion datos'!B62="","",'conversion datos'!B62)</f>
        <v>#VALUE!</v>
      </c>
      <c r="J72" s="121" t="str">
        <f aca="false">IF('conversion datos'!C62="","",'conversion datos'!C62)</f>
        <v/>
      </c>
      <c r="K72" s="153"/>
      <c r="L72" s="151"/>
      <c r="M72" s="151"/>
      <c r="N72" s="141"/>
      <c r="O72" s="123" t="str">
        <f aca="false">IF('conversion datos'!F62="","",'conversion datos'!F62)</f>
        <v/>
      </c>
      <c r="P72" s="124" t="str">
        <f aca="false">IF($H72="","",+O72/1000)</f>
        <v/>
      </c>
      <c r="Q72" s="124" t="str">
        <f aca="false">IF($H72="","",(IF('conversion datos'!$L$30='Patrones LACOMET'!$D$3,P72*0.0254,IF('conversion datos'!$L$30='Patrones LACOMET'!$D$4,P72,"No existe el patrón"))))</f>
        <v/>
      </c>
      <c r="R72" s="124" t="str">
        <f aca="false">IF($H72="","",(IF('conversion datos'!$L$30='Patrones LACOMET'!$D$3,E72*25.4,IF('conversion datos'!$L$30='Patrones LACOMET'!$D$4,E72,"No existe el patrón"))))</f>
        <v/>
      </c>
      <c r="S72" s="124" t="str">
        <f aca="false">+IF($H72="","",((INCERTIDUMBRE!$M$8)/1000)/25.4)</f>
        <v/>
      </c>
      <c r="T72" s="124" t="str">
        <f aca="false">IF($H72="","",(+H72+Q72+S72))</f>
        <v/>
      </c>
      <c r="U72" s="125" t="str">
        <f aca="false">IF($H72="","",(T72/25.4))</f>
        <v/>
      </c>
      <c r="V72" s="97"/>
      <c r="W72" s="142" t="e">
        <f aca="false">IF('Datos de condiciones'!D64="","",'Datos de condiciones'!D64)</f>
        <v>#VALUE!</v>
      </c>
      <c r="X72" s="143" t="str">
        <f aca="false">+IF($H72="","",(W72-20))</f>
        <v/>
      </c>
      <c r="Y72" s="144" t="e">
        <f aca="false">IF('Datos de condiciones'!E64="","",'Datos de condiciones'!E64)</f>
        <v>#VALUE!</v>
      </c>
      <c r="Z72" s="145" t="str">
        <f aca="false">+IF($H72="","",Y72-20)</f>
        <v/>
      </c>
      <c r="AA72" s="146" t="str">
        <f aca="false">+IF($H72="","",ABS(X72-Z72))</f>
        <v/>
      </c>
      <c r="AB72" s="131"/>
      <c r="AC72" s="147" t="n">
        <f aca="false">+AC71+1</f>
        <v>61</v>
      </c>
      <c r="AD72" s="148" t="str">
        <f aca="false">+IF($H72="","",W72)</f>
        <v/>
      </c>
      <c r="AE72" s="145" t="str">
        <f aca="false">+IF($H72="","",Y72)</f>
        <v/>
      </c>
      <c r="AF72" s="146" t="str">
        <f aca="false">+IF($H72="","",+(ABS(AD72-AE72)))</f>
        <v/>
      </c>
      <c r="AG72" s="149" t="e">
        <f aca="false">IF('Datos de condiciones'!F64="","",'Datos de condiciones'!F64)</f>
        <v>#VALUE!</v>
      </c>
      <c r="AH72" s="135"/>
      <c r="AI72" s="147" t="n">
        <f aca="false">+AI71+1</f>
        <v>61</v>
      </c>
      <c r="AJ72" s="140"/>
      <c r="AK72" s="123" t="e">
        <f aca="false">IF('Datos de condiciones'!G64="","",'Datos de condiciones'!G64)</f>
        <v>#VALUE!</v>
      </c>
      <c r="AL72" s="150"/>
    </row>
    <row r="73" customFormat="false" ht="15.75" hidden="false" customHeight="true" outlineLevel="0" collapsed="false">
      <c r="A73" s="81" t="n">
        <f aca="false">+A72+1</f>
        <v>62</v>
      </c>
      <c r="B73" s="114" t="str">
        <f aca="false">J73</f>
        <v/>
      </c>
      <c r="C73" s="115" t="str">
        <f aca="false">IF(H73="","",H73)</f>
        <v/>
      </c>
      <c r="D73" s="116" t="str">
        <f aca="false">IF(B73="","",(IF('conversion datos'!$L$30='Patrones LACOMET'!$D$3,(VLOOKUP(B73,'BLOQUES PATRON (pulg) '!$D$5:$H$87,3,TRUE())),IF('conversion datos'!$L$30='Patrones LACOMET'!$D$4,((VLOOKUP(CALIBRACION!B73,'BLOQUES PATRON (mm)'!$D$5:$H$126,3,FALSE()))/1000),"No existe el patrón"))))</f>
        <v/>
      </c>
      <c r="E73" s="117" t="str">
        <f aca="false">IF(B73="","",(B73+D73))</f>
        <v/>
      </c>
      <c r="F73" s="118" t="str">
        <f aca="false">IF(B73="","",(IF('conversion datos'!$L$30='Patrones LACOMET'!$D$3,(VLOOKUP(B73,'BLOQUES PATRON (pulg) '!$D$5:$H$86,5,FALSE())),IF('conversion datos'!$L$30='Patrones LACOMET'!$D$4,((VLOOKUP(CALIBRACION!B73,'BLOQUES PATRON (mm)'!$D$5:$H$126,4,FALSE()))/1000000),"No existe el patrón"))))</f>
        <v/>
      </c>
      <c r="G73" s="118" t="str">
        <f aca="false">IF(D73="","",(IF('conversion datos'!$L$30='Patrones LACOMET'!$D$3,(D73*25.4),IF('conversion datos'!$L$30='Patrones LACOMET'!$D$4,D73,"No existe el patrón"))))</f>
        <v/>
      </c>
      <c r="H73" s="119" t="str">
        <f aca="false">IF(J73="","",(IF('conversion datos'!$L$30='Patrones LACOMET'!$D$3,(CALIBRACION!J73*25.4),IF('conversion datos'!$L$30='Patrones LACOMET'!$D$4,(CALIBRACION!J73),"No existe el patrón"))))</f>
        <v/>
      </c>
      <c r="I73" s="120" t="e">
        <f aca="false">IF('conversion datos'!B63="","",'conversion datos'!B63)</f>
        <v>#VALUE!</v>
      </c>
      <c r="J73" s="121" t="str">
        <f aca="false">IF('conversion datos'!C63="","",'conversion datos'!C63)</f>
        <v/>
      </c>
      <c r="K73" s="153"/>
      <c r="L73" s="151"/>
      <c r="M73" s="151"/>
      <c r="N73" s="141"/>
      <c r="O73" s="123" t="str">
        <f aca="false">IF('conversion datos'!F63="","",'conversion datos'!F63)</f>
        <v/>
      </c>
      <c r="P73" s="124" t="str">
        <f aca="false">IF($H73="","",+O73/1000)</f>
        <v/>
      </c>
      <c r="Q73" s="124" t="str">
        <f aca="false">IF($H73="","",(IF('conversion datos'!$L$30='Patrones LACOMET'!$D$3,P73*0.0254,IF('conversion datos'!$L$30='Patrones LACOMET'!$D$4,P73,"No existe el patrón"))))</f>
        <v/>
      </c>
      <c r="R73" s="124" t="str">
        <f aca="false">IF($H73="","",(IF('conversion datos'!$L$30='Patrones LACOMET'!$D$3,E73*25.4,IF('conversion datos'!$L$30='Patrones LACOMET'!$D$4,E73,"No existe el patrón"))))</f>
        <v/>
      </c>
      <c r="S73" s="124" t="str">
        <f aca="false">+IF($H73="","",((INCERTIDUMBRE!$M$8)/1000)/25.4)</f>
        <v/>
      </c>
      <c r="T73" s="124" t="str">
        <f aca="false">IF($H73="","",(+H73+Q73+S73))</f>
        <v/>
      </c>
      <c r="U73" s="125" t="str">
        <f aca="false">IF($H73="","",(T73/25.4))</f>
        <v/>
      </c>
      <c r="V73" s="97"/>
      <c r="W73" s="142" t="e">
        <f aca="false">IF('Datos de condiciones'!D65="","",'Datos de condiciones'!D65)</f>
        <v>#VALUE!</v>
      </c>
      <c r="X73" s="143" t="str">
        <f aca="false">+IF($H73="","",(W73-20))</f>
        <v/>
      </c>
      <c r="Y73" s="144" t="e">
        <f aca="false">IF('Datos de condiciones'!E65="","",'Datos de condiciones'!E65)</f>
        <v>#VALUE!</v>
      </c>
      <c r="Z73" s="145" t="str">
        <f aca="false">+IF($H73="","",Y73-20)</f>
        <v/>
      </c>
      <c r="AA73" s="146" t="str">
        <f aca="false">+IF($H73="","",ABS(X73-Z73))</f>
        <v/>
      </c>
      <c r="AB73" s="131"/>
      <c r="AC73" s="147" t="n">
        <f aca="false">+AC72+1</f>
        <v>62</v>
      </c>
      <c r="AD73" s="148" t="str">
        <f aca="false">+IF($H73="","",W73)</f>
        <v/>
      </c>
      <c r="AE73" s="145" t="str">
        <f aca="false">+IF($H73="","",Y73)</f>
        <v/>
      </c>
      <c r="AF73" s="146" t="str">
        <f aca="false">+IF($H73="","",+(ABS(AD73-AE73)))</f>
        <v/>
      </c>
      <c r="AG73" s="149" t="e">
        <f aca="false">IF('Datos de condiciones'!F65="","",'Datos de condiciones'!F65)</f>
        <v>#VALUE!</v>
      </c>
      <c r="AH73" s="135"/>
      <c r="AI73" s="147" t="n">
        <f aca="false">+AI72+1</f>
        <v>62</v>
      </c>
      <c r="AJ73" s="140"/>
      <c r="AK73" s="123" t="e">
        <f aca="false">IF('Datos de condiciones'!G65="","",'Datos de condiciones'!G65)</f>
        <v>#VALUE!</v>
      </c>
      <c r="AL73" s="150"/>
    </row>
    <row r="74" customFormat="false" ht="16.5" hidden="false" customHeight="false" outlineLevel="0" collapsed="false">
      <c r="A74" s="81" t="n">
        <f aca="false">+A73+1</f>
        <v>63</v>
      </c>
      <c r="B74" s="114" t="str">
        <f aca="false">J74</f>
        <v/>
      </c>
      <c r="C74" s="115" t="str">
        <f aca="false">IF(H74="","",H74)</f>
        <v/>
      </c>
      <c r="D74" s="116" t="str">
        <f aca="false">IF(B74="","",(IF('conversion datos'!$L$30='Patrones LACOMET'!$D$3,(VLOOKUP(B74,'BLOQUES PATRON (pulg) '!$D$5:$H$87,3,TRUE())),IF('conversion datos'!$L$30='Patrones LACOMET'!$D$4,((VLOOKUP(CALIBRACION!B74,'BLOQUES PATRON (mm)'!$D$5:$H$126,3,FALSE()))/1000),"No existe el patrón"))))</f>
        <v/>
      </c>
      <c r="E74" s="117" t="str">
        <f aca="false">IF(B74="","",(B74+D74))</f>
        <v/>
      </c>
      <c r="F74" s="118" t="str">
        <f aca="false">IF(B74="","",(IF('conversion datos'!$L$30='Patrones LACOMET'!$D$3,(VLOOKUP(B74,'BLOQUES PATRON (pulg) '!$D$5:$H$86,5,FALSE())),IF('conversion datos'!$L$30='Patrones LACOMET'!$D$4,((VLOOKUP(CALIBRACION!B74,'BLOQUES PATRON (mm)'!$D$5:$H$126,4,FALSE()))/1000000),"No existe el patrón"))))</f>
        <v/>
      </c>
      <c r="G74" s="118" t="str">
        <f aca="false">IF(D74="","",(IF('conversion datos'!$L$30='Patrones LACOMET'!$D$3,(D74*25.4),IF('conversion datos'!$L$30='Patrones LACOMET'!$D$4,D74,"No existe el patrón"))))</f>
        <v/>
      </c>
      <c r="H74" s="119" t="str">
        <f aca="false">IF(J74="","",(IF('conversion datos'!$L$30='Patrones LACOMET'!$D$3,(CALIBRACION!J74*25.4),IF('conversion datos'!$L$30='Patrones LACOMET'!$D$4,(CALIBRACION!J74),"No existe el patrón"))))</f>
        <v/>
      </c>
      <c r="I74" s="120" t="e">
        <f aca="false">IF('conversion datos'!B64="","",'conversion datos'!B64)</f>
        <v>#VALUE!</v>
      </c>
      <c r="J74" s="121" t="str">
        <f aca="false">IF('conversion datos'!C64="","",'conversion datos'!C64)</f>
        <v/>
      </c>
      <c r="K74" s="153"/>
      <c r="L74" s="151"/>
      <c r="M74" s="151"/>
      <c r="N74" s="141"/>
      <c r="O74" s="123" t="str">
        <f aca="false">IF('conversion datos'!F64="","",'conversion datos'!F64)</f>
        <v/>
      </c>
      <c r="P74" s="124" t="str">
        <f aca="false">IF($H74="","",+O74/1000)</f>
        <v/>
      </c>
      <c r="Q74" s="124" t="str">
        <f aca="false">IF($H74="","",(IF('conversion datos'!$L$30='Patrones LACOMET'!$D$3,P74*0.0254,IF('conversion datos'!$L$30='Patrones LACOMET'!$D$4,P74,"No existe el patrón"))))</f>
        <v/>
      </c>
      <c r="R74" s="124" t="str">
        <f aca="false">IF($H74="","",(IF('conversion datos'!$L$30='Patrones LACOMET'!$D$3,E74*25.4,IF('conversion datos'!$L$30='Patrones LACOMET'!$D$4,E74,"No existe el patrón"))))</f>
        <v/>
      </c>
      <c r="S74" s="124" t="str">
        <f aca="false">+IF($H74="","",((INCERTIDUMBRE!$M$8)/1000)/25.4)</f>
        <v/>
      </c>
      <c r="T74" s="124" t="str">
        <f aca="false">IF($H74="","",(+H74+Q74+S74))</f>
        <v/>
      </c>
      <c r="U74" s="125" t="str">
        <f aca="false">IF($H74="","",(T74/25.4))</f>
        <v/>
      </c>
      <c r="V74" s="97"/>
      <c r="W74" s="142" t="e">
        <f aca="false">IF('Datos de condiciones'!D66="","",'Datos de condiciones'!D66)</f>
        <v>#VALUE!</v>
      </c>
      <c r="X74" s="143" t="str">
        <f aca="false">+IF($H74="","",(W74-20))</f>
        <v/>
      </c>
      <c r="Y74" s="144" t="e">
        <f aca="false">IF('Datos de condiciones'!E66="","",'Datos de condiciones'!E66)</f>
        <v>#VALUE!</v>
      </c>
      <c r="Z74" s="145" t="str">
        <f aca="false">+IF($H74="","",Y74-20)</f>
        <v/>
      </c>
      <c r="AA74" s="146" t="str">
        <f aca="false">+IF($H74="","",ABS(X74-Z74))</f>
        <v/>
      </c>
      <c r="AB74" s="131"/>
      <c r="AC74" s="147" t="n">
        <f aca="false">+AC73+1</f>
        <v>63</v>
      </c>
      <c r="AD74" s="148" t="str">
        <f aca="false">+IF($H74="","",W74)</f>
        <v/>
      </c>
      <c r="AE74" s="145" t="str">
        <f aca="false">+IF($H74="","",Y74)</f>
        <v/>
      </c>
      <c r="AF74" s="146" t="str">
        <f aca="false">+IF($H74="","",+(ABS(AD74-AE74)))</f>
        <v/>
      </c>
      <c r="AG74" s="149" t="e">
        <f aca="false">IF('Datos de condiciones'!F66="","",'Datos de condiciones'!F66)</f>
        <v>#VALUE!</v>
      </c>
      <c r="AH74" s="135"/>
      <c r="AI74" s="147" t="n">
        <f aca="false">+AI73+1</f>
        <v>63</v>
      </c>
      <c r="AJ74" s="140"/>
      <c r="AK74" s="123" t="e">
        <f aca="false">IF('Datos de condiciones'!G66="","",'Datos de condiciones'!G66)</f>
        <v>#VALUE!</v>
      </c>
      <c r="AL74" s="150"/>
    </row>
    <row r="75" customFormat="false" ht="15" hidden="false" customHeight="true" outlineLevel="0" collapsed="false">
      <c r="A75" s="81" t="n">
        <f aca="false">+A74+1</f>
        <v>64</v>
      </c>
      <c r="B75" s="114" t="str">
        <f aca="false">J75</f>
        <v/>
      </c>
      <c r="C75" s="115" t="str">
        <f aca="false">IF(H75="","",H75)</f>
        <v/>
      </c>
      <c r="D75" s="116" t="str">
        <f aca="false">IF(B75="","",(IF('conversion datos'!$L$30='Patrones LACOMET'!$D$3,(VLOOKUP(B75,'BLOQUES PATRON (pulg) '!$D$5:$H$87,3,TRUE())),IF('conversion datos'!$L$30='Patrones LACOMET'!$D$4,((VLOOKUP(CALIBRACION!B75,'BLOQUES PATRON (mm)'!$D$5:$H$126,3,FALSE()))/1000),"No existe el patrón"))))</f>
        <v/>
      </c>
      <c r="E75" s="117" t="str">
        <f aca="false">IF(B75="","",(B75+D75))</f>
        <v/>
      </c>
      <c r="F75" s="118" t="str">
        <f aca="false">IF(B75="","",(IF('conversion datos'!$L$30='Patrones LACOMET'!$D$3,(VLOOKUP(B75,'BLOQUES PATRON (pulg) '!$D$5:$H$86,5,FALSE())),IF('conversion datos'!$L$30='Patrones LACOMET'!$D$4,((VLOOKUP(CALIBRACION!B75,'BLOQUES PATRON (mm)'!$D$5:$H$126,4,FALSE()))/1000000),"No existe el patrón"))))</f>
        <v/>
      </c>
      <c r="G75" s="118" t="str">
        <f aca="false">IF(D75="","",(IF('conversion datos'!$L$30='Patrones LACOMET'!$D$3,(D75*25.4),IF('conversion datos'!$L$30='Patrones LACOMET'!$D$4,D75,"No existe el patrón"))))</f>
        <v/>
      </c>
      <c r="H75" s="119" t="str">
        <f aca="false">IF(J75="","",(IF('conversion datos'!$L$30='Patrones LACOMET'!$D$3,(CALIBRACION!J75*25.4),IF('conversion datos'!$L$30='Patrones LACOMET'!$D$4,(CALIBRACION!J75),"No existe el patrón"))))</f>
        <v/>
      </c>
      <c r="I75" s="120" t="e">
        <f aca="false">IF('conversion datos'!B65="","",'conversion datos'!B65)</f>
        <v>#VALUE!</v>
      </c>
      <c r="J75" s="121" t="str">
        <f aca="false">IF('conversion datos'!C65="","",'conversion datos'!C65)</f>
        <v/>
      </c>
      <c r="K75" s="153"/>
      <c r="L75" s="151"/>
      <c r="M75" s="151"/>
      <c r="N75" s="141"/>
      <c r="O75" s="123" t="str">
        <f aca="false">IF('conversion datos'!F65="","",'conversion datos'!F65)</f>
        <v/>
      </c>
      <c r="P75" s="124" t="str">
        <f aca="false">IF($H75="","",+O75/1000)</f>
        <v/>
      </c>
      <c r="Q75" s="124" t="str">
        <f aca="false">IF($H75="","",(IF('conversion datos'!$L$30='Patrones LACOMET'!$D$3,P75*0.0254,IF('conversion datos'!$L$30='Patrones LACOMET'!$D$4,P75,"No existe el patrón"))))</f>
        <v/>
      </c>
      <c r="R75" s="124" t="str">
        <f aca="false">IF($H75="","",(IF('conversion datos'!$L$30='Patrones LACOMET'!$D$3,E75*25.4,IF('conversion datos'!$L$30='Patrones LACOMET'!$D$4,E75,"No existe el patrón"))))</f>
        <v/>
      </c>
      <c r="S75" s="124" t="str">
        <f aca="false">+IF($H75="","",((INCERTIDUMBRE!$M$8)/1000)/25.4)</f>
        <v/>
      </c>
      <c r="T75" s="124" t="str">
        <f aca="false">IF($H75="","",(+H75+Q75+S75))</f>
        <v/>
      </c>
      <c r="U75" s="125" t="str">
        <f aca="false">IF($H75="","",(T75/25.4))</f>
        <v/>
      </c>
      <c r="V75" s="97"/>
      <c r="W75" s="142" t="e">
        <f aca="false">IF('Datos de condiciones'!D67="","",'Datos de condiciones'!D67)</f>
        <v>#VALUE!</v>
      </c>
      <c r="X75" s="143" t="str">
        <f aca="false">+IF($H75="","",(W75-20))</f>
        <v/>
      </c>
      <c r="Y75" s="144" t="e">
        <f aca="false">IF('Datos de condiciones'!E67="","",'Datos de condiciones'!E67)</f>
        <v>#VALUE!</v>
      </c>
      <c r="Z75" s="145" t="str">
        <f aca="false">+IF($H75="","",Y75-20)</f>
        <v/>
      </c>
      <c r="AA75" s="146" t="str">
        <f aca="false">+IF($H75="","",ABS(X75-Z75))</f>
        <v/>
      </c>
      <c r="AB75" s="131"/>
      <c r="AC75" s="147" t="n">
        <f aca="false">+AC74+1</f>
        <v>64</v>
      </c>
      <c r="AD75" s="148" t="str">
        <f aca="false">+IF($H75="","",W75)</f>
        <v/>
      </c>
      <c r="AE75" s="145" t="str">
        <f aca="false">+IF($H75="","",Y75)</f>
        <v/>
      </c>
      <c r="AF75" s="146" t="str">
        <f aca="false">+IF($H75="","",+(ABS(AD75-AE75)))</f>
        <v/>
      </c>
      <c r="AG75" s="149" t="e">
        <f aca="false">IF('Datos de condiciones'!F67="","",'Datos de condiciones'!F67)</f>
        <v>#VALUE!</v>
      </c>
      <c r="AH75" s="135"/>
      <c r="AI75" s="147" t="n">
        <f aca="false">+AI74+1</f>
        <v>64</v>
      </c>
      <c r="AJ75" s="140"/>
      <c r="AK75" s="123" t="e">
        <f aca="false">IF('Datos de condiciones'!G67="","",'Datos de condiciones'!G67)</f>
        <v>#VALUE!</v>
      </c>
      <c r="AL75" s="150"/>
    </row>
    <row r="76" customFormat="false" ht="15" hidden="false" customHeight="true" outlineLevel="0" collapsed="false">
      <c r="A76" s="81" t="n">
        <f aca="false">+A75+1</f>
        <v>65</v>
      </c>
      <c r="B76" s="114" t="str">
        <f aca="false">J76</f>
        <v/>
      </c>
      <c r="C76" s="115" t="str">
        <f aca="false">IF(H76="","",H76)</f>
        <v/>
      </c>
      <c r="D76" s="116" t="str">
        <f aca="false">IF(B76="","",(IF('conversion datos'!$L$30='Patrones LACOMET'!$D$3,(VLOOKUP(B76,'BLOQUES PATRON (pulg) '!$D$5:$H$87,3,TRUE())),IF('conversion datos'!$L$30='Patrones LACOMET'!$D$4,((VLOOKUP(CALIBRACION!B76,'BLOQUES PATRON (mm)'!$D$5:$H$126,3,FALSE()))/1000),"No existe el patrón"))))</f>
        <v/>
      </c>
      <c r="E76" s="117" t="str">
        <f aca="false">IF(B76="","",(B76+D76))</f>
        <v/>
      </c>
      <c r="F76" s="118" t="str">
        <f aca="false">IF(B76="","",(IF('conversion datos'!$L$30='Patrones LACOMET'!$D$3,(VLOOKUP(B76,'BLOQUES PATRON (pulg) '!$D$5:$H$86,5,FALSE())),IF('conversion datos'!$L$30='Patrones LACOMET'!$D$4,((VLOOKUP(CALIBRACION!B76,'BLOQUES PATRON (mm)'!$D$5:$H$126,4,FALSE()))/1000000),"No existe el patrón"))))</f>
        <v/>
      </c>
      <c r="G76" s="118" t="str">
        <f aca="false">IF(D76="","",(IF('conversion datos'!$L$30='Patrones LACOMET'!$D$3,(D76*25.4),IF('conversion datos'!$L$30='Patrones LACOMET'!$D$4,D76,"No existe el patrón"))))</f>
        <v/>
      </c>
      <c r="H76" s="119" t="str">
        <f aca="false">IF(J76="","",(IF('conversion datos'!$L$30='Patrones LACOMET'!$D$3,(CALIBRACION!J76*25.4),IF('conversion datos'!$L$30='Patrones LACOMET'!$D$4,(CALIBRACION!J76),"No existe el patrón"))))</f>
        <v/>
      </c>
      <c r="I76" s="120" t="e">
        <f aca="false">IF('conversion datos'!B66="","",'conversion datos'!B66)</f>
        <v>#VALUE!</v>
      </c>
      <c r="J76" s="121" t="str">
        <f aca="false">IF('conversion datos'!C66="","",'conversion datos'!C66)</f>
        <v/>
      </c>
      <c r="K76" s="153"/>
      <c r="L76" s="151"/>
      <c r="M76" s="151"/>
      <c r="N76" s="141"/>
      <c r="O76" s="123" t="str">
        <f aca="false">IF('conversion datos'!F66="","",'conversion datos'!F66)</f>
        <v/>
      </c>
      <c r="P76" s="124" t="str">
        <f aca="false">IF($H76="","",+O76/1000)</f>
        <v/>
      </c>
      <c r="Q76" s="124" t="str">
        <f aca="false">IF($H76="","",(IF('conversion datos'!$L$30='Patrones LACOMET'!$D$3,P76*0.0254,IF('conversion datos'!$L$30='Patrones LACOMET'!$D$4,P76,"No existe el patrón"))))</f>
        <v/>
      </c>
      <c r="R76" s="124" t="str">
        <f aca="false">IF($H76="","",(IF('conversion datos'!$L$30='Patrones LACOMET'!$D$3,E76*25.4,IF('conversion datos'!$L$30='Patrones LACOMET'!$D$4,E76,"No existe el patrón"))))</f>
        <v/>
      </c>
      <c r="S76" s="124" t="str">
        <f aca="false">+IF($H76="","",((INCERTIDUMBRE!$M$8)/1000)/25.4)</f>
        <v/>
      </c>
      <c r="T76" s="124" t="str">
        <f aca="false">IF($H76="","",(+H76+Q76+S76))</f>
        <v/>
      </c>
      <c r="U76" s="125" t="str">
        <f aca="false">IF($H76="","",(T76/25.4))</f>
        <v/>
      </c>
      <c r="V76" s="97"/>
      <c r="W76" s="142" t="e">
        <f aca="false">IF('Datos de condiciones'!D68="","",'Datos de condiciones'!D68)</f>
        <v>#VALUE!</v>
      </c>
      <c r="X76" s="143" t="str">
        <f aca="false">+IF($H76="","",(W76-20))</f>
        <v/>
      </c>
      <c r="Y76" s="144" t="e">
        <f aca="false">IF('Datos de condiciones'!E68="","",'Datos de condiciones'!E68)</f>
        <v>#VALUE!</v>
      </c>
      <c r="Z76" s="145" t="str">
        <f aca="false">+IF($H76="","",Y76-20)</f>
        <v/>
      </c>
      <c r="AA76" s="146" t="str">
        <f aca="false">+IF($H76="","",ABS(X76-Z76))</f>
        <v/>
      </c>
      <c r="AB76" s="131"/>
      <c r="AC76" s="147" t="n">
        <f aca="false">+AC75+1</f>
        <v>65</v>
      </c>
      <c r="AD76" s="148" t="str">
        <f aca="false">+IF($H76="","",W76)</f>
        <v/>
      </c>
      <c r="AE76" s="145" t="str">
        <f aca="false">+IF($H76="","",Y76)</f>
        <v/>
      </c>
      <c r="AF76" s="146" t="str">
        <f aca="false">+IF($H76="","",+(ABS(AD76-AE76)))</f>
        <v/>
      </c>
      <c r="AG76" s="149" t="e">
        <f aca="false">IF('Datos de condiciones'!F68="","",'Datos de condiciones'!F68)</f>
        <v>#VALUE!</v>
      </c>
      <c r="AH76" s="135"/>
      <c r="AI76" s="147" t="n">
        <f aca="false">+AI75+1</f>
        <v>65</v>
      </c>
      <c r="AJ76" s="140"/>
      <c r="AK76" s="123" t="e">
        <f aca="false">IF('Datos de condiciones'!G68="","",'Datos de condiciones'!G68)</f>
        <v>#VALUE!</v>
      </c>
      <c r="AL76" s="150"/>
    </row>
    <row r="77" customFormat="false" ht="16.5" hidden="false" customHeight="false" outlineLevel="0" collapsed="false">
      <c r="A77" s="81" t="n">
        <f aca="false">+A76+1</f>
        <v>66</v>
      </c>
      <c r="B77" s="114" t="str">
        <f aca="false">J77</f>
        <v/>
      </c>
      <c r="C77" s="115" t="str">
        <f aca="false">IF(H77="","",H77)</f>
        <v/>
      </c>
      <c r="D77" s="116" t="str">
        <f aca="false">IF(B77="","",(IF('conversion datos'!$L$30='Patrones LACOMET'!$D$3,(VLOOKUP(B77,'BLOQUES PATRON (pulg) '!$D$5:$H$87,3,TRUE())),IF('conversion datos'!$L$30='Patrones LACOMET'!$D$4,((VLOOKUP(CALIBRACION!B77,'BLOQUES PATRON (mm)'!$D$5:$H$126,3,FALSE()))/1000),"No existe el patrón"))))</f>
        <v/>
      </c>
      <c r="E77" s="117" t="str">
        <f aca="false">IF(B77="","",(B77+D77))</f>
        <v/>
      </c>
      <c r="F77" s="118" t="str">
        <f aca="false">IF(B77="","",(IF('conversion datos'!$L$30='Patrones LACOMET'!$D$3,(VLOOKUP(B77,'BLOQUES PATRON (pulg) '!$D$5:$H$86,5,FALSE())),IF('conversion datos'!$L$30='Patrones LACOMET'!$D$4,((VLOOKUP(CALIBRACION!B77,'BLOQUES PATRON (mm)'!$D$5:$H$126,4,FALSE()))/1000000),"No existe el patrón"))))</f>
        <v/>
      </c>
      <c r="G77" s="118" t="str">
        <f aca="false">IF(D77="","",(IF('conversion datos'!$L$30='Patrones LACOMET'!$D$3,(D77*25.4),IF('conversion datos'!$L$30='Patrones LACOMET'!$D$4,D77,"No existe el patrón"))))</f>
        <v/>
      </c>
      <c r="H77" s="119" t="str">
        <f aca="false">IF(J77="","",(IF('conversion datos'!$L$30='Patrones LACOMET'!$D$3,(CALIBRACION!J77*25.4),IF('conversion datos'!$L$30='Patrones LACOMET'!$D$4,(CALIBRACION!J77),"No existe el patrón"))))</f>
        <v/>
      </c>
      <c r="I77" s="120" t="e">
        <f aca="false">IF('conversion datos'!B67="","",'conversion datos'!B67)</f>
        <v>#VALUE!</v>
      </c>
      <c r="J77" s="121" t="str">
        <f aca="false">IF('conversion datos'!C67="","",'conversion datos'!C67)</f>
        <v/>
      </c>
      <c r="K77" s="153"/>
      <c r="L77" s="151"/>
      <c r="M77" s="151"/>
      <c r="N77" s="141"/>
      <c r="O77" s="123" t="str">
        <f aca="false">IF('conversion datos'!F67="","",'conversion datos'!F67)</f>
        <v/>
      </c>
      <c r="P77" s="124" t="str">
        <f aca="false">IF($H77="","",+O77/1000)</f>
        <v/>
      </c>
      <c r="Q77" s="124" t="str">
        <f aca="false">IF($H77="","",(IF('conversion datos'!$L$30='Patrones LACOMET'!$D$3,P77*0.0254,IF('conversion datos'!$L$30='Patrones LACOMET'!$D$4,P77,"No existe el patrón"))))</f>
        <v/>
      </c>
      <c r="R77" s="124" t="str">
        <f aca="false">IF($H77="","",(IF('conversion datos'!$L$30='Patrones LACOMET'!$D$3,E77*25.4,IF('conversion datos'!$L$30='Patrones LACOMET'!$D$4,E77,"No existe el patrón"))))</f>
        <v/>
      </c>
      <c r="S77" s="124" t="str">
        <f aca="false">+IF($H77="","",((INCERTIDUMBRE!$M$8)/1000)/25.4)</f>
        <v/>
      </c>
      <c r="T77" s="124" t="str">
        <f aca="false">IF($H77="","",(+H77+Q77+S77))</f>
        <v/>
      </c>
      <c r="U77" s="125" t="str">
        <f aca="false">IF($H77="","",(T77/25.4))</f>
        <v/>
      </c>
      <c r="V77" s="97"/>
      <c r="W77" s="142" t="e">
        <f aca="false">IF('Datos de condiciones'!D69="","",'Datos de condiciones'!D69)</f>
        <v>#VALUE!</v>
      </c>
      <c r="X77" s="143" t="str">
        <f aca="false">+IF($H77="","",(W77-20))</f>
        <v/>
      </c>
      <c r="Y77" s="144" t="e">
        <f aca="false">IF('Datos de condiciones'!E69="","",'Datos de condiciones'!E69)</f>
        <v>#VALUE!</v>
      </c>
      <c r="Z77" s="145" t="str">
        <f aca="false">+IF($H77="","",Y77-20)</f>
        <v/>
      </c>
      <c r="AA77" s="146" t="str">
        <f aca="false">+IF($H77="","",ABS(X77-Z77))</f>
        <v/>
      </c>
      <c r="AB77" s="131"/>
      <c r="AC77" s="147" t="n">
        <f aca="false">+AC76+1</f>
        <v>66</v>
      </c>
      <c r="AD77" s="148" t="str">
        <f aca="false">+IF($H77="","",W77)</f>
        <v/>
      </c>
      <c r="AE77" s="145" t="str">
        <f aca="false">+IF($H77="","",Y77)</f>
        <v/>
      </c>
      <c r="AF77" s="146" t="str">
        <f aca="false">+IF($H77="","",+(ABS(AD77-AE77)))</f>
        <v/>
      </c>
      <c r="AG77" s="149" t="e">
        <f aca="false">IF('Datos de condiciones'!F69="","",'Datos de condiciones'!F69)</f>
        <v>#VALUE!</v>
      </c>
      <c r="AH77" s="135"/>
      <c r="AI77" s="147" t="n">
        <f aca="false">+AI76+1</f>
        <v>66</v>
      </c>
      <c r="AJ77" s="140"/>
      <c r="AK77" s="123" t="e">
        <f aca="false">IF('Datos de condiciones'!G69="","",'Datos de condiciones'!G69)</f>
        <v>#VALUE!</v>
      </c>
      <c r="AL77" s="150"/>
    </row>
    <row r="78" customFormat="false" ht="16.5" hidden="false" customHeight="false" outlineLevel="0" collapsed="false">
      <c r="A78" s="81" t="n">
        <f aca="false">+A77+1</f>
        <v>67</v>
      </c>
      <c r="B78" s="114" t="str">
        <f aca="false">J78</f>
        <v/>
      </c>
      <c r="C78" s="115" t="str">
        <f aca="false">IF(H78="","",H78)</f>
        <v/>
      </c>
      <c r="D78" s="116" t="str">
        <f aca="false">IF(B78="","",(IF('conversion datos'!$L$30='Patrones LACOMET'!$D$3,(VLOOKUP(B78,'BLOQUES PATRON (pulg) '!$D$5:$H$87,3,TRUE())),IF('conversion datos'!$L$30='Patrones LACOMET'!$D$4,((VLOOKUP(CALIBRACION!B78,'BLOQUES PATRON (mm)'!$D$5:$H$126,3,FALSE()))/1000),"No existe el patrón"))))</f>
        <v/>
      </c>
      <c r="E78" s="117" t="str">
        <f aca="false">IF(B78="","",(B78+D78))</f>
        <v/>
      </c>
      <c r="F78" s="118" t="str">
        <f aca="false">IF(B78="","",(IF('conversion datos'!$L$30='Patrones LACOMET'!$D$3,(VLOOKUP(B78,'BLOQUES PATRON (pulg) '!$D$5:$H$86,5,FALSE())),IF('conversion datos'!$L$30='Patrones LACOMET'!$D$4,((VLOOKUP(CALIBRACION!B78,'BLOQUES PATRON (mm)'!$D$5:$H$126,4,FALSE()))/1000000),"No existe el patrón"))))</f>
        <v/>
      </c>
      <c r="G78" s="118" t="str">
        <f aca="false">IF(D78="","",(IF('conversion datos'!$L$30='Patrones LACOMET'!$D$3,(D78*25.4),IF('conversion datos'!$L$30='Patrones LACOMET'!$D$4,D78,"No existe el patrón"))))</f>
        <v/>
      </c>
      <c r="H78" s="119" t="str">
        <f aca="false">IF(J78="","",(IF('conversion datos'!$L$30='Patrones LACOMET'!$D$3,(CALIBRACION!J78*25.4),IF('conversion datos'!$L$30='Patrones LACOMET'!$D$4,(CALIBRACION!J78),"No existe el patrón"))))</f>
        <v/>
      </c>
      <c r="I78" s="120" t="e">
        <f aca="false">IF('conversion datos'!B68="","",'conversion datos'!B68)</f>
        <v>#VALUE!</v>
      </c>
      <c r="J78" s="121" t="str">
        <f aca="false">IF('conversion datos'!C68="","",'conversion datos'!C68)</f>
        <v/>
      </c>
      <c r="K78" s="153"/>
      <c r="L78" s="151"/>
      <c r="M78" s="151"/>
      <c r="N78" s="141"/>
      <c r="O78" s="123" t="str">
        <f aca="false">IF('conversion datos'!F68="","",'conversion datos'!F68)</f>
        <v/>
      </c>
      <c r="P78" s="124" t="str">
        <f aca="false">IF($H78="","",+O78/1000)</f>
        <v/>
      </c>
      <c r="Q78" s="124" t="str">
        <f aca="false">IF($H78="","",(IF('conversion datos'!$L$30='Patrones LACOMET'!$D$3,P78*0.0254,IF('conversion datos'!$L$30='Patrones LACOMET'!$D$4,P78,"No existe el patrón"))))</f>
        <v/>
      </c>
      <c r="R78" s="124" t="str">
        <f aca="false">IF($H78="","",(IF('conversion datos'!$L$30='Patrones LACOMET'!$D$3,E78*25.4,IF('conversion datos'!$L$30='Patrones LACOMET'!$D$4,E78,"No existe el patrón"))))</f>
        <v/>
      </c>
      <c r="S78" s="124" t="str">
        <f aca="false">+IF($H78="","",((INCERTIDUMBRE!$M$8)/1000)/25.4)</f>
        <v/>
      </c>
      <c r="T78" s="124" t="str">
        <f aca="false">IF($H78="","",(+H78+Q78+S78))</f>
        <v/>
      </c>
      <c r="U78" s="125" t="str">
        <f aca="false">IF($H78="","",(T78/25.4))</f>
        <v/>
      </c>
      <c r="V78" s="97"/>
      <c r="W78" s="142" t="e">
        <f aca="false">IF('Datos de condiciones'!D70="","",'Datos de condiciones'!D70)</f>
        <v>#VALUE!</v>
      </c>
      <c r="X78" s="143" t="str">
        <f aca="false">+IF($H78="","",(W78-20))</f>
        <v/>
      </c>
      <c r="Y78" s="144" t="e">
        <f aca="false">IF('Datos de condiciones'!E70="","",'Datos de condiciones'!E70)</f>
        <v>#VALUE!</v>
      </c>
      <c r="Z78" s="145" t="str">
        <f aca="false">+IF($H78="","",Y78-20)</f>
        <v/>
      </c>
      <c r="AA78" s="146" t="str">
        <f aca="false">+IF($H78="","",ABS(X78-Z78))</f>
        <v/>
      </c>
      <c r="AB78" s="131"/>
      <c r="AC78" s="147" t="n">
        <f aca="false">+AC77+1</f>
        <v>67</v>
      </c>
      <c r="AD78" s="148" t="str">
        <f aca="false">+IF($H78="","",W78)</f>
        <v/>
      </c>
      <c r="AE78" s="145" t="str">
        <f aca="false">+IF($H78="","",Y78)</f>
        <v/>
      </c>
      <c r="AF78" s="146" t="str">
        <f aca="false">+IF($H78="","",+(ABS(AD78-AE78)))</f>
        <v/>
      </c>
      <c r="AG78" s="149" t="e">
        <f aca="false">IF('Datos de condiciones'!F70="","",'Datos de condiciones'!F70)</f>
        <v>#VALUE!</v>
      </c>
      <c r="AH78" s="135"/>
      <c r="AI78" s="147" t="n">
        <f aca="false">+AI77+1</f>
        <v>67</v>
      </c>
      <c r="AJ78" s="140"/>
      <c r="AK78" s="123" t="e">
        <f aca="false">IF('Datos de condiciones'!G70="","",'Datos de condiciones'!G70)</f>
        <v>#VALUE!</v>
      </c>
      <c r="AL78" s="150"/>
    </row>
    <row r="79" customFormat="false" ht="16.5" hidden="false" customHeight="false" outlineLevel="0" collapsed="false">
      <c r="A79" s="81" t="n">
        <f aca="false">+A78+1</f>
        <v>68</v>
      </c>
      <c r="B79" s="114" t="str">
        <f aca="false">J79</f>
        <v/>
      </c>
      <c r="C79" s="115" t="str">
        <f aca="false">IF(H79="","",H79)</f>
        <v/>
      </c>
      <c r="D79" s="116" t="str">
        <f aca="false">IF(B79="","",(IF('conversion datos'!$L$30='Patrones LACOMET'!$D$3,(VLOOKUP(B79,'BLOQUES PATRON (pulg) '!$D$5:$H$87,3,TRUE())),IF('conversion datos'!$L$30='Patrones LACOMET'!$D$4,((VLOOKUP(CALIBRACION!B79,'BLOQUES PATRON (mm)'!$D$5:$H$126,3,FALSE()))/1000),"No existe el patrón"))))</f>
        <v/>
      </c>
      <c r="E79" s="117" t="str">
        <f aca="false">IF(B79="","",(B79+D79))</f>
        <v/>
      </c>
      <c r="F79" s="118" t="str">
        <f aca="false">IF(B79="","",(IF('conversion datos'!$L$30='Patrones LACOMET'!$D$3,(VLOOKUP(B79,'BLOQUES PATRON (pulg) '!$D$5:$H$86,5,FALSE())),IF('conversion datos'!$L$30='Patrones LACOMET'!$D$4,((VLOOKUP(CALIBRACION!B79,'BLOQUES PATRON (mm)'!$D$5:$H$126,4,FALSE()))/1000000),"No existe el patrón"))))</f>
        <v/>
      </c>
      <c r="G79" s="118" t="str">
        <f aca="false">IF(D79="","",(IF('conversion datos'!$L$30='Patrones LACOMET'!$D$3,(D79*25.4),IF('conversion datos'!$L$30='Patrones LACOMET'!$D$4,D79,"No existe el patrón"))))</f>
        <v/>
      </c>
      <c r="H79" s="119" t="str">
        <f aca="false">IF(J79="","",(IF('conversion datos'!$L$30='Patrones LACOMET'!$D$3,(CALIBRACION!J79*25.4),IF('conversion datos'!$L$30='Patrones LACOMET'!$D$4,(CALIBRACION!J79),"No existe el patrón"))))</f>
        <v/>
      </c>
      <c r="I79" s="120" t="e">
        <f aca="false">IF('conversion datos'!B69="","",'conversion datos'!B69)</f>
        <v>#VALUE!</v>
      </c>
      <c r="J79" s="121" t="str">
        <f aca="false">IF('conversion datos'!C69="","",'conversion datos'!C69)</f>
        <v/>
      </c>
      <c r="K79" s="153"/>
      <c r="L79" s="151"/>
      <c r="M79" s="151"/>
      <c r="N79" s="141"/>
      <c r="O79" s="123" t="str">
        <f aca="false">IF('conversion datos'!F69="","",'conversion datos'!F69)</f>
        <v/>
      </c>
      <c r="P79" s="124" t="str">
        <f aca="false">IF($H79="","",+O79/1000)</f>
        <v/>
      </c>
      <c r="Q79" s="124" t="str">
        <f aca="false">IF($H79="","",(IF('conversion datos'!$L$30='Patrones LACOMET'!$D$3,P79*0.0254,IF('conversion datos'!$L$30='Patrones LACOMET'!$D$4,P79,"No existe el patrón"))))</f>
        <v/>
      </c>
      <c r="R79" s="124" t="str">
        <f aca="false">IF($H79="","",(IF('conversion datos'!$L$30='Patrones LACOMET'!$D$3,E79*25.4,IF('conversion datos'!$L$30='Patrones LACOMET'!$D$4,E79,"No existe el patrón"))))</f>
        <v/>
      </c>
      <c r="S79" s="124" t="str">
        <f aca="false">+IF($H79="","",((INCERTIDUMBRE!$M$8)/1000)/25.4)</f>
        <v/>
      </c>
      <c r="T79" s="124" t="str">
        <f aca="false">IF($H79="","",(+H79+Q79+S79))</f>
        <v/>
      </c>
      <c r="U79" s="125" t="str">
        <f aca="false">IF($H79="","",(T79/25.4))</f>
        <v/>
      </c>
      <c r="V79" s="97"/>
      <c r="W79" s="142" t="e">
        <f aca="false">IF('Datos de condiciones'!D71="","",'Datos de condiciones'!D71)</f>
        <v>#VALUE!</v>
      </c>
      <c r="X79" s="143" t="str">
        <f aca="false">+IF($H79="","",(W79-20))</f>
        <v/>
      </c>
      <c r="Y79" s="144" t="e">
        <f aca="false">IF('Datos de condiciones'!E71="","",'Datos de condiciones'!E71)</f>
        <v>#VALUE!</v>
      </c>
      <c r="Z79" s="145" t="str">
        <f aca="false">+IF($H79="","",Y79-20)</f>
        <v/>
      </c>
      <c r="AA79" s="146" t="str">
        <f aca="false">+IF($H79="","",ABS(X79-Z79))</f>
        <v/>
      </c>
      <c r="AB79" s="131"/>
      <c r="AC79" s="147" t="n">
        <f aca="false">+AC78+1</f>
        <v>68</v>
      </c>
      <c r="AD79" s="148" t="str">
        <f aca="false">+IF($H79="","",W79)</f>
        <v/>
      </c>
      <c r="AE79" s="145" t="str">
        <f aca="false">+IF($H79="","",Y79)</f>
        <v/>
      </c>
      <c r="AF79" s="146" t="str">
        <f aca="false">+IF($H79="","",+(ABS(AD79-AE79)))</f>
        <v/>
      </c>
      <c r="AG79" s="149" t="e">
        <f aca="false">IF('Datos de condiciones'!F71="","",'Datos de condiciones'!F71)</f>
        <v>#VALUE!</v>
      </c>
      <c r="AH79" s="135"/>
      <c r="AI79" s="147" t="n">
        <f aca="false">+AI78+1</f>
        <v>68</v>
      </c>
      <c r="AJ79" s="140"/>
      <c r="AK79" s="123" t="e">
        <f aca="false">IF('Datos de condiciones'!G71="","",'Datos de condiciones'!G71)</f>
        <v>#VALUE!</v>
      </c>
      <c r="AL79" s="150"/>
    </row>
    <row r="80" customFormat="false" ht="16.5" hidden="false" customHeight="false" outlineLevel="0" collapsed="false">
      <c r="A80" s="81" t="n">
        <f aca="false">+A79+1</f>
        <v>69</v>
      </c>
      <c r="B80" s="114" t="str">
        <f aca="false">J80</f>
        <v/>
      </c>
      <c r="C80" s="115" t="str">
        <f aca="false">IF(H80="","",H80)</f>
        <v/>
      </c>
      <c r="D80" s="116" t="str">
        <f aca="false">IF(B80="","",(IF('conversion datos'!$L$30='Patrones LACOMET'!$D$3,(VLOOKUP(B80,'BLOQUES PATRON (pulg) '!$D$5:$H$87,3,TRUE())),IF('conversion datos'!$L$30='Patrones LACOMET'!$D$4,((VLOOKUP(CALIBRACION!B80,'BLOQUES PATRON (mm)'!$D$5:$H$126,3,FALSE()))/1000),"No existe el patrón"))))</f>
        <v/>
      </c>
      <c r="E80" s="117" t="str">
        <f aca="false">IF(B80="","",(B80+D80))</f>
        <v/>
      </c>
      <c r="F80" s="118" t="str">
        <f aca="false">IF(B80="","",(IF('conversion datos'!$L$30='Patrones LACOMET'!$D$3,(VLOOKUP(B80,'BLOQUES PATRON (pulg) '!$D$5:$H$86,5,FALSE())),IF('conversion datos'!$L$30='Patrones LACOMET'!$D$4,((VLOOKUP(CALIBRACION!B80,'BLOQUES PATRON (mm)'!$D$5:$H$126,4,FALSE()))/1000000),"No existe el patrón"))))</f>
        <v/>
      </c>
      <c r="G80" s="118" t="str">
        <f aca="false">IF(D80="","",(IF('conversion datos'!$L$30='Patrones LACOMET'!$D$3,(D80*25.4),IF('conversion datos'!$L$30='Patrones LACOMET'!$D$4,D80,"No existe el patrón"))))</f>
        <v/>
      </c>
      <c r="H80" s="119" t="str">
        <f aca="false">IF(J80="","",(IF('conversion datos'!$L$30='Patrones LACOMET'!$D$3,(CALIBRACION!J80*25.4),IF('conversion datos'!$L$30='Patrones LACOMET'!$D$4,(CALIBRACION!J80),"No existe el patrón"))))</f>
        <v/>
      </c>
      <c r="I80" s="120" t="e">
        <f aca="false">IF('conversion datos'!B70="","",'conversion datos'!B70)</f>
        <v>#VALUE!</v>
      </c>
      <c r="J80" s="121" t="str">
        <f aca="false">IF('conversion datos'!C70="","",'conversion datos'!C70)</f>
        <v/>
      </c>
      <c r="K80" s="153"/>
      <c r="L80" s="151"/>
      <c r="M80" s="151"/>
      <c r="N80" s="141"/>
      <c r="O80" s="123" t="str">
        <f aca="false">IF('conversion datos'!F70="","",'conversion datos'!F70)</f>
        <v/>
      </c>
      <c r="P80" s="124" t="str">
        <f aca="false">IF($H80="","",+O80/1000)</f>
        <v/>
      </c>
      <c r="Q80" s="124" t="str">
        <f aca="false">IF($H80="","",(IF('conversion datos'!$L$30='Patrones LACOMET'!$D$3,P80*0.0254,IF('conversion datos'!$L$30='Patrones LACOMET'!$D$4,P80,"No existe el patrón"))))</f>
        <v/>
      </c>
      <c r="R80" s="124" t="str">
        <f aca="false">IF($H80="","",(IF('conversion datos'!$L$30='Patrones LACOMET'!$D$3,E80*25.4,IF('conversion datos'!$L$30='Patrones LACOMET'!$D$4,E80,"No existe el patrón"))))</f>
        <v/>
      </c>
      <c r="S80" s="124" t="str">
        <f aca="false">+IF($H80="","",((INCERTIDUMBRE!$M$8)/1000)/25.4)</f>
        <v/>
      </c>
      <c r="T80" s="124" t="str">
        <f aca="false">IF($H80="","",(+H80+Q80+S80))</f>
        <v/>
      </c>
      <c r="U80" s="125" t="str">
        <f aca="false">IF($H80="","",(T80/25.4))</f>
        <v/>
      </c>
      <c r="V80" s="97"/>
      <c r="W80" s="142" t="e">
        <f aca="false">IF('Datos de condiciones'!D72="","",'Datos de condiciones'!D72)</f>
        <v>#VALUE!</v>
      </c>
      <c r="X80" s="143" t="str">
        <f aca="false">+IF($H80="","",(W80-20))</f>
        <v/>
      </c>
      <c r="Y80" s="144" t="e">
        <f aca="false">IF('Datos de condiciones'!E72="","",'Datos de condiciones'!E72)</f>
        <v>#VALUE!</v>
      </c>
      <c r="Z80" s="145" t="str">
        <f aca="false">+IF($H80="","",Y80-20)</f>
        <v/>
      </c>
      <c r="AA80" s="146" t="str">
        <f aca="false">+IF($H80="","",ABS(X80-Z80))</f>
        <v/>
      </c>
      <c r="AB80" s="131"/>
      <c r="AC80" s="147" t="n">
        <f aca="false">+AC79+1</f>
        <v>69</v>
      </c>
      <c r="AD80" s="148" t="str">
        <f aca="false">+IF($H80="","",W80)</f>
        <v/>
      </c>
      <c r="AE80" s="145" t="str">
        <f aca="false">+IF($H80="","",Y80)</f>
        <v/>
      </c>
      <c r="AF80" s="146" t="str">
        <f aca="false">+IF($H80="","",+(ABS(AD80-AE80)))</f>
        <v/>
      </c>
      <c r="AG80" s="149" t="e">
        <f aca="false">IF('Datos de condiciones'!F72="","",'Datos de condiciones'!F72)</f>
        <v>#VALUE!</v>
      </c>
      <c r="AH80" s="135"/>
      <c r="AI80" s="147" t="n">
        <f aca="false">+AI79+1</f>
        <v>69</v>
      </c>
      <c r="AJ80" s="140"/>
      <c r="AK80" s="123" t="e">
        <f aca="false">IF('Datos de condiciones'!G72="","",'Datos de condiciones'!G72)</f>
        <v>#VALUE!</v>
      </c>
      <c r="AL80" s="150"/>
    </row>
    <row r="81" customFormat="false" ht="16.5" hidden="false" customHeight="false" outlineLevel="0" collapsed="false">
      <c r="A81" s="81" t="n">
        <f aca="false">+A80+1</f>
        <v>70</v>
      </c>
      <c r="B81" s="114" t="str">
        <f aca="false">J81</f>
        <v/>
      </c>
      <c r="C81" s="115" t="str">
        <f aca="false">IF(H81="","",H81)</f>
        <v/>
      </c>
      <c r="D81" s="116" t="str">
        <f aca="false">IF(B81="","",(IF('conversion datos'!$L$30='Patrones LACOMET'!$D$3,(VLOOKUP(B81,'BLOQUES PATRON (pulg) '!$D$5:$H$87,3,TRUE())),IF('conversion datos'!$L$30='Patrones LACOMET'!$D$4,((VLOOKUP(CALIBRACION!B81,'BLOQUES PATRON (mm)'!$D$5:$H$126,3,FALSE()))/1000),"No existe el patrón"))))</f>
        <v/>
      </c>
      <c r="E81" s="117" t="str">
        <f aca="false">IF(B81="","",(B81+D81))</f>
        <v/>
      </c>
      <c r="F81" s="118" t="str">
        <f aca="false">IF(B81="","",(IF('conversion datos'!$L$30='Patrones LACOMET'!$D$3,(VLOOKUP(B81,'BLOQUES PATRON (pulg) '!$D$5:$H$86,5,FALSE())),IF('conversion datos'!$L$30='Patrones LACOMET'!$D$4,((VLOOKUP(CALIBRACION!B81,'BLOQUES PATRON (mm)'!$D$5:$H$126,4,FALSE()))/1000000),"No existe el patrón"))))</f>
        <v/>
      </c>
      <c r="G81" s="118" t="str">
        <f aca="false">IF(D81="","",(IF('conversion datos'!$L$30='Patrones LACOMET'!$D$3,(D81*25.4),IF('conversion datos'!$L$30='Patrones LACOMET'!$D$4,D81,"No existe el patrón"))))</f>
        <v/>
      </c>
      <c r="H81" s="119" t="str">
        <f aca="false">IF(J81="","",(IF('conversion datos'!$L$30='Patrones LACOMET'!$D$3,(CALIBRACION!J81*25.4),IF('conversion datos'!$L$30='Patrones LACOMET'!$D$4,(CALIBRACION!J81),"No existe el patrón"))))</f>
        <v/>
      </c>
      <c r="I81" s="120" t="e">
        <f aca="false">IF('conversion datos'!B71="","",'conversion datos'!B71)</f>
        <v>#VALUE!</v>
      </c>
      <c r="J81" s="121" t="str">
        <f aca="false">IF('conversion datos'!C71="","",'conversion datos'!C71)</f>
        <v/>
      </c>
      <c r="K81" s="153"/>
      <c r="L81" s="151"/>
      <c r="M81" s="151"/>
      <c r="N81" s="141"/>
      <c r="O81" s="123" t="str">
        <f aca="false">IF('conversion datos'!F71="","",'conversion datos'!F71)</f>
        <v/>
      </c>
      <c r="P81" s="124" t="str">
        <f aca="false">IF($H81="","",+O81/1000)</f>
        <v/>
      </c>
      <c r="Q81" s="124" t="str">
        <f aca="false">IF($H81="","",(IF('conversion datos'!$L$30='Patrones LACOMET'!$D$3,P81*0.0254,IF('conversion datos'!$L$30='Patrones LACOMET'!$D$4,P81,"No existe el patrón"))))</f>
        <v/>
      </c>
      <c r="R81" s="124" t="str">
        <f aca="false">IF($H81="","",(IF('conversion datos'!$L$30='Patrones LACOMET'!$D$3,E81*25.4,IF('conversion datos'!$L$30='Patrones LACOMET'!$D$4,E81,"No existe el patrón"))))</f>
        <v/>
      </c>
      <c r="S81" s="124" t="str">
        <f aca="false">+IF($H81="","",((INCERTIDUMBRE!$M$8)/1000)/25.4)</f>
        <v/>
      </c>
      <c r="T81" s="124" t="str">
        <f aca="false">IF($H81="","",(+H81+Q81+S81))</f>
        <v/>
      </c>
      <c r="U81" s="125" t="str">
        <f aca="false">IF($H81="","",(T81/25.4))</f>
        <v/>
      </c>
      <c r="V81" s="97"/>
      <c r="W81" s="142" t="e">
        <f aca="false">IF('Datos de condiciones'!D73="","",'Datos de condiciones'!D73)</f>
        <v>#VALUE!</v>
      </c>
      <c r="X81" s="143" t="str">
        <f aca="false">+IF($H81="","",(W81-20))</f>
        <v/>
      </c>
      <c r="Y81" s="144" t="e">
        <f aca="false">IF('Datos de condiciones'!E73="","",'Datos de condiciones'!E73)</f>
        <v>#VALUE!</v>
      </c>
      <c r="Z81" s="145" t="str">
        <f aca="false">+IF($H81="","",Y81-20)</f>
        <v/>
      </c>
      <c r="AA81" s="146" t="str">
        <f aca="false">+IF($H81="","",ABS(X81-Z81))</f>
        <v/>
      </c>
      <c r="AB81" s="131"/>
      <c r="AC81" s="147" t="n">
        <f aca="false">+AC80+1</f>
        <v>70</v>
      </c>
      <c r="AD81" s="148" t="str">
        <f aca="false">+IF($H81="","",W81)</f>
        <v/>
      </c>
      <c r="AE81" s="145" t="str">
        <f aca="false">+IF($H81="","",Y81)</f>
        <v/>
      </c>
      <c r="AF81" s="146" t="str">
        <f aca="false">+IF($H81="","",+(ABS(AD81-AE81)))</f>
        <v/>
      </c>
      <c r="AG81" s="149" t="e">
        <f aca="false">IF('Datos de condiciones'!F73="","",'Datos de condiciones'!F73)</f>
        <v>#VALUE!</v>
      </c>
      <c r="AH81" s="135"/>
      <c r="AI81" s="147" t="n">
        <f aca="false">+AI80+1</f>
        <v>70</v>
      </c>
      <c r="AJ81" s="140"/>
      <c r="AK81" s="123" t="e">
        <f aca="false">IF('Datos de condiciones'!G73="","",'Datos de condiciones'!G73)</f>
        <v>#VALUE!</v>
      </c>
      <c r="AL81" s="150"/>
    </row>
    <row r="82" customFormat="false" ht="16.5" hidden="false" customHeight="false" outlineLevel="0" collapsed="false">
      <c r="A82" s="81" t="n">
        <f aca="false">+A81+1</f>
        <v>71</v>
      </c>
      <c r="B82" s="114" t="str">
        <f aca="false">J82</f>
        <v/>
      </c>
      <c r="C82" s="115" t="str">
        <f aca="false">IF(H82="","",H82)</f>
        <v/>
      </c>
      <c r="D82" s="116" t="str">
        <f aca="false">IF(B82="","",(IF('conversion datos'!$L$30='Patrones LACOMET'!$D$3,(VLOOKUP(B82,'BLOQUES PATRON (pulg) '!$D$5:$H$87,3,TRUE())),IF('conversion datos'!$L$30='Patrones LACOMET'!$D$4,((VLOOKUP(CALIBRACION!B82,'BLOQUES PATRON (mm)'!$D$5:$H$126,3,FALSE()))/1000),"No existe el patrón"))))</f>
        <v/>
      </c>
      <c r="E82" s="117" t="str">
        <f aca="false">IF(B82="","",(B82+D82))</f>
        <v/>
      </c>
      <c r="F82" s="118" t="str">
        <f aca="false">IF(B82="","",(IF('conversion datos'!$L$30='Patrones LACOMET'!$D$3,(VLOOKUP(B82,'BLOQUES PATRON (pulg) '!$D$5:$H$86,5,FALSE())),IF('conversion datos'!$L$30='Patrones LACOMET'!$D$4,((VLOOKUP(CALIBRACION!B82,'BLOQUES PATRON (mm)'!$D$5:$H$126,4,FALSE()))/1000000),"No existe el patrón"))))</f>
        <v/>
      </c>
      <c r="G82" s="118" t="str">
        <f aca="false">IF(D82="","",(IF('conversion datos'!$L$30='Patrones LACOMET'!$D$3,(D82*25.4),IF('conversion datos'!$L$30='Patrones LACOMET'!$D$4,D82,"No existe el patrón"))))</f>
        <v/>
      </c>
      <c r="H82" s="119" t="str">
        <f aca="false">IF(J82="","",(IF('conversion datos'!$L$30='Patrones LACOMET'!$D$3,(CALIBRACION!J82*25.4),IF('conversion datos'!$L$30='Patrones LACOMET'!$D$4,(CALIBRACION!J82),"No existe el patrón"))))</f>
        <v/>
      </c>
      <c r="I82" s="120" t="e">
        <f aca="false">IF('conversion datos'!B72="","",'conversion datos'!B72)</f>
        <v>#VALUE!</v>
      </c>
      <c r="J82" s="121" t="str">
        <f aca="false">IF('conversion datos'!C72="","",'conversion datos'!C72)</f>
        <v/>
      </c>
      <c r="K82" s="153"/>
      <c r="L82" s="151"/>
      <c r="M82" s="151"/>
      <c r="N82" s="141"/>
      <c r="O82" s="123" t="str">
        <f aca="false">IF('conversion datos'!F72="","",'conversion datos'!F72)</f>
        <v/>
      </c>
      <c r="P82" s="124" t="str">
        <f aca="false">IF($H82="","",+O82/1000)</f>
        <v/>
      </c>
      <c r="Q82" s="124" t="str">
        <f aca="false">IF($H82="","",(IF('conversion datos'!$L$30='Patrones LACOMET'!$D$3,P82*0.0254,IF('conversion datos'!$L$30='Patrones LACOMET'!$D$4,P82,"No existe el patrón"))))</f>
        <v/>
      </c>
      <c r="R82" s="124" t="str">
        <f aca="false">IF($H82="","",(IF('conversion datos'!$L$30='Patrones LACOMET'!$D$3,E82*25.4,IF('conversion datos'!$L$30='Patrones LACOMET'!$D$4,E82,"No existe el patrón"))))</f>
        <v/>
      </c>
      <c r="S82" s="124" t="str">
        <f aca="false">+IF($H82="","",((INCERTIDUMBRE!$M$8)/1000)/25.4)</f>
        <v/>
      </c>
      <c r="T82" s="124" t="str">
        <f aca="false">IF($H82="","",(+H82+Q82+S82))</f>
        <v/>
      </c>
      <c r="U82" s="125" t="str">
        <f aca="false">IF($H82="","",(T82/25.4))</f>
        <v/>
      </c>
      <c r="V82" s="97"/>
      <c r="W82" s="142" t="e">
        <f aca="false">IF('Datos de condiciones'!D74="","",'Datos de condiciones'!D74)</f>
        <v>#VALUE!</v>
      </c>
      <c r="X82" s="143" t="str">
        <f aca="false">+IF($H82="","",(W82-20))</f>
        <v/>
      </c>
      <c r="Y82" s="144" t="e">
        <f aca="false">IF('Datos de condiciones'!E74="","",'Datos de condiciones'!E74)</f>
        <v>#VALUE!</v>
      </c>
      <c r="Z82" s="145" t="str">
        <f aca="false">+IF($H82="","",Y82-20)</f>
        <v/>
      </c>
      <c r="AA82" s="146" t="str">
        <f aca="false">+IF($H82="","",ABS(X82-Z82))</f>
        <v/>
      </c>
      <c r="AB82" s="131"/>
      <c r="AC82" s="147" t="n">
        <f aca="false">+AC81+1</f>
        <v>71</v>
      </c>
      <c r="AD82" s="148" t="str">
        <f aca="false">+IF($H82="","",W82)</f>
        <v/>
      </c>
      <c r="AE82" s="145" t="str">
        <f aca="false">+IF($H82="","",Y82)</f>
        <v/>
      </c>
      <c r="AF82" s="146" t="str">
        <f aca="false">+IF($H82="","",+(ABS(AD82-AE82)))</f>
        <v/>
      </c>
      <c r="AG82" s="149" t="e">
        <f aca="false">IF('Datos de condiciones'!F74="","",'Datos de condiciones'!F74)</f>
        <v>#VALUE!</v>
      </c>
      <c r="AH82" s="135"/>
      <c r="AI82" s="147" t="n">
        <f aca="false">+AI81+1</f>
        <v>71</v>
      </c>
      <c r="AJ82" s="140"/>
      <c r="AK82" s="123" t="e">
        <f aca="false">IF('Datos de condiciones'!G74="","",'Datos de condiciones'!G74)</f>
        <v>#VALUE!</v>
      </c>
      <c r="AL82" s="150"/>
    </row>
    <row r="83" customFormat="false" ht="16.5" hidden="false" customHeight="false" outlineLevel="0" collapsed="false">
      <c r="A83" s="81" t="n">
        <f aca="false">+A82+1</f>
        <v>72</v>
      </c>
      <c r="B83" s="114" t="str">
        <f aca="false">J83</f>
        <v/>
      </c>
      <c r="C83" s="115" t="str">
        <f aca="false">IF(H83="","",H83)</f>
        <v/>
      </c>
      <c r="D83" s="116" t="str">
        <f aca="false">IF(B83="","",(IF('conversion datos'!$L$30='Patrones LACOMET'!$D$3,(VLOOKUP(B83,'BLOQUES PATRON (pulg) '!$D$5:$H$87,3,TRUE())),IF('conversion datos'!$L$30='Patrones LACOMET'!$D$4,((VLOOKUP(CALIBRACION!B83,'BLOQUES PATRON (mm)'!$D$5:$H$126,3,FALSE()))/1000),"No existe el patrón"))))</f>
        <v/>
      </c>
      <c r="E83" s="117" t="str">
        <f aca="false">IF(B83="","",(B83+D83))</f>
        <v/>
      </c>
      <c r="F83" s="118" t="str">
        <f aca="false">IF(B83="","",(IF('conversion datos'!$L$30='Patrones LACOMET'!$D$3,(VLOOKUP(B83,'BLOQUES PATRON (pulg) '!$D$5:$H$86,5,FALSE())),IF('conversion datos'!$L$30='Patrones LACOMET'!$D$4,((VLOOKUP(CALIBRACION!B83,'BLOQUES PATRON (mm)'!$D$5:$H$126,4,FALSE()))/1000000),"No existe el patrón"))))</f>
        <v/>
      </c>
      <c r="G83" s="118" t="str">
        <f aca="false">IF(D83="","",(IF('conversion datos'!$L$30='Patrones LACOMET'!$D$3,(D83*25.4),IF('conversion datos'!$L$30='Patrones LACOMET'!$D$4,D83,"No existe el patrón"))))</f>
        <v/>
      </c>
      <c r="H83" s="119" t="str">
        <f aca="false">IF(J83="","",(IF('conversion datos'!$L$30='Patrones LACOMET'!$D$3,(CALIBRACION!J83*25.4),IF('conversion datos'!$L$30='Patrones LACOMET'!$D$4,(CALIBRACION!J83),"No existe el patrón"))))</f>
        <v/>
      </c>
      <c r="I83" s="120" t="e">
        <f aca="false">IF('conversion datos'!B73="","",'conversion datos'!B73)</f>
        <v>#VALUE!</v>
      </c>
      <c r="J83" s="121" t="str">
        <f aca="false">IF('conversion datos'!C73="","",'conversion datos'!C73)</f>
        <v/>
      </c>
      <c r="K83" s="153"/>
      <c r="L83" s="151"/>
      <c r="M83" s="151"/>
      <c r="N83" s="141"/>
      <c r="O83" s="123" t="str">
        <f aca="false">IF('conversion datos'!F73="","",'conversion datos'!F73)</f>
        <v/>
      </c>
      <c r="P83" s="124" t="str">
        <f aca="false">IF($H83="","",+O83/1000)</f>
        <v/>
      </c>
      <c r="Q83" s="124" t="str">
        <f aca="false">IF($H83="","",(IF('conversion datos'!$L$30='Patrones LACOMET'!$D$3,P83*0.0254,IF('conversion datos'!$L$30='Patrones LACOMET'!$D$4,P83,"No existe el patrón"))))</f>
        <v/>
      </c>
      <c r="R83" s="124" t="str">
        <f aca="false">IF($H83="","",(IF('conversion datos'!$L$30='Patrones LACOMET'!$D$3,E83*25.4,IF('conversion datos'!$L$30='Patrones LACOMET'!$D$4,E83,"No existe el patrón"))))</f>
        <v/>
      </c>
      <c r="S83" s="124" t="str">
        <f aca="false">+IF($H83="","",((INCERTIDUMBRE!$M$8)/1000)/25.4)</f>
        <v/>
      </c>
      <c r="T83" s="124" t="str">
        <f aca="false">IF($H83="","",(+H83+Q83+S83))</f>
        <v/>
      </c>
      <c r="U83" s="125" t="str">
        <f aca="false">IF($H83="","",(T83/25.4))</f>
        <v/>
      </c>
      <c r="V83" s="97"/>
      <c r="W83" s="142" t="e">
        <f aca="false">IF('Datos de condiciones'!D75="","",'Datos de condiciones'!D75)</f>
        <v>#VALUE!</v>
      </c>
      <c r="X83" s="143" t="str">
        <f aca="false">+IF($H83="","",(W83-20))</f>
        <v/>
      </c>
      <c r="Y83" s="144" t="e">
        <f aca="false">IF('Datos de condiciones'!E75="","",'Datos de condiciones'!E75)</f>
        <v>#VALUE!</v>
      </c>
      <c r="Z83" s="145" t="str">
        <f aca="false">+IF($H83="","",Y83-20)</f>
        <v/>
      </c>
      <c r="AA83" s="146" t="str">
        <f aca="false">+IF($H83="","",ABS(X83-Z83))</f>
        <v/>
      </c>
      <c r="AB83" s="131"/>
      <c r="AC83" s="147" t="n">
        <f aca="false">+AC82+1</f>
        <v>72</v>
      </c>
      <c r="AD83" s="148" t="str">
        <f aca="false">+IF($H83="","",W83)</f>
        <v/>
      </c>
      <c r="AE83" s="145" t="str">
        <f aca="false">+IF($H83="","",Y83)</f>
        <v/>
      </c>
      <c r="AF83" s="146" t="str">
        <f aca="false">+IF($H83="","",+(ABS(AD83-AE83)))</f>
        <v/>
      </c>
      <c r="AG83" s="149" t="e">
        <f aca="false">IF('Datos de condiciones'!F75="","",'Datos de condiciones'!F75)</f>
        <v>#VALUE!</v>
      </c>
      <c r="AH83" s="135"/>
      <c r="AI83" s="147" t="n">
        <f aca="false">+AI82+1</f>
        <v>72</v>
      </c>
      <c r="AJ83" s="140"/>
      <c r="AK83" s="123" t="e">
        <f aca="false">IF('Datos de condiciones'!G75="","",'Datos de condiciones'!G75)</f>
        <v>#VALUE!</v>
      </c>
      <c r="AL83" s="150"/>
    </row>
    <row r="84" customFormat="false" ht="16.5" hidden="false" customHeight="false" outlineLevel="0" collapsed="false">
      <c r="A84" s="81" t="n">
        <f aca="false">+A83+1</f>
        <v>73</v>
      </c>
      <c r="B84" s="114" t="str">
        <f aca="false">J84</f>
        <v/>
      </c>
      <c r="C84" s="115" t="str">
        <f aca="false">IF(H84="","",H84)</f>
        <v/>
      </c>
      <c r="D84" s="116" t="str">
        <f aca="false">IF(B84="","",(IF('conversion datos'!$L$30='Patrones LACOMET'!$D$3,(VLOOKUP(B84,'BLOQUES PATRON (pulg) '!$D$5:$H$87,3,TRUE())),IF('conversion datos'!$L$30='Patrones LACOMET'!$D$4,((VLOOKUP(CALIBRACION!B84,'BLOQUES PATRON (mm)'!$D$5:$H$126,3,FALSE()))/1000),"No existe el patrón"))))</f>
        <v/>
      </c>
      <c r="E84" s="117" t="str">
        <f aca="false">IF(B84="","",(B84+D84))</f>
        <v/>
      </c>
      <c r="F84" s="118" t="str">
        <f aca="false">IF(B84="","",(IF('conversion datos'!$L$30='Patrones LACOMET'!$D$3,(VLOOKUP(B84,'BLOQUES PATRON (pulg) '!$D$5:$H$86,5,FALSE())),IF('conversion datos'!$L$30='Patrones LACOMET'!$D$4,((VLOOKUP(CALIBRACION!B84,'BLOQUES PATRON (mm)'!$D$5:$H$126,4,FALSE()))/1000000),"No existe el patrón"))))</f>
        <v/>
      </c>
      <c r="G84" s="118" t="str">
        <f aca="false">IF(D84="","",(IF('conversion datos'!$L$30='Patrones LACOMET'!$D$3,(D84*25.4),IF('conversion datos'!$L$30='Patrones LACOMET'!$D$4,D84,"No existe el patrón"))))</f>
        <v/>
      </c>
      <c r="H84" s="119" t="str">
        <f aca="false">IF(J84="","",(IF('conversion datos'!$L$30='Patrones LACOMET'!$D$3,(CALIBRACION!J84*25.4),IF('conversion datos'!$L$30='Patrones LACOMET'!$D$4,(CALIBRACION!J84),"No existe el patrón"))))</f>
        <v/>
      </c>
      <c r="I84" s="120" t="e">
        <f aca="false">IF('conversion datos'!B74="","",'conversion datos'!B74)</f>
        <v>#VALUE!</v>
      </c>
      <c r="J84" s="121" t="str">
        <f aca="false">IF('conversion datos'!C74="","",'conversion datos'!C74)</f>
        <v/>
      </c>
      <c r="K84" s="153"/>
      <c r="L84" s="151"/>
      <c r="M84" s="151"/>
      <c r="N84" s="141"/>
      <c r="O84" s="123" t="str">
        <f aca="false">IF('conversion datos'!F74="","",'conversion datos'!F74)</f>
        <v/>
      </c>
      <c r="P84" s="124" t="str">
        <f aca="false">IF($H84="","",+O84/1000)</f>
        <v/>
      </c>
      <c r="Q84" s="124" t="str">
        <f aca="false">IF($H84="","",(IF('conversion datos'!$L$30='Patrones LACOMET'!$D$3,P84*0.0254,IF('conversion datos'!$L$30='Patrones LACOMET'!$D$4,P84,"No existe el patrón"))))</f>
        <v/>
      </c>
      <c r="R84" s="124" t="str">
        <f aca="false">IF($H84="","",(IF('conversion datos'!$L$30='Patrones LACOMET'!$D$3,E84*25.4,IF('conversion datos'!$L$30='Patrones LACOMET'!$D$4,E84,"No existe el patrón"))))</f>
        <v/>
      </c>
      <c r="S84" s="124" t="str">
        <f aca="false">+IF($H84="","",((INCERTIDUMBRE!$M$8)/1000)/25.4)</f>
        <v/>
      </c>
      <c r="T84" s="124" t="str">
        <f aca="false">IF($H84="","",(+H84+Q84+S84))</f>
        <v/>
      </c>
      <c r="U84" s="125" t="str">
        <f aca="false">IF($H84="","",(T84/25.4))</f>
        <v/>
      </c>
      <c r="V84" s="97"/>
      <c r="W84" s="142" t="e">
        <f aca="false">IF('Datos de condiciones'!D76="","",'Datos de condiciones'!D76)</f>
        <v>#VALUE!</v>
      </c>
      <c r="X84" s="143" t="str">
        <f aca="false">+IF($H84="","",(W84-20))</f>
        <v/>
      </c>
      <c r="Y84" s="144" t="e">
        <f aca="false">IF('Datos de condiciones'!E76="","",'Datos de condiciones'!E76)</f>
        <v>#VALUE!</v>
      </c>
      <c r="Z84" s="145" t="str">
        <f aca="false">+IF($H84="","",Y84-20)</f>
        <v/>
      </c>
      <c r="AA84" s="146" t="str">
        <f aca="false">+IF($H84="","",ABS(X84-Z84))</f>
        <v/>
      </c>
      <c r="AB84" s="131"/>
      <c r="AC84" s="147" t="n">
        <f aca="false">+AC83+1</f>
        <v>73</v>
      </c>
      <c r="AD84" s="148" t="str">
        <f aca="false">+IF($H84="","",W84)</f>
        <v/>
      </c>
      <c r="AE84" s="145" t="str">
        <f aca="false">+IF($H84="","",Y84)</f>
        <v/>
      </c>
      <c r="AF84" s="146" t="str">
        <f aca="false">+IF($H84="","",+(ABS(AD84-AE84)))</f>
        <v/>
      </c>
      <c r="AG84" s="149" t="e">
        <f aca="false">IF('Datos de condiciones'!F76="","",'Datos de condiciones'!F76)</f>
        <v>#VALUE!</v>
      </c>
      <c r="AH84" s="135"/>
      <c r="AI84" s="147" t="n">
        <f aca="false">+AI83+1</f>
        <v>73</v>
      </c>
      <c r="AJ84" s="140"/>
      <c r="AK84" s="123" t="e">
        <f aca="false">IF('Datos de condiciones'!G76="","",'Datos de condiciones'!G76)</f>
        <v>#VALUE!</v>
      </c>
      <c r="AL84" s="150"/>
    </row>
    <row r="85" customFormat="false" ht="16.5" hidden="false" customHeight="false" outlineLevel="0" collapsed="false">
      <c r="A85" s="81" t="n">
        <f aca="false">+A84+1</f>
        <v>74</v>
      </c>
      <c r="B85" s="114" t="str">
        <f aca="false">J85</f>
        <v/>
      </c>
      <c r="C85" s="115" t="str">
        <f aca="false">IF(H85="","",H85)</f>
        <v/>
      </c>
      <c r="D85" s="116" t="str">
        <f aca="false">IF(B85="","",(IF('conversion datos'!$L$30='Patrones LACOMET'!$D$3,(VLOOKUP(B85,'BLOQUES PATRON (pulg) '!$D$5:$H$87,3,TRUE())),IF('conversion datos'!$L$30='Patrones LACOMET'!$D$4,((VLOOKUP(CALIBRACION!B85,'BLOQUES PATRON (mm)'!$D$5:$H$126,3,FALSE()))/1000),"No existe el patrón"))))</f>
        <v/>
      </c>
      <c r="E85" s="117" t="str">
        <f aca="false">IF(B85="","",(B85+D85))</f>
        <v/>
      </c>
      <c r="F85" s="118" t="str">
        <f aca="false">IF(B85="","",(IF('conversion datos'!$L$30='Patrones LACOMET'!$D$3,(VLOOKUP(B85,'BLOQUES PATRON (pulg) '!$D$5:$H$86,5,FALSE())),IF('conversion datos'!$L$30='Patrones LACOMET'!$D$4,((VLOOKUP(CALIBRACION!B85,'BLOQUES PATRON (mm)'!$D$5:$H$126,4,FALSE()))/1000000),"No existe el patrón"))))</f>
        <v/>
      </c>
      <c r="G85" s="118" t="str">
        <f aca="false">IF(D85="","",(IF('conversion datos'!$L$30='Patrones LACOMET'!$D$3,(D85*25.4),IF('conversion datos'!$L$30='Patrones LACOMET'!$D$4,D85,"No existe el patrón"))))</f>
        <v/>
      </c>
      <c r="H85" s="119" t="str">
        <f aca="false">IF(J85="","",(IF('conversion datos'!$L$30='Patrones LACOMET'!$D$3,(CALIBRACION!J85*25.4),IF('conversion datos'!$L$30='Patrones LACOMET'!$D$4,(CALIBRACION!J85),"No existe el patrón"))))</f>
        <v/>
      </c>
      <c r="I85" s="120" t="e">
        <f aca="false">IF('conversion datos'!B75="","",'conversion datos'!B75)</f>
        <v>#VALUE!</v>
      </c>
      <c r="J85" s="121" t="str">
        <f aca="false">IF('conversion datos'!C75="","",'conversion datos'!C75)</f>
        <v/>
      </c>
      <c r="K85" s="153"/>
      <c r="L85" s="151"/>
      <c r="M85" s="151"/>
      <c r="N85" s="141"/>
      <c r="O85" s="123" t="str">
        <f aca="false">IF('conversion datos'!F75="","",'conversion datos'!F75)</f>
        <v/>
      </c>
      <c r="P85" s="124" t="str">
        <f aca="false">IF($H85="","",+O85/1000)</f>
        <v/>
      </c>
      <c r="Q85" s="124" t="str">
        <f aca="false">IF($H85="","",(IF('conversion datos'!$L$30='Patrones LACOMET'!$D$3,P85*0.0254,IF('conversion datos'!$L$30='Patrones LACOMET'!$D$4,P85,"No existe el patrón"))))</f>
        <v/>
      </c>
      <c r="R85" s="124" t="str">
        <f aca="false">IF($H85="","",(IF('conversion datos'!$L$30='Patrones LACOMET'!$D$3,E85*25.4,IF('conversion datos'!$L$30='Patrones LACOMET'!$D$4,E85,"No existe el patrón"))))</f>
        <v/>
      </c>
      <c r="S85" s="124" t="str">
        <f aca="false">+IF($H85="","",((INCERTIDUMBRE!$M$8)/1000)/25.4)</f>
        <v/>
      </c>
      <c r="T85" s="124" t="str">
        <f aca="false">IF($H85="","",(+H85+Q85+S85))</f>
        <v/>
      </c>
      <c r="U85" s="125" t="str">
        <f aca="false">IF($H85="","",(T85/25.4))</f>
        <v/>
      </c>
      <c r="V85" s="97"/>
      <c r="W85" s="142" t="e">
        <f aca="false">IF('Datos de condiciones'!D77="","",'Datos de condiciones'!D77)</f>
        <v>#VALUE!</v>
      </c>
      <c r="X85" s="143" t="str">
        <f aca="false">+IF($H85="","",(W85-20))</f>
        <v/>
      </c>
      <c r="Y85" s="144" t="e">
        <f aca="false">IF('Datos de condiciones'!E77="","",'Datos de condiciones'!E77)</f>
        <v>#VALUE!</v>
      </c>
      <c r="Z85" s="145" t="str">
        <f aca="false">+IF($H85="","",Y85-20)</f>
        <v/>
      </c>
      <c r="AA85" s="146" t="str">
        <f aca="false">+IF($H85="","",ABS(X85-Z85))</f>
        <v/>
      </c>
      <c r="AB85" s="131"/>
      <c r="AC85" s="147" t="n">
        <f aca="false">+AC84+1</f>
        <v>74</v>
      </c>
      <c r="AD85" s="148" t="str">
        <f aca="false">+IF($H85="","",W85)</f>
        <v/>
      </c>
      <c r="AE85" s="145" t="str">
        <f aca="false">+IF($H85="","",Y85)</f>
        <v/>
      </c>
      <c r="AF85" s="146" t="str">
        <f aca="false">+IF($H85="","",+(ABS(AD85-AE85)))</f>
        <v/>
      </c>
      <c r="AG85" s="149" t="e">
        <f aca="false">IF('Datos de condiciones'!F77="","",'Datos de condiciones'!F77)</f>
        <v>#VALUE!</v>
      </c>
      <c r="AH85" s="135"/>
      <c r="AI85" s="147" t="n">
        <f aca="false">+AI84+1</f>
        <v>74</v>
      </c>
      <c r="AJ85" s="140"/>
      <c r="AK85" s="123" t="e">
        <f aca="false">IF('Datos de condiciones'!G77="","",'Datos de condiciones'!G77)</f>
        <v>#VALUE!</v>
      </c>
      <c r="AL85" s="150"/>
    </row>
    <row r="86" customFormat="false" ht="16.5" hidden="false" customHeight="false" outlineLevel="0" collapsed="false">
      <c r="A86" s="81" t="n">
        <f aca="false">+A85+1</f>
        <v>75</v>
      </c>
      <c r="B86" s="114" t="str">
        <f aca="false">J86</f>
        <v/>
      </c>
      <c r="C86" s="115" t="str">
        <f aca="false">IF(H86="","",H86)</f>
        <v/>
      </c>
      <c r="D86" s="116" t="str">
        <f aca="false">IF(B86="","",(IF('conversion datos'!$L$30='Patrones LACOMET'!$D$3,(VLOOKUP(B86,'BLOQUES PATRON (pulg) '!$D$5:$H$87,3,TRUE())),IF('conversion datos'!$L$30='Patrones LACOMET'!$D$4,((VLOOKUP(CALIBRACION!B86,'BLOQUES PATRON (mm)'!$D$5:$H$126,3,FALSE()))/1000),"No existe el patrón"))))</f>
        <v/>
      </c>
      <c r="E86" s="117" t="str">
        <f aca="false">IF(B86="","",(B86+D86))</f>
        <v/>
      </c>
      <c r="F86" s="118" t="str">
        <f aca="false">IF(B86="","",(IF('conversion datos'!$L$30='Patrones LACOMET'!$D$3,(VLOOKUP(B86,'BLOQUES PATRON (pulg) '!$D$5:$H$86,5,FALSE())),IF('conversion datos'!$L$30='Patrones LACOMET'!$D$4,((VLOOKUP(CALIBRACION!B86,'BLOQUES PATRON (mm)'!$D$5:$H$126,4,FALSE()))/1000000),"No existe el patrón"))))</f>
        <v/>
      </c>
      <c r="G86" s="118" t="str">
        <f aca="false">IF(D86="","",(IF('conversion datos'!$L$30='Patrones LACOMET'!$D$3,(D86*25.4),IF('conversion datos'!$L$30='Patrones LACOMET'!$D$4,D86,"No existe el patrón"))))</f>
        <v/>
      </c>
      <c r="H86" s="119" t="str">
        <f aca="false">IF(J86="","",(IF('conversion datos'!$L$30='Patrones LACOMET'!$D$3,(CALIBRACION!J86*25.4),IF('conversion datos'!$L$30='Patrones LACOMET'!$D$4,(CALIBRACION!J86),"No existe el patrón"))))</f>
        <v/>
      </c>
      <c r="I86" s="120" t="e">
        <f aca="false">IF('conversion datos'!B76="","",'conversion datos'!B76)</f>
        <v>#VALUE!</v>
      </c>
      <c r="J86" s="121" t="str">
        <f aca="false">IF('conversion datos'!C76="","",'conversion datos'!C76)</f>
        <v/>
      </c>
      <c r="K86" s="153"/>
      <c r="L86" s="151"/>
      <c r="M86" s="151"/>
      <c r="N86" s="141"/>
      <c r="O86" s="123" t="str">
        <f aca="false">IF('conversion datos'!F76="","",'conversion datos'!F76)</f>
        <v/>
      </c>
      <c r="P86" s="124" t="str">
        <f aca="false">IF($H86="","",+O86/1000)</f>
        <v/>
      </c>
      <c r="Q86" s="124" t="str">
        <f aca="false">IF($H86="","",(IF('conversion datos'!$L$30='Patrones LACOMET'!$D$3,P86*0.0254,IF('conversion datos'!$L$30='Patrones LACOMET'!$D$4,P86,"No existe el patrón"))))</f>
        <v/>
      </c>
      <c r="R86" s="124" t="str">
        <f aca="false">IF($H86="","",(IF('conversion datos'!$L$30='Patrones LACOMET'!$D$3,E86*25.4,IF('conversion datos'!$L$30='Patrones LACOMET'!$D$4,E86,"No existe el patrón"))))</f>
        <v/>
      </c>
      <c r="S86" s="124" t="str">
        <f aca="false">+IF($H86="","",((INCERTIDUMBRE!$M$8)/1000)/25.4)</f>
        <v/>
      </c>
      <c r="T86" s="124" t="str">
        <f aca="false">IF($H86="","",(+H86+Q86+S86))</f>
        <v/>
      </c>
      <c r="U86" s="125" t="str">
        <f aca="false">IF($H86="","",(T86/25.4))</f>
        <v/>
      </c>
      <c r="V86" s="97"/>
      <c r="W86" s="142" t="e">
        <f aca="false">IF('Datos de condiciones'!D78="","",'Datos de condiciones'!D78)</f>
        <v>#VALUE!</v>
      </c>
      <c r="X86" s="143" t="str">
        <f aca="false">+IF($H86="","",(W86-20))</f>
        <v/>
      </c>
      <c r="Y86" s="144" t="e">
        <f aca="false">IF('Datos de condiciones'!E78="","",'Datos de condiciones'!E78)</f>
        <v>#VALUE!</v>
      </c>
      <c r="Z86" s="145" t="str">
        <f aca="false">+IF($H86="","",Y86-20)</f>
        <v/>
      </c>
      <c r="AA86" s="146" t="str">
        <f aca="false">+IF($H86="","",ABS(X86-Z86))</f>
        <v/>
      </c>
      <c r="AB86" s="131"/>
      <c r="AC86" s="147" t="n">
        <f aca="false">+AC85+1</f>
        <v>75</v>
      </c>
      <c r="AD86" s="148" t="str">
        <f aca="false">+IF($H86="","",W86)</f>
        <v/>
      </c>
      <c r="AE86" s="145" t="str">
        <f aca="false">+IF($H86="","",Y86)</f>
        <v/>
      </c>
      <c r="AF86" s="146" t="str">
        <f aca="false">+IF($H86="","",+(ABS(AD86-AE86)))</f>
        <v/>
      </c>
      <c r="AG86" s="149" t="e">
        <f aca="false">IF('Datos de condiciones'!F78="","",'Datos de condiciones'!F78)</f>
        <v>#VALUE!</v>
      </c>
      <c r="AH86" s="135"/>
      <c r="AI86" s="147" t="n">
        <f aca="false">+AI85+1</f>
        <v>75</v>
      </c>
      <c r="AJ86" s="140"/>
      <c r="AK86" s="123" t="e">
        <f aca="false">IF('Datos de condiciones'!G78="","",'Datos de condiciones'!G78)</f>
        <v>#VALUE!</v>
      </c>
      <c r="AL86" s="150"/>
    </row>
    <row r="87" customFormat="false" ht="16.5" hidden="false" customHeight="false" outlineLevel="0" collapsed="false">
      <c r="A87" s="81" t="n">
        <f aca="false">+A86+1</f>
        <v>76</v>
      </c>
      <c r="B87" s="114" t="str">
        <f aca="false">J87</f>
        <v/>
      </c>
      <c r="C87" s="115" t="str">
        <f aca="false">IF(H87="","",H87)</f>
        <v/>
      </c>
      <c r="D87" s="116" t="str">
        <f aca="false">IF(B87="","",(IF('conversion datos'!$L$30='Patrones LACOMET'!$D$3,(VLOOKUP(B87,'BLOQUES PATRON (pulg) '!$D$5:$H$87,3,TRUE())),IF('conversion datos'!$L$30='Patrones LACOMET'!$D$4,((VLOOKUP(CALIBRACION!B87,'BLOQUES PATRON (mm)'!$D$5:$H$126,3,FALSE()))/1000),"No existe el patrón"))))</f>
        <v/>
      </c>
      <c r="E87" s="117" t="str">
        <f aca="false">IF(B87="","",(B87+D87))</f>
        <v/>
      </c>
      <c r="F87" s="118" t="str">
        <f aca="false">IF(B87="","",(IF('conversion datos'!$L$30='Patrones LACOMET'!$D$3,(VLOOKUP(B87,'BLOQUES PATRON (pulg) '!$D$5:$H$86,5,FALSE())),IF('conversion datos'!$L$30='Patrones LACOMET'!$D$4,((VLOOKUP(CALIBRACION!B87,'BLOQUES PATRON (mm)'!$D$5:$H$126,4,FALSE()))/1000000),"No existe el patrón"))))</f>
        <v/>
      </c>
      <c r="G87" s="118" t="str">
        <f aca="false">IF(D87="","",(IF('conversion datos'!$L$30='Patrones LACOMET'!$D$3,(D87*25.4),IF('conversion datos'!$L$30='Patrones LACOMET'!$D$4,D87,"No existe el patrón"))))</f>
        <v/>
      </c>
      <c r="H87" s="119" t="str">
        <f aca="false">IF(J87="","",(IF('conversion datos'!$L$30='Patrones LACOMET'!$D$3,(CALIBRACION!J87*25.4),IF('conversion datos'!$L$30='Patrones LACOMET'!$D$4,(CALIBRACION!J87),"No existe el patrón"))))</f>
        <v/>
      </c>
      <c r="I87" s="120" t="e">
        <f aca="false">IF('conversion datos'!B77="","",'conversion datos'!B77)</f>
        <v>#VALUE!</v>
      </c>
      <c r="J87" s="121" t="str">
        <f aca="false">IF('conversion datos'!C77="","",'conversion datos'!C77)</f>
        <v/>
      </c>
      <c r="K87" s="122"/>
      <c r="L87" s="151"/>
      <c r="M87" s="151"/>
      <c r="N87" s="141"/>
      <c r="O87" s="123" t="str">
        <f aca="false">IF('conversion datos'!F77="","",'conversion datos'!F77)</f>
        <v/>
      </c>
      <c r="P87" s="124" t="str">
        <f aca="false">IF($H87="","",+O87/1000)</f>
        <v/>
      </c>
      <c r="Q87" s="124" t="str">
        <f aca="false">IF($H87="","",(IF('conversion datos'!$L$30='Patrones LACOMET'!$D$3,P87*0.0254,IF('conversion datos'!$L$30='Patrones LACOMET'!$D$4,P87,"No existe el patrón"))))</f>
        <v/>
      </c>
      <c r="R87" s="124" t="str">
        <f aca="false">IF($H87="","",(IF('conversion datos'!$L$30='Patrones LACOMET'!$D$3,E87*25.4,IF('conversion datos'!$L$30='Patrones LACOMET'!$D$4,E87,"No existe el patrón"))))</f>
        <v/>
      </c>
      <c r="S87" s="124" t="str">
        <f aca="false">+IF($H87="","",((INCERTIDUMBRE!$M$8)/1000)/25.4)</f>
        <v/>
      </c>
      <c r="T87" s="124" t="str">
        <f aca="false">IF($H87="","",(+H87+Q87+S87))</f>
        <v/>
      </c>
      <c r="U87" s="125" t="str">
        <f aca="false">IF($H87="","",(T87/25.4))</f>
        <v/>
      </c>
      <c r="V87" s="97"/>
      <c r="W87" s="142" t="e">
        <f aca="false">IF('Datos de condiciones'!D79="","",'Datos de condiciones'!D79)</f>
        <v>#VALUE!</v>
      </c>
      <c r="X87" s="143" t="str">
        <f aca="false">+IF($H87="","",(W87-20))</f>
        <v/>
      </c>
      <c r="Y87" s="144" t="e">
        <f aca="false">IF('Datos de condiciones'!E79="","",'Datos de condiciones'!E79)</f>
        <v>#VALUE!</v>
      </c>
      <c r="Z87" s="145" t="str">
        <f aca="false">+IF($H87="","",Y87-20)</f>
        <v/>
      </c>
      <c r="AA87" s="146" t="str">
        <f aca="false">+IF($H87="","",ABS(X87-Z87))</f>
        <v/>
      </c>
      <c r="AB87" s="131"/>
      <c r="AC87" s="147" t="n">
        <f aca="false">+AC86+1</f>
        <v>76</v>
      </c>
      <c r="AD87" s="148" t="str">
        <f aca="false">+IF($H87="","",W87)</f>
        <v/>
      </c>
      <c r="AE87" s="145" t="str">
        <f aca="false">+IF($H87="","",Y87)</f>
        <v/>
      </c>
      <c r="AF87" s="146" t="str">
        <f aca="false">+IF($H87="","",+(ABS(AD87-AE87)))</f>
        <v/>
      </c>
      <c r="AG87" s="149" t="e">
        <f aca="false">IF('Datos de condiciones'!F79="","",'Datos de condiciones'!F79)</f>
        <v>#VALUE!</v>
      </c>
      <c r="AH87" s="135"/>
      <c r="AI87" s="147" t="n">
        <f aca="false">+AI86+1</f>
        <v>76</v>
      </c>
      <c r="AJ87" s="140"/>
      <c r="AK87" s="123" t="e">
        <f aca="false">IF('Datos de condiciones'!G79="","",'Datos de condiciones'!G79)</f>
        <v>#VALUE!</v>
      </c>
      <c r="AL87" s="150"/>
    </row>
    <row r="88" customFormat="false" ht="16.5" hidden="false" customHeight="false" outlineLevel="0" collapsed="false">
      <c r="A88" s="81" t="n">
        <f aca="false">+A87+1</f>
        <v>77</v>
      </c>
      <c r="B88" s="114" t="str">
        <f aca="false">J88</f>
        <v/>
      </c>
      <c r="C88" s="115" t="str">
        <f aca="false">IF(H88="","",H88)</f>
        <v/>
      </c>
      <c r="D88" s="116" t="str">
        <f aca="false">IF(B88="","",(IF('conversion datos'!$L$30='Patrones LACOMET'!$D$3,(VLOOKUP(B88,'BLOQUES PATRON (pulg) '!$D$5:$H$87,3,TRUE())),IF('conversion datos'!$L$30='Patrones LACOMET'!$D$4,((VLOOKUP(CALIBRACION!B88,'BLOQUES PATRON (mm)'!$D$5:$H$126,3,FALSE()))/1000),"No existe el patrón"))))</f>
        <v/>
      </c>
      <c r="E88" s="117" t="str">
        <f aca="false">IF(B88="","",(B88+D88))</f>
        <v/>
      </c>
      <c r="F88" s="118" t="str">
        <f aca="false">IF(B88="","",(IF('conversion datos'!$L$30='Patrones LACOMET'!$D$3,(VLOOKUP(B88,'BLOQUES PATRON (pulg) '!$D$5:$H$86,5,FALSE())),IF('conversion datos'!$L$30='Patrones LACOMET'!$D$4,((VLOOKUP(CALIBRACION!B88,'BLOQUES PATRON (mm)'!$D$5:$H$126,4,FALSE()))/1000000),"No existe el patrón"))))</f>
        <v/>
      </c>
      <c r="G88" s="118" t="str">
        <f aca="false">IF(D88="","",(IF('conversion datos'!$L$30='Patrones LACOMET'!$D$3,(D88*25.4),IF('conversion datos'!$L$30='Patrones LACOMET'!$D$4,D88,"No existe el patrón"))))</f>
        <v/>
      </c>
      <c r="H88" s="119" t="str">
        <f aca="false">IF(J88="","",(IF('conversion datos'!$L$30='Patrones LACOMET'!$D$3,(CALIBRACION!J88*25.4),IF('conversion datos'!$L$30='Patrones LACOMET'!$D$4,(CALIBRACION!J88),"No existe el patrón"))))</f>
        <v/>
      </c>
      <c r="I88" s="120" t="e">
        <f aca="false">IF('conversion datos'!B78="","",'conversion datos'!B78)</f>
        <v>#VALUE!</v>
      </c>
      <c r="J88" s="121" t="str">
        <f aca="false">IF('conversion datos'!C78="","",'conversion datos'!C78)</f>
        <v/>
      </c>
      <c r="K88" s="122"/>
      <c r="L88" s="151"/>
      <c r="M88" s="151"/>
      <c r="N88" s="141"/>
      <c r="O88" s="123" t="str">
        <f aca="false">IF('conversion datos'!F78="","",'conversion datos'!F78)</f>
        <v/>
      </c>
      <c r="P88" s="124" t="str">
        <f aca="false">IF($H88="","",+O88/1000)</f>
        <v/>
      </c>
      <c r="Q88" s="124" t="str">
        <f aca="false">IF($H88="","",(IF('conversion datos'!$L$30='Patrones LACOMET'!$D$3,P88*0.0254,IF('conversion datos'!$L$30='Patrones LACOMET'!$D$4,P88,"No existe el patrón"))))</f>
        <v/>
      </c>
      <c r="R88" s="124" t="str">
        <f aca="false">IF($H88="","",(IF('conversion datos'!$L$30='Patrones LACOMET'!$D$3,E88*25.4,IF('conversion datos'!$L$30='Patrones LACOMET'!$D$4,E88,"No existe el patrón"))))</f>
        <v/>
      </c>
      <c r="S88" s="124" t="str">
        <f aca="false">+IF($H88="","",((INCERTIDUMBRE!$M$8)/1000)/25.4)</f>
        <v/>
      </c>
      <c r="T88" s="124" t="str">
        <f aca="false">IF($H88="","",(+H88+Q88+S88))</f>
        <v/>
      </c>
      <c r="U88" s="125" t="str">
        <f aca="false">IF($H88="","",(T88/25.4))</f>
        <v/>
      </c>
      <c r="V88" s="97"/>
      <c r="W88" s="142" t="e">
        <f aca="false">IF('Datos de condiciones'!D80="","",'Datos de condiciones'!D80)</f>
        <v>#VALUE!</v>
      </c>
      <c r="X88" s="143" t="str">
        <f aca="false">+IF($H88="","",(W88-20))</f>
        <v/>
      </c>
      <c r="Y88" s="144" t="e">
        <f aca="false">IF('Datos de condiciones'!E80="","",'Datos de condiciones'!E80)</f>
        <v>#VALUE!</v>
      </c>
      <c r="Z88" s="145" t="str">
        <f aca="false">+IF($H88="","",Y88-20)</f>
        <v/>
      </c>
      <c r="AA88" s="146" t="str">
        <f aca="false">+IF($H88="","",ABS(X88-Z88))</f>
        <v/>
      </c>
      <c r="AB88" s="131"/>
      <c r="AC88" s="147" t="n">
        <f aca="false">+AC87+1</f>
        <v>77</v>
      </c>
      <c r="AD88" s="148" t="str">
        <f aca="false">+IF($H88="","",W88)</f>
        <v/>
      </c>
      <c r="AE88" s="145" t="str">
        <f aca="false">+IF($H88="","",Y88)</f>
        <v/>
      </c>
      <c r="AF88" s="146" t="str">
        <f aca="false">+IF($H88="","",+(ABS(AD88-AE88)))</f>
        <v/>
      </c>
      <c r="AG88" s="149" t="e">
        <f aca="false">IF('Datos de condiciones'!F80="","",'Datos de condiciones'!F80)</f>
        <v>#VALUE!</v>
      </c>
      <c r="AH88" s="135"/>
      <c r="AI88" s="147" t="n">
        <f aca="false">+AI87+1</f>
        <v>77</v>
      </c>
      <c r="AJ88" s="140"/>
      <c r="AK88" s="123" t="e">
        <f aca="false">IF('Datos de condiciones'!G80="","",'Datos de condiciones'!G80)</f>
        <v>#VALUE!</v>
      </c>
      <c r="AL88" s="150"/>
    </row>
    <row r="89" customFormat="false" ht="16.5" hidden="false" customHeight="false" outlineLevel="0" collapsed="false">
      <c r="A89" s="81" t="n">
        <f aca="false">+A88+1</f>
        <v>78</v>
      </c>
      <c r="B89" s="114" t="str">
        <f aca="false">J89</f>
        <v/>
      </c>
      <c r="C89" s="115" t="str">
        <f aca="false">IF(H89="","",H89)</f>
        <v/>
      </c>
      <c r="D89" s="116" t="str">
        <f aca="false">IF(B89="","",(IF('conversion datos'!$L$30='Patrones LACOMET'!$D$3,(VLOOKUP(B89,'BLOQUES PATRON (pulg) '!$D$5:$H$87,3,TRUE())),IF('conversion datos'!$L$30='Patrones LACOMET'!$D$4,((VLOOKUP(CALIBRACION!B89,'BLOQUES PATRON (mm)'!$D$5:$H$126,3,FALSE()))/1000),"No existe el patrón"))))</f>
        <v/>
      </c>
      <c r="E89" s="117" t="str">
        <f aca="false">IF(B89="","",(B89+D89))</f>
        <v/>
      </c>
      <c r="F89" s="118" t="str">
        <f aca="false">IF(B89="","",(IF('conversion datos'!$L$30='Patrones LACOMET'!$D$3,(VLOOKUP(B89,'BLOQUES PATRON (pulg) '!$D$5:$H$86,5,FALSE())),IF('conversion datos'!$L$30='Patrones LACOMET'!$D$4,((VLOOKUP(CALIBRACION!B89,'BLOQUES PATRON (mm)'!$D$5:$H$126,4,FALSE()))/1000000),"No existe el patrón"))))</f>
        <v/>
      </c>
      <c r="G89" s="118" t="str">
        <f aca="false">IF(D89="","",(IF('conversion datos'!$L$30='Patrones LACOMET'!$D$3,(D89*25.4),IF('conversion datos'!$L$30='Patrones LACOMET'!$D$4,D89,"No existe el patrón"))))</f>
        <v/>
      </c>
      <c r="H89" s="119" t="str">
        <f aca="false">IF(J89="","",(IF('conversion datos'!$L$30='Patrones LACOMET'!$D$3,(CALIBRACION!J89*25.4),IF('conversion datos'!$L$30='Patrones LACOMET'!$D$4,(CALIBRACION!J89),"No existe el patrón"))))</f>
        <v/>
      </c>
      <c r="I89" s="120" t="e">
        <f aca="false">IF('conversion datos'!B79="","",'conversion datos'!B79)</f>
        <v>#VALUE!</v>
      </c>
      <c r="J89" s="121" t="str">
        <f aca="false">IF('conversion datos'!C79="","",'conversion datos'!C79)</f>
        <v/>
      </c>
      <c r="K89" s="139"/>
      <c r="L89" s="151"/>
      <c r="M89" s="151"/>
      <c r="N89" s="141"/>
      <c r="O89" s="123" t="str">
        <f aca="false">IF('conversion datos'!F79="","",'conversion datos'!F79)</f>
        <v/>
      </c>
      <c r="P89" s="124" t="str">
        <f aca="false">IF($H89="","",+O89/1000)</f>
        <v/>
      </c>
      <c r="Q89" s="124" t="str">
        <f aca="false">IF($H89="","",(IF('conversion datos'!$L$30='Patrones LACOMET'!$D$3,P89*0.0254,IF('conversion datos'!$L$30='Patrones LACOMET'!$D$4,P89,"No existe el patrón"))))</f>
        <v/>
      </c>
      <c r="R89" s="124" t="str">
        <f aca="false">IF($H89="","",(IF('conversion datos'!$L$30='Patrones LACOMET'!$D$3,E89*25.4,IF('conversion datos'!$L$30='Patrones LACOMET'!$D$4,E89,"No existe el patrón"))))</f>
        <v/>
      </c>
      <c r="S89" s="124" t="str">
        <f aca="false">+IF($H89="","",((INCERTIDUMBRE!$M$8)/1000)/25.4)</f>
        <v/>
      </c>
      <c r="T89" s="124" t="str">
        <f aca="false">IF($H89="","",(+H89+Q89+S89))</f>
        <v/>
      </c>
      <c r="U89" s="125" t="str">
        <f aca="false">IF($H89="","",(T89/25.4))</f>
        <v/>
      </c>
      <c r="V89" s="97"/>
      <c r="W89" s="142" t="e">
        <f aca="false">IF('Datos de condiciones'!D81="","",'Datos de condiciones'!D81)</f>
        <v>#VALUE!</v>
      </c>
      <c r="X89" s="143" t="str">
        <f aca="false">+IF($H89="","",(W89-20))</f>
        <v/>
      </c>
      <c r="Y89" s="144" t="e">
        <f aca="false">IF('Datos de condiciones'!E81="","",'Datos de condiciones'!E81)</f>
        <v>#VALUE!</v>
      </c>
      <c r="Z89" s="145" t="str">
        <f aca="false">+IF($H89="","",Y89-20)</f>
        <v/>
      </c>
      <c r="AA89" s="146" t="str">
        <f aca="false">+IF($H89="","",ABS(X89-Z89))</f>
        <v/>
      </c>
      <c r="AB89" s="131"/>
      <c r="AC89" s="147" t="n">
        <f aca="false">+AC88+1</f>
        <v>78</v>
      </c>
      <c r="AD89" s="148" t="str">
        <f aca="false">+IF($H89="","",W89)</f>
        <v/>
      </c>
      <c r="AE89" s="145" t="str">
        <f aca="false">+IF($H89="","",Y89)</f>
        <v/>
      </c>
      <c r="AF89" s="146" t="str">
        <f aca="false">+IF($H89="","",+(ABS(AD89-AE89)))</f>
        <v/>
      </c>
      <c r="AG89" s="149" t="e">
        <f aca="false">IF('Datos de condiciones'!F81="","",'Datos de condiciones'!F81)</f>
        <v>#VALUE!</v>
      </c>
      <c r="AH89" s="135"/>
      <c r="AI89" s="147" t="n">
        <f aca="false">+AI88+1</f>
        <v>78</v>
      </c>
      <c r="AJ89" s="140"/>
      <c r="AK89" s="123" t="e">
        <f aca="false">IF('Datos de condiciones'!G81="","",'Datos de condiciones'!G81)</f>
        <v>#VALUE!</v>
      </c>
      <c r="AL89" s="150"/>
    </row>
    <row r="90" customFormat="false" ht="16.5" hidden="false" customHeight="false" outlineLevel="0" collapsed="false">
      <c r="A90" s="81" t="n">
        <f aca="false">+A89+1</f>
        <v>79</v>
      </c>
      <c r="B90" s="114" t="str">
        <f aca="false">J90</f>
        <v/>
      </c>
      <c r="C90" s="115" t="str">
        <f aca="false">IF(H90="","",H90)</f>
        <v/>
      </c>
      <c r="D90" s="116" t="str">
        <f aca="false">IF(B90="","",(IF('conversion datos'!$L$30='Patrones LACOMET'!$D$3,(VLOOKUP(B90,'BLOQUES PATRON (pulg) '!$D$5:$H$87,3,TRUE())),IF('conversion datos'!$L$30='Patrones LACOMET'!$D$4,((VLOOKUP(CALIBRACION!B90,'BLOQUES PATRON (mm)'!$D$5:$H$126,3,FALSE()))/1000),"No existe el patrón"))))</f>
        <v/>
      </c>
      <c r="E90" s="117" t="str">
        <f aca="false">IF(B90="","",(B90+D90))</f>
        <v/>
      </c>
      <c r="F90" s="118" t="str">
        <f aca="false">IF(B90="","",(IF('conversion datos'!$L$30='Patrones LACOMET'!$D$3,(VLOOKUP(B90,'BLOQUES PATRON (pulg) '!$D$5:$H$86,5,FALSE())),IF('conversion datos'!$L$30='Patrones LACOMET'!$D$4,((VLOOKUP(CALIBRACION!B90,'BLOQUES PATRON (mm)'!$D$5:$H$126,4,FALSE()))/1000000),"No existe el patrón"))))</f>
        <v/>
      </c>
      <c r="G90" s="118" t="str">
        <f aca="false">IF(D90="","",(IF('conversion datos'!$L$30='Patrones LACOMET'!$D$3,(D90*25.4),IF('conversion datos'!$L$30='Patrones LACOMET'!$D$4,D90,"No existe el patrón"))))</f>
        <v/>
      </c>
      <c r="H90" s="119" t="str">
        <f aca="false">IF(J90="","",(IF('conversion datos'!$L$30='Patrones LACOMET'!$D$3,(CALIBRACION!J90*25.4),IF('conversion datos'!$L$30='Patrones LACOMET'!$D$4,(CALIBRACION!J90),"No existe el patrón"))))</f>
        <v/>
      </c>
      <c r="I90" s="120" t="e">
        <f aca="false">IF('conversion datos'!B80="","",'conversion datos'!B80)</f>
        <v>#VALUE!</v>
      </c>
      <c r="J90" s="121" t="str">
        <f aca="false">IF('conversion datos'!C80="","",'conversion datos'!C80)</f>
        <v/>
      </c>
      <c r="K90" s="139"/>
      <c r="L90" s="151"/>
      <c r="M90" s="151"/>
      <c r="N90" s="141"/>
      <c r="O90" s="123" t="str">
        <f aca="false">IF('conversion datos'!F80="","",'conversion datos'!F80)</f>
        <v/>
      </c>
      <c r="P90" s="124" t="str">
        <f aca="false">IF($H90="","",+O90/1000)</f>
        <v/>
      </c>
      <c r="Q90" s="124" t="str">
        <f aca="false">IF($H90="","",(IF('conversion datos'!$L$30='Patrones LACOMET'!$D$3,P90*0.0254,IF('conversion datos'!$L$30='Patrones LACOMET'!$D$4,P90,"No existe el patrón"))))</f>
        <v/>
      </c>
      <c r="R90" s="124" t="str">
        <f aca="false">IF($H90="","",(IF('conversion datos'!$L$30='Patrones LACOMET'!$D$3,E90*25.4,IF('conversion datos'!$L$30='Patrones LACOMET'!$D$4,E90,"No existe el patrón"))))</f>
        <v/>
      </c>
      <c r="S90" s="124" t="str">
        <f aca="false">+IF($H90="","",((INCERTIDUMBRE!$M$8)/1000)/25.4)</f>
        <v/>
      </c>
      <c r="T90" s="124" t="str">
        <f aca="false">IF($H90="","",(+H90+Q90+S90))</f>
        <v/>
      </c>
      <c r="U90" s="125" t="str">
        <f aca="false">IF($H90="","",(T90/25.4))</f>
        <v/>
      </c>
      <c r="V90" s="97"/>
      <c r="W90" s="142" t="e">
        <f aca="false">IF('Datos de condiciones'!D82="","",'Datos de condiciones'!D82)</f>
        <v>#VALUE!</v>
      </c>
      <c r="X90" s="143" t="str">
        <f aca="false">+IF($H90="","",(W90-20))</f>
        <v/>
      </c>
      <c r="Y90" s="144" t="e">
        <f aca="false">IF('Datos de condiciones'!E82="","",'Datos de condiciones'!E82)</f>
        <v>#VALUE!</v>
      </c>
      <c r="Z90" s="145" t="str">
        <f aca="false">+IF($H90="","",Y90-20)</f>
        <v/>
      </c>
      <c r="AA90" s="146" t="str">
        <f aca="false">+IF($H90="","",ABS(X90-Z90))</f>
        <v/>
      </c>
      <c r="AB90" s="131"/>
      <c r="AC90" s="147" t="n">
        <f aca="false">+AC89+1</f>
        <v>79</v>
      </c>
      <c r="AD90" s="148" t="str">
        <f aca="false">+IF($H90="","",W90)</f>
        <v/>
      </c>
      <c r="AE90" s="145" t="str">
        <f aca="false">+IF($H90="","",Y90)</f>
        <v/>
      </c>
      <c r="AF90" s="146" t="str">
        <f aca="false">+IF($H90="","",+(ABS(AD90-AE90)))</f>
        <v/>
      </c>
      <c r="AG90" s="149" t="e">
        <f aca="false">IF('Datos de condiciones'!F82="","",'Datos de condiciones'!F82)</f>
        <v>#VALUE!</v>
      </c>
      <c r="AH90" s="135"/>
      <c r="AI90" s="147" t="n">
        <f aca="false">+AI89+1</f>
        <v>79</v>
      </c>
      <c r="AJ90" s="140"/>
      <c r="AK90" s="123" t="e">
        <f aca="false">IF('Datos de condiciones'!G82="","",'Datos de condiciones'!G82)</f>
        <v>#VALUE!</v>
      </c>
      <c r="AL90" s="150"/>
    </row>
    <row r="91" customFormat="false" ht="16.5" hidden="false" customHeight="false" outlineLevel="0" collapsed="false">
      <c r="A91" s="81" t="n">
        <f aca="false">+A90+1</f>
        <v>80</v>
      </c>
      <c r="B91" s="114" t="str">
        <f aca="false">J91</f>
        <v/>
      </c>
      <c r="C91" s="115" t="str">
        <f aca="false">IF(H91="","",H91)</f>
        <v/>
      </c>
      <c r="D91" s="116" t="str">
        <f aca="false">IF(B91="","",(IF('conversion datos'!$L$30='Patrones LACOMET'!$D$3,(VLOOKUP(B91,'BLOQUES PATRON (pulg) '!$D$5:$H$87,3,TRUE())),IF('conversion datos'!$L$30='Patrones LACOMET'!$D$4,((VLOOKUP(CALIBRACION!B91,'BLOQUES PATRON (mm)'!$D$5:$H$126,3,FALSE()))/1000),"No existe el patrón"))))</f>
        <v/>
      </c>
      <c r="E91" s="117" t="str">
        <f aca="false">IF(B91="","",(B91+D91))</f>
        <v/>
      </c>
      <c r="F91" s="118" t="str">
        <f aca="false">IF(B91="","",(IF('conversion datos'!$L$30='Patrones LACOMET'!$D$3,(VLOOKUP(B91,'BLOQUES PATRON (pulg) '!$D$5:$H$86,5,FALSE())),IF('conversion datos'!$L$30='Patrones LACOMET'!$D$4,((VLOOKUP(CALIBRACION!B91,'BLOQUES PATRON (mm)'!$D$5:$H$126,4,FALSE()))/1000000),"No existe el patrón"))))</f>
        <v/>
      </c>
      <c r="G91" s="118" t="str">
        <f aca="false">IF(D91="","",(IF('conversion datos'!$L$30='Patrones LACOMET'!$D$3,(D91*25.4),IF('conversion datos'!$L$30='Patrones LACOMET'!$D$4,D91,"No existe el patrón"))))</f>
        <v/>
      </c>
      <c r="H91" s="119" t="str">
        <f aca="false">IF(J91="","",(IF('conversion datos'!$L$30='Patrones LACOMET'!$D$3,(CALIBRACION!J91*25.4),IF('conversion datos'!$L$30='Patrones LACOMET'!$D$4,(CALIBRACION!J91),"No existe el patrón"))))</f>
        <v/>
      </c>
      <c r="I91" s="120" t="e">
        <f aca="false">IF('conversion datos'!B81="","",'conversion datos'!B81)</f>
        <v>#VALUE!</v>
      </c>
      <c r="J91" s="121" t="str">
        <f aca="false">IF('conversion datos'!C81="","",'conversion datos'!C81)</f>
        <v/>
      </c>
      <c r="K91" s="122"/>
      <c r="L91" s="151"/>
      <c r="M91" s="151"/>
      <c r="N91" s="141"/>
      <c r="O91" s="123" t="str">
        <f aca="false">IF('conversion datos'!F81="","",'conversion datos'!F81)</f>
        <v/>
      </c>
      <c r="P91" s="124" t="str">
        <f aca="false">IF($H91="","",+O91/1000)</f>
        <v/>
      </c>
      <c r="Q91" s="124" t="str">
        <f aca="false">IF($H91="","",(IF('conversion datos'!$L$30='Patrones LACOMET'!$D$3,P91*0.0254,IF('conversion datos'!$L$30='Patrones LACOMET'!$D$4,P91,"No existe el patrón"))))</f>
        <v/>
      </c>
      <c r="R91" s="124" t="str">
        <f aca="false">IF($H91="","",(IF('conversion datos'!$L$30='Patrones LACOMET'!$D$3,E91*25.4,IF('conversion datos'!$L$30='Patrones LACOMET'!$D$4,E91,"No existe el patrón"))))</f>
        <v/>
      </c>
      <c r="S91" s="124" t="str">
        <f aca="false">+IF($H91="","",((INCERTIDUMBRE!$M$8)/1000)/25.4)</f>
        <v/>
      </c>
      <c r="T91" s="124" t="str">
        <f aca="false">IF($H91="","",(+H91+Q91+S91))</f>
        <v/>
      </c>
      <c r="U91" s="125" t="str">
        <f aca="false">IF($H91="","",(T91/25.4))</f>
        <v/>
      </c>
      <c r="V91" s="97"/>
      <c r="W91" s="142" t="e">
        <f aca="false">IF('Datos de condiciones'!D83="","",'Datos de condiciones'!D83)</f>
        <v>#VALUE!</v>
      </c>
      <c r="X91" s="143" t="str">
        <f aca="false">+IF($H91="","",(W91-20))</f>
        <v/>
      </c>
      <c r="Y91" s="144" t="e">
        <f aca="false">IF('Datos de condiciones'!E83="","",'Datos de condiciones'!E83)</f>
        <v>#VALUE!</v>
      </c>
      <c r="Z91" s="145" t="str">
        <f aca="false">+IF($H91="","",Y91-20)</f>
        <v/>
      </c>
      <c r="AA91" s="146" t="str">
        <f aca="false">+IF($H91="","",ABS(X91-Z91))</f>
        <v/>
      </c>
      <c r="AB91" s="131"/>
      <c r="AC91" s="147" t="n">
        <f aca="false">+AC90+1</f>
        <v>80</v>
      </c>
      <c r="AD91" s="148" t="str">
        <f aca="false">+IF($H91="","",W91)</f>
        <v/>
      </c>
      <c r="AE91" s="145" t="str">
        <f aca="false">+IF($H91="","",Y91)</f>
        <v/>
      </c>
      <c r="AF91" s="146" t="str">
        <f aca="false">+IF($H91="","",+(ABS(AD91-AE91)))</f>
        <v/>
      </c>
      <c r="AG91" s="149" t="e">
        <f aca="false">IF('Datos de condiciones'!F83="","",'Datos de condiciones'!F83)</f>
        <v>#VALUE!</v>
      </c>
      <c r="AH91" s="135"/>
      <c r="AI91" s="147" t="n">
        <f aca="false">+AI90+1</f>
        <v>80</v>
      </c>
      <c r="AJ91" s="140"/>
      <c r="AK91" s="123" t="e">
        <f aca="false">IF('Datos de condiciones'!G83="","",'Datos de condiciones'!G83)</f>
        <v>#VALUE!</v>
      </c>
      <c r="AL91" s="150"/>
    </row>
    <row r="92" customFormat="false" ht="16.5" hidden="false" customHeight="false" outlineLevel="0" collapsed="false">
      <c r="A92" s="81" t="n">
        <f aca="false">+A91+1</f>
        <v>81</v>
      </c>
      <c r="B92" s="114" t="str">
        <f aca="false">J92</f>
        <v/>
      </c>
      <c r="C92" s="115" t="str">
        <f aca="false">IF(H92="","",H92)</f>
        <v/>
      </c>
      <c r="D92" s="116" t="str">
        <f aca="false">IF(B92="","",(IF('conversion datos'!$L$30='Patrones LACOMET'!$D$3,(VLOOKUP(B92,'BLOQUES PATRON (pulg) '!$D$5:$H$87,3,TRUE())),IF('conversion datos'!$L$30='Patrones LACOMET'!$D$4,((VLOOKUP(CALIBRACION!B92,'BLOQUES PATRON (mm)'!$D$5:$H$126,3,FALSE()))/1000),"No existe el patrón"))))</f>
        <v/>
      </c>
      <c r="E92" s="117" t="str">
        <f aca="false">IF(B92="","",(B92+D92))</f>
        <v/>
      </c>
      <c r="F92" s="118" t="str">
        <f aca="false">IF(B92="","",(IF('conversion datos'!$L$30='Patrones LACOMET'!$D$3,(VLOOKUP(B92,'BLOQUES PATRON (pulg) '!$D$5:$H$86,5,FALSE())),IF('conversion datos'!$L$30='Patrones LACOMET'!$D$4,((VLOOKUP(CALIBRACION!B92,'BLOQUES PATRON (mm)'!$D$5:$H$126,4,FALSE()))/1000000),"No existe el patrón"))))</f>
        <v/>
      </c>
      <c r="G92" s="118" t="str">
        <f aca="false">IF(D92="","",(IF('conversion datos'!$L$30='Patrones LACOMET'!$D$3,(D92*25.4),IF('conversion datos'!$L$30='Patrones LACOMET'!$D$4,D92,"No existe el patrón"))))</f>
        <v/>
      </c>
      <c r="H92" s="119" t="str">
        <f aca="false">IF(J92="","",(IF('conversion datos'!$L$30='Patrones LACOMET'!$D$3,(CALIBRACION!J92*25.4),IF('conversion datos'!$L$30='Patrones LACOMET'!$D$4,(CALIBRACION!J92),"No existe el patrón"))))</f>
        <v/>
      </c>
      <c r="I92" s="120" t="e">
        <f aca="false">IF('conversion datos'!B82="","",'conversion datos'!B82)</f>
        <v>#VALUE!</v>
      </c>
      <c r="J92" s="121" t="str">
        <f aca="false">IF('conversion datos'!C82="","",'conversion datos'!C82)</f>
        <v/>
      </c>
      <c r="K92" s="122"/>
      <c r="L92" s="151"/>
      <c r="M92" s="151"/>
      <c r="N92" s="141"/>
      <c r="O92" s="123" t="str">
        <f aca="false">IF('conversion datos'!F82="","",'conversion datos'!F82)</f>
        <v/>
      </c>
      <c r="P92" s="124" t="str">
        <f aca="false">IF($H92="","",+O92/1000)</f>
        <v/>
      </c>
      <c r="Q92" s="124" t="str">
        <f aca="false">IF($H92="","",(IF('conversion datos'!$L$30='Patrones LACOMET'!$D$3,P92*0.0254,IF('conversion datos'!$L$30='Patrones LACOMET'!$D$4,P92,"No existe el patrón"))))</f>
        <v/>
      </c>
      <c r="R92" s="124" t="str">
        <f aca="false">IF($H92="","",(IF('conversion datos'!$L$30='Patrones LACOMET'!$D$3,E92*25.4,IF('conversion datos'!$L$30='Patrones LACOMET'!$D$4,E92,"No existe el patrón"))))</f>
        <v/>
      </c>
      <c r="S92" s="124" t="str">
        <f aca="false">+IF($H92="","",((INCERTIDUMBRE!$M$8)/1000)/25.4)</f>
        <v/>
      </c>
      <c r="T92" s="124" t="str">
        <f aca="false">IF($H92="","",(+H92+Q92+S92))</f>
        <v/>
      </c>
      <c r="U92" s="125" t="str">
        <f aca="false">IF($H92="","",(T92/25.4))</f>
        <v/>
      </c>
      <c r="V92" s="97"/>
      <c r="W92" s="142" t="e">
        <f aca="false">IF('Datos de condiciones'!D84="","",'Datos de condiciones'!D84)</f>
        <v>#VALUE!</v>
      </c>
      <c r="X92" s="143" t="str">
        <f aca="false">+IF($H92="","",(W92-20))</f>
        <v/>
      </c>
      <c r="Y92" s="144" t="e">
        <f aca="false">IF('Datos de condiciones'!E84="","",'Datos de condiciones'!E84)</f>
        <v>#VALUE!</v>
      </c>
      <c r="Z92" s="145" t="str">
        <f aca="false">+IF($H92="","",Y92-20)</f>
        <v/>
      </c>
      <c r="AA92" s="146" t="str">
        <f aca="false">+IF($H92="","",ABS(X92-Z92))</f>
        <v/>
      </c>
      <c r="AB92" s="131"/>
      <c r="AC92" s="147" t="n">
        <f aca="false">+AC91+1</f>
        <v>81</v>
      </c>
      <c r="AD92" s="148" t="str">
        <f aca="false">+IF($H92="","",W92)</f>
        <v/>
      </c>
      <c r="AE92" s="145" t="str">
        <f aca="false">+IF($H92="","",Y92)</f>
        <v/>
      </c>
      <c r="AF92" s="146" t="str">
        <f aca="false">+IF($H92="","",+(ABS(AD92-AE92)))</f>
        <v/>
      </c>
      <c r="AG92" s="149" t="e">
        <f aca="false">IF('Datos de condiciones'!F84="","",'Datos de condiciones'!F84)</f>
        <v>#VALUE!</v>
      </c>
      <c r="AH92" s="135"/>
      <c r="AI92" s="147" t="n">
        <f aca="false">+AI91+1</f>
        <v>81</v>
      </c>
      <c r="AJ92" s="140"/>
      <c r="AK92" s="123" t="e">
        <f aca="false">IF('Datos de condiciones'!G84="","",'Datos de condiciones'!G84)</f>
        <v>#VALUE!</v>
      </c>
      <c r="AL92" s="150"/>
    </row>
    <row r="93" customFormat="false" ht="16.5" hidden="false" customHeight="false" outlineLevel="0" collapsed="false">
      <c r="A93" s="81" t="n">
        <f aca="false">+A92+1</f>
        <v>82</v>
      </c>
      <c r="B93" s="114" t="str">
        <f aca="false">J93</f>
        <v/>
      </c>
      <c r="C93" s="115" t="str">
        <f aca="false">IF(H93="","",H93)</f>
        <v/>
      </c>
      <c r="D93" s="116" t="str">
        <f aca="false">IF(B93="","",(IF('conversion datos'!$L$30='Patrones LACOMET'!$D$3,(VLOOKUP(B93,'BLOQUES PATRON (pulg) '!$D$5:$H$87,3,TRUE())),IF('conversion datos'!$L$30='Patrones LACOMET'!$D$4,((VLOOKUP(CALIBRACION!B93,'BLOQUES PATRON (mm)'!$D$5:$H$126,3,FALSE()))/1000),"No existe el patrón"))))</f>
        <v/>
      </c>
      <c r="E93" s="117" t="str">
        <f aca="false">IF(B93="","",(B93+D93))</f>
        <v/>
      </c>
      <c r="F93" s="118" t="str">
        <f aca="false">IF(B93="","",(IF('conversion datos'!$L$30='Patrones LACOMET'!$D$3,(VLOOKUP(B93,'BLOQUES PATRON (pulg) '!$D$5:$H$86,5,FALSE())),IF('conversion datos'!$L$30='Patrones LACOMET'!$D$4,((VLOOKUP(CALIBRACION!B93,'BLOQUES PATRON (mm)'!$D$5:$H$126,4,FALSE()))/1000000),"No existe el patrón"))))</f>
        <v/>
      </c>
      <c r="G93" s="118" t="str">
        <f aca="false">IF(D93="","",(IF('conversion datos'!$L$30='Patrones LACOMET'!$D$3,(D93*25.4),IF('conversion datos'!$L$30='Patrones LACOMET'!$D$4,D93,"No existe el patrón"))))</f>
        <v/>
      </c>
      <c r="H93" s="119" t="str">
        <f aca="false">IF(J93="","",(IF('conversion datos'!$L$30='Patrones LACOMET'!$D$3,(CALIBRACION!J93*25.4),IF('conversion datos'!$L$30='Patrones LACOMET'!$D$4,(CALIBRACION!J93),"No existe el patrón"))))</f>
        <v/>
      </c>
      <c r="I93" s="120" t="e">
        <f aca="false">IF('conversion datos'!B83="","",'conversion datos'!B83)</f>
        <v>#VALUE!</v>
      </c>
      <c r="J93" s="121" t="str">
        <f aca="false">IF('conversion datos'!C83="","",'conversion datos'!C83)</f>
        <v/>
      </c>
      <c r="K93" s="139"/>
      <c r="L93" s="154"/>
      <c r="M93" s="154"/>
      <c r="N93" s="155"/>
      <c r="O93" s="123" t="str">
        <f aca="false">IF('conversion datos'!F83="","",'conversion datos'!F83)</f>
        <v/>
      </c>
      <c r="P93" s="124" t="str">
        <f aca="false">IF($H93="","",+O93/1000)</f>
        <v/>
      </c>
      <c r="Q93" s="124" t="str">
        <f aca="false">IF($H93="","",(IF('conversion datos'!$L$30='Patrones LACOMET'!$D$3,P93*0.0254,IF('conversion datos'!$L$30='Patrones LACOMET'!$D$4,P93,"No existe el patrón"))))</f>
        <v/>
      </c>
      <c r="R93" s="124" t="str">
        <f aca="false">IF($H93="","",(IF('conversion datos'!$L$30='Patrones LACOMET'!$D$3,E93*25.4,IF('conversion datos'!$L$30='Patrones LACOMET'!$D$4,E93,"No existe el patrón"))))</f>
        <v/>
      </c>
      <c r="S93" s="124" t="str">
        <f aca="false">+IF($H93="","",((INCERTIDUMBRE!$M$8)/1000)/25.4)</f>
        <v/>
      </c>
      <c r="T93" s="124" t="str">
        <f aca="false">IF($H93="","",(+H93+Q93+S93))</f>
        <v/>
      </c>
      <c r="U93" s="125" t="str">
        <f aca="false">IF($H93="","",(T93/25.4))</f>
        <v/>
      </c>
      <c r="V93" s="97"/>
      <c r="W93" s="142" t="e">
        <f aca="false">IF('Datos de condiciones'!D85="","",'Datos de condiciones'!D85)</f>
        <v>#VALUE!</v>
      </c>
      <c r="X93" s="143" t="str">
        <f aca="false">+IF($H93="","",(W93-20))</f>
        <v/>
      </c>
      <c r="Y93" s="144" t="e">
        <f aca="false">IF('Datos de condiciones'!E85="","",'Datos de condiciones'!E85)</f>
        <v>#VALUE!</v>
      </c>
      <c r="Z93" s="145" t="str">
        <f aca="false">+IF($H93="","",Y93-20)</f>
        <v/>
      </c>
      <c r="AA93" s="146" t="str">
        <f aca="false">+IF($H93="","",ABS(X93-Z93))</f>
        <v/>
      </c>
      <c r="AB93" s="131"/>
      <c r="AC93" s="147" t="n">
        <f aca="false">+AC92+1</f>
        <v>82</v>
      </c>
      <c r="AD93" s="148" t="str">
        <f aca="false">+IF($H93="","",W93)</f>
        <v/>
      </c>
      <c r="AE93" s="145" t="str">
        <f aca="false">+IF($H93="","",Y93)</f>
        <v/>
      </c>
      <c r="AF93" s="146" t="str">
        <f aca="false">+IF($H93="","",+(ABS(AD93-AE93)))</f>
        <v/>
      </c>
      <c r="AG93" s="149" t="e">
        <f aca="false">IF('Datos de condiciones'!F85="","",'Datos de condiciones'!F85)</f>
        <v>#VALUE!</v>
      </c>
      <c r="AH93" s="135"/>
      <c r="AI93" s="147" t="n">
        <f aca="false">+AI92+1</f>
        <v>82</v>
      </c>
      <c r="AJ93" s="140"/>
      <c r="AK93" s="123" t="e">
        <f aca="false">IF('Datos de condiciones'!G85="","",'Datos de condiciones'!G85)</f>
        <v>#VALUE!</v>
      </c>
      <c r="AL93" s="150"/>
    </row>
    <row r="94" customFormat="false" ht="16.5" hidden="false" customHeight="false" outlineLevel="0" collapsed="false">
      <c r="A94" s="81" t="n">
        <f aca="false">+A93+1</f>
        <v>83</v>
      </c>
      <c r="B94" s="114" t="str">
        <f aca="false">J94</f>
        <v/>
      </c>
      <c r="C94" s="115" t="str">
        <f aca="false">IF(H94="","",H94)</f>
        <v/>
      </c>
      <c r="D94" s="116" t="str">
        <f aca="false">IF(B94="","",(IF('conversion datos'!$L$30='Patrones LACOMET'!$D$3,(VLOOKUP(B94,'BLOQUES PATRON (pulg) '!$D$5:$H$87,3,TRUE())),IF('conversion datos'!$L$30='Patrones LACOMET'!$D$4,((VLOOKUP(CALIBRACION!B94,'BLOQUES PATRON (mm)'!$D$5:$H$126,3,FALSE()))/1000),"No existe el patrón"))))</f>
        <v/>
      </c>
      <c r="E94" s="117" t="str">
        <f aca="false">IF(B94="","",(B94+D94))</f>
        <v/>
      </c>
      <c r="F94" s="118" t="str">
        <f aca="false">IF(B94="","",(IF('conversion datos'!$L$30='Patrones LACOMET'!$D$3,(VLOOKUP(B94,'BLOQUES PATRON (pulg) '!$D$5:$H$86,5,FALSE())),IF('conversion datos'!$L$30='Patrones LACOMET'!$D$4,((VLOOKUP(CALIBRACION!B94,'BLOQUES PATRON (mm)'!$D$5:$H$126,4,FALSE()))/1000000),"No existe el patrón"))))</f>
        <v/>
      </c>
      <c r="G94" s="118" t="str">
        <f aca="false">IF(D94="","",(IF('conversion datos'!$L$30='Patrones LACOMET'!$D$3,(D94*25.4),IF('conversion datos'!$L$30='Patrones LACOMET'!$D$4,D94,"No existe el patrón"))))</f>
        <v/>
      </c>
      <c r="H94" s="119" t="str">
        <f aca="false">IF(J94="","",(IF('conversion datos'!$L$30='Patrones LACOMET'!$D$3,(CALIBRACION!J94*25.4),IF('conversion datos'!$L$30='Patrones LACOMET'!$D$4,(CALIBRACION!J94),"No existe el patrón"))))</f>
        <v/>
      </c>
      <c r="I94" s="120" t="e">
        <f aca="false">IF('conversion datos'!B84="","",'conversion datos'!B84)</f>
        <v>#VALUE!</v>
      </c>
      <c r="J94" s="121" t="str">
        <f aca="false">IF('conversion datos'!C84="","",'conversion datos'!C84)</f>
        <v/>
      </c>
      <c r="K94" s="139"/>
      <c r="L94" s="154"/>
      <c r="M94" s="154"/>
      <c r="N94" s="155"/>
      <c r="O94" s="123" t="str">
        <f aca="false">IF('conversion datos'!F84="","",'conversion datos'!F84)</f>
        <v/>
      </c>
      <c r="P94" s="124" t="str">
        <f aca="false">IF($H94="","",+O94/1000)</f>
        <v/>
      </c>
      <c r="Q94" s="124" t="str">
        <f aca="false">IF($H94="","",(IF('conversion datos'!$L$30='Patrones LACOMET'!$D$3,P94*0.0254,IF('conversion datos'!$L$30='Patrones LACOMET'!$D$4,P94,"No existe el patrón"))))</f>
        <v/>
      </c>
      <c r="R94" s="124" t="str">
        <f aca="false">IF($H94="","",(IF('conversion datos'!$L$30='Patrones LACOMET'!$D$3,E94*25.4,IF('conversion datos'!$L$30='Patrones LACOMET'!$D$4,E94,"No existe el patrón"))))</f>
        <v/>
      </c>
      <c r="S94" s="124" t="str">
        <f aca="false">+IF($H94="","",((INCERTIDUMBRE!$M$8)/1000)/25.4)</f>
        <v/>
      </c>
      <c r="T94" s="124" t="str">
        <f aca="false">IF($H94="","",(+H94+Q94+S94))</f>
        <v/>
      </c>
      <c r="U94" s="125" t="str">
        <f aca="false">IF($H94="","",(T94/25.4))</f>
        <v/>
      </c>
      <c r="W94" s="142" t="e">
        <f aca="false">IF('Datos de condiciones'!D86="","",'Datos de condiciones'!D86)</f>
        <v>#VALUE!</v>
      </c>
      <c r="X94" s="143" t="str">
        <f aca="false">+IF($H94="","",(W94-20))</f>
        <v/>
      </c>
      <c r="Y94" s="144" t="e">
        <f aca="false">IF('Datos de condiciones'!E86="","",'Datos de condiciones'!E86)</f>
        <v>#VALUE!</v>
      </c>
      <c r="Z94" s="145" t="str">
        <f aca="false">+IF($H94="","",Y94-20)</f>
        <v/>
      </c>
      <c r="AA94" s="146" t="str">
        <f aca="false">+IF($H94="","",ABS(X94-Z94))</f>
        <v/>
      </c>
      <c r="AC94" s="147" t="n">
        <f aca="false">+AC93+1</f>
        <v>83</v>
      </c>
      <c r="AD94" s="148" t="str">
        <f aca="false">+IF($H94="","",W94)</f>
        <v/>
      </c>
      <c r="AE94" s="145" t="str">
        <f aca="false">+IF($H94="","",Y94)</f>
        <v/>
      </c>
      <c r="AF94" s="146" t="str">
        <f aca="false">+IF($H94="","",+(ABS(AD94-AE94)))</f>
        <v/>
      </c>
      <c r="AG94" s="149" t="e">
        <f aca="false">IF('Datos de condiciones'!F86="","",'Datos de condiciones'!F86)</f>
        <v>#VALUE!</v>
      </c>
      <c r="AH94" s="135"/>
      <c r="AI94" s="147" t="n">
        <f aca="false">+AI93+1</f>
        <v>83</v>
      </c>
      <c r="AJ94" s="140"/>
      <c r="AK94" s="123" t="e">
        <f aca="false">IF('Datos de condiciones'!G86="","",'Datos de condiciones'!G86)</f>
        <v>#VALUE!</v>
      </c>
      <c r="AL94" s="150"/>
    </row>
    <row r="95" customFormat="false" ht="16.5" hidden="false" customHeight="false" outlineLevel="0" collapsed="false">
      <c r="A95" s="81" t="n">
        <f aca="false">+A94+1</f>
        <v>84</v>
      </c>
      <c r="B95" s="114" t="str">
        <f aca="false">J95</f>
        <v/>
      </c>
      <c r="C95" s="115" t="str">
        <f aca="false">IF(H95="","",H95)</f>
        <v/>
      </c>
      <c r="D95" s="116" t="str">
        <f aca="false">IF(B95="","",(IF('conversion datos'!$L$30='Patrones LACOMET'!$D$3,(VLOOKUP(B95,'BLOQUES PATRON (pulg) '!$D$5:$H$87,3,TRUE())),IF('conversion datos'!$L$30='Patrones LACOMET'!$D$4,((VLOOKUP(CALIBRACION!B95,'BLOQUES PATRON (mm)'!$D$5:$H$126,3,FALSE()))/1000),"No existe el patrón"))))</f>
        <v/>
      </c>
      <c r="E95" s="117" t="str">
        <f aca="false">IF(B95="","",(B95+D95))</f>
        <v/>
      </c>
      <c r="F95" s="118" t="str">
        <f aca="false">IF(B95="","",(IF('conversion datos'!$L$30='Patrones LACOMET'!$D$3,(VLOOKUP(B95,'BLOQUES PATRON (pulg) '!$D$5:$H$86,5,FALSE())),IF('conversion datos'!$L$30='Patrones LACOMET'!$D$4,((VLOOKUP(CALIBRACION!B95,'BLOQUES PATRON (mm)'!$D$5:$H$126,4,FALSE()))/1000000),"No existe el patrón"))))</f>
        <v/>
      </c>
      <c r="G95" s="118" t="str">
        <f aca="false">IF(D95="","",(IF('conversion datos'!$L$30='Patrones LACOMET'!$D$3,(D95*25.4),IF('conversion datos'!$L$30='Patrones LACOMET'!$D$4,D95,"No existe el patrón"))))</f>
        <v/>
      </c>
      <c r="H95" s="119" t="str">
        <f aca="false">IF(J95="","",(IF('conversion datos'!$L$30='Patrones LACOMET'!$D$3,(CALIBRACION!J95*25.4),IF('conversion datos'!$L$30='Patrones LACOMET'!$D$4,(CALIBRACION!J95),"No existe el patrón"))))</f>
        <v/>
      </c>
      <c r="I95" s="120" t="e">
        <f aca="false">IF('conversion datos'!B85="","",'conversion datos'!B85)</f>
        <v>#VALUE!</v>
      </c>
      <c r="J95" s="121" t="str">
        <f aca="false">IF('conversion datos'!C85="","",'conversion datos'!C85)</f>
        <v/>
      </c>
      <c r="K95" s="139"/>
      <c r="L95" s="154"/>
      <c r="M95" s="154"/>
      <c r="N95" s="155"/>
      <c r="O95" s="123" t="str">
        <f aca="false">IF('conversion datos'!F85="","",'conversion datos'!F85)</f>
        <v/>
      </c>
      <c r="P95" s="124" t="str">
        <f aca="false">IF($H95="","",+O95/1000)</f>
        <v/>
      </c>
      <c r="Q95" s="124" t="str">
        <f aca="false">IF($H95="","",(IF('conversion datos'!$L$30='Patrones LACOMET'!$D$3,P95*0.0254,IF('conversion datos'!$L$30='Patrones LACOMET'!$D$4,P95,"No existe el patrón"))))</f>
        <v/>
      </c>
      <c r="R95" s="124" t="str">
        <f aca="false">IF($H95="","",(IF('conversion datos'!$L$30='Patrones LACOMET'!$D$3,E95*25.4,IF('conversion datos'!$L$30='Patrones LACOMET'!$D$4,E95,"No existe el patrón"))))</f>
        <v/>
      </c>
      <c r="S95" s="124" t="str">
        <f aca="false">+IF($H95="","",((INCERTIDUMBRE!$M$8)/1000)/25.4)</f>
        <v/>
      </c>
      <c r="T95" s="124" t="str">
        <f aca="false">IF($H95="","",(+H95+Q95+S95))</f>
        <v/>
      </c>
      <c r="U95" s="125" t="str">
        <f aca="false">IF($H95="","",(T95/25.4))</f>
        <v/>
      </c>
      <c r="W95" s="142" t="e">
        <f aca="false">IF('Datos de condiciones'!D87="","",'Datos de condiciones'!D87)</f>
        <v>#VALUE!</v>
      </c>
      <c r="X95" s="143" t="str">
        <f aca="false">+IF($H95="","",(W95-20))</f>
        <v/>
      </c>
      <c r="Y95" s="144" t="e">
        <f aca="false">IF('Datos de condiciones'!E87="","",'Datos de condiciones'!E87)</f>
        <v>#VALUE!</v>
      </c>
      <c r="Z95" s="145" t="str">
        <f aca="false">+IF($H95="","",Y95-20)</f>
        <v/>
      </c>
      <c r="AA95" s="146" t="str">
        <f aca="false">+IF($H95="","",ABS(X95-Z95))</f>
        <v/>
      </c>
      <c r="AC95" s="147" t="n">
        <f aca="false">+AC94+1</f>
        <v>84</v>
      </c>
      <c r="AD95" s="148" t="str">
        <f aca="false">+IF($H95="","",W95)</f>
        <v/>
      </c>
      <c r="AE95" s="145" t="str">
        <f aca="false">+IF($H95="","",Y95)</f>
        <v/>
      </c>
      <c r="AF95" s="146" t="str">
        <f aca="false">+IF($H95="","",+(ABS(AD95-AE95)))</f>
        <v/>
      </c>
      <c r="AG95" s="149" t="e">
        <f aca="false">IF('Datos de condiciones'!F87="","",'Datos de condiciones'!F87)</f>
        <v>#VALUE!</v>
      </c>
      <c r="AH95" s="135"/>
      <c r="AI95" s="147" t="n">
        <f aca="false">+AI94+1</f>
        <v>84</v>
      </c>
      <c r="AJ95" s="140"/>
      <c r="AK95" s="123" t="e">
        <f aca="false">IF('Datos de condiciones'!G87="","",'Datos de condiciones'!G87)</f>
        <v>#VALUE!</v>
      </c>
      <c r="AL95" s="150"/>
    </row>
    <row r="96" customFormat="false" ht="16.5" hidden="false" customHeight="false" outlineLevel="0" collapsed="false">
      <c r="A96" s="81" t="n">
        <f aca="false">+A95+1</f>
        <v>85</v>
      </c>
      <c r="B96" s="114" t="str">
        <f aca="false">J96</f>
        <v/>
      </c>
      <c r="C96" s="115" t="str">
        <f aca="false">IF(H96="","",H96)</f>
        <v/>
      </c>
      <c r="D96" s="116" t="str">
        <f aca="false">IF(B96="","",(IF('conversion datos'!$L$30='Patrones LACOMET'!$D$3,(VLOOKUP(B96,'BLOQUES PATRON (pulg) '!$D$5:$H$87,3,TRUE())),IF('conversion datos'!$L$30='Patrones LACOMET'!$D$4,((VLOOKUP(CALIBRACION!B96,'BLOQUES PATRON (mm)'!$D$5:$H$126,3,FALSE()))/1000),"No existe el patrón"))))</f>
        <v/>
      </c>
      <c r="E96" s="117" t="str">
        <f aca="false">IF(B96="","",(B96+D96))</f>
        <v/>
      </c>
      <c r="F96" s="118" t="str">
        <f aca="false">IF(B96="","",(IF('conversion datos'!$L$30='Patrones LACOMET'!$D$3,(VLOOKUP(B96,'BLOQUES PATRON (pulg) '!$D$5:$H$86,5,FALSE())),IF('conversion datos'!$L$30='Patrones LACOMET'!$D$4,((VLOOKUP(CALIBRACION!B96,'BLOQUES PATRON (mm)'!$D$5:$H$126,4,FALSE()))/1000000),"No existe el patrón"))))</f>
        <v/>
      </c>
      <c r="G96" s="118" t="str">
        <f aca="false">IF(D96="","",(IF('conversion datos'!$L$30='Patrones LACOMET'!$D$3,(D96*25.4),IF('conversion datos'!$L$30='Patrones LACOMET'!$D$4,D96,"No existe el patrón"))))</f>
        <v/>
      </c>
      <c r="H96" s="119" t="str">
        <f aca="false">IF(J96="","",(IF('conversion datos'!$L$30='Patrones LACOMET'!$D$3,(CALIBRACION!J96*25.4),IF('conversion datos'!$L$30='Patrones LACOMET'!$D$4,(CALIBRACION!J96),"No existe el patrón"))))</f>
        <v/>
      </c>
      <c r="I96" s="120" t="e">
        <f aca="false">IF('conversion datos'!B86="","",'conversion datos'!B86)</f>
        <v>#VALUE!</v>
      </c>
      <c r="J96" s="121" t="str">
        <f aca="false">IF('conversion datos'!C86="","",'conversion datos'!C86)</f>
        <v/>
      </c>
      <c r="K96" s="139"/>
      <c r="L96" s="154"/>
      <c r="M96" s="154"/>
      <c r="N96" s="155"/>
      <c r="O96" s="123" t="str">
        <f aca="false">IF('conversion datos'!F86="","",'conversion datos'!F86)</f>
        <v/>
      </c>
      <c r="P96" s="124" t="str">
        <f aca="false">IF($H96="","",+O96/1000)</f>
        <v/>
      </c>
      <c r="Q96" s="124" t="str">
        <f aca="false">IF($H96="","",(IF('conversion datos'!$L$30='Patrones LACOMET'!$D$3,P96*0.0254,IF('conversion datos'!$L$30='Patrones LACOMET'!$D$4,P96,"No existe el patrón"))))</f>
        <v/>
      </c>
      <c r="R96" s="124" t="str">
        <f aca="false">IF($H96="","",(IF('conversion datos'!$L$30='Patrones LACOMET'!$D$3,E96*25.4,IF('conversion datos'!$L$30='Patrones LACOMET'!$D$4,E96,"No existe el patrón"))))</f>
        <v/>
      </c>
      <c r="S96" s="124" t="str">
        <f aca="false">+IF($H96="","",((INCERTIDUMBRE!$M$8)/1000)/25.4)</f>
        <v/>
      </c>
      <c r="T96" s="124" t="str">
        <f aca="false">IF($H96="","",(+H96+Q96+S96))</f>
        <v/>
      </c>
      <c r="U96" s="125" t="str">
        <f aca="false">IF($H96="","",(T96/25.4))</f>
        <v/>
      </c>
      <c r="W96" s="142" t="e">
        <f aca="false">IF('Datos de condiciones'!D88="","",'Datos de condiciones'!D88)</f>
        <v>#VALUE!</v>
      </c>
      <c r="X96" s="143" t="str">
        <f aca="false">+IF($H96="","",(W96-20))</f>
        <v/>
      </c>
      <c r="Y96" s="144" t="e">
        <f aca="false">IF('Datos de condiciones'!E88="","",'Datos de condiciones'!E88)</f>
        <v>#VALUE!</v>
      </c>
      <c r="Z96" s="145" t="str">
        <f aca="false">+IF($H96="","",Y96-20)</f>
        <v/>
      </c>
      <c r="AA96" s="146" t="str">
        <f aca="false">+IF($H96="","",ABS(X96-Z96))</f>
        <v/>
      </c>
      <c r="AC96" s="147" t="n">
        <f aca="false">+AC95+1</f>
        <v>85</v>
      </c>
      <c r="AD96" s="148" t="str">
        <f aca="false">+IF($H96="","",W96)</f>
        <v/>
      </c>
      <c r="AE96" s="145" t="str">
        <f aca="false">+IF($H96="","",Y96)</f>
        <v/>
      </c>
      <c r="AF96" s="146" t="str">
        <f aca="false">+IF($H96="","",+(ABS(AD96-AE96)))</f>
        <v/>
      </c>
      <c r="AG96" s="149" t="e">
        <f aca="false">IF('Datos de condiciones'!F88="","",'Datos de condiciones'!F88)</f>
        <v>#VALUE!</v>
      </c>
      <c r="AH96" s="135"/>
      <c r="AI96" s="147" t="n">
        <f aca="false">+AI95+1</f>
        <v>85</v>
      </c>
      <c r="AJ96" s="140"/>
      <c r="AK96" s="123" t="e">
        <f aca="false">IF('Datos de condiciones'!G88="","",'Datos de condiciones'!G88)</f>
        <v>#VALUE!</v>
      </c>
      <c r="AL96" s="150"/>
    </row>
    <row r="97" customFormat="false" ht="16.5" hidden="false" customHeight="false" outlineLevel="0" collapsed="false">
      <c r="A97" s="81" t="n">
        <f aca="false">+A96+1</f>
        <v>86</v>
      </c>
      <c r="B97" s="114" t="str">
        <f aca="false">J97</f>
        <v/>
      </c>
      <c r="C97" s="115" t="str">
        <f aca="false">IF(H97="","",H97)</f>
        <v/>
      </c>
      <c r="D97" s="116" t="str">
        <f aca="false">IF(B97="","",(IF('conversion datos'!$L$30='Patrones LACOMET'!$D$3,(VLOOKUP(B97,'BLOQUES PATRON (pulg) '!$D$5:$H$87,3,TRUE())),IF('conversion datos'!$L$30='Patrones LACOMET'!$D$4,((VLOOKUP(CALIBRACION!B97,'BLOQUES PATRON (mm)'!$D$5:$H$126,3,FALSE()))/1000),"No existe el patrón"))))</f>
        <v/>
      </c>
      <c r="E97" s="117" t="str">
        <f aca="false">IF(B97="","",(B97+D97))</f>
        <v/>
      </c>
      <c r="F97" s="118" t="str">
        <f aca="false">IF(B97="","",(IF('conversion datos'!$L$30='Patrones LACOMET'!$D$3,(VLOOKUP(B97,'BLOQUES PATRON (pulg) '!$D$5:$H$86,5,FALSE())),IF('conversion datos'!$L$30='Patrones LACOMET'!$D$4,((VLOOKUP(CALIBRACION!B97,'BLOQUES PATRON (mm)'!$D$5:$H$126,4,FALSE()))/1000000),"No existe el patrón"))))</f>
        <v/>
      </c>
      <c r="G97" s="118" t="str">
        <f aca="false">IF(D97="","",(IF('conversion datos'!$L$30='Patrones LACOMET'!$D$3,(D97*25.4),IF('conversion datos'!$L$30='Patrones LACOMET'!$D$4,D97,"No existe el patrón"))))</f>
        <v/>
      </c>
      <c r="H97" s="119" t="str">
        <f aca="false">IF(J97="","",(IF('conversion datos'!$L$30='Patrones LACOMET'!$D$3,(CALIBRACION!J97*25.4),IF('conversion datos'!$L$30='Patrones LACOMET'!$D$4,(CALIBRACION!J97),"No existe el patrón"))))</f>
        <v/>
      </c>
      <c r="I97" s="120" t="e">
        <f aca="false">IF('conversion datos'!B87="","",'conversion datos'!B87)</f>
        <v>#VALUE!</v>
      </c>
      <c r="J97" s="121" t="str">
        <f aca="false">IF('conversion datos'!C87="","",'conversion datos'!C87)</f>
        <v/>
      </c>
      <c r="K97" s="139"/>
      <c r="L97" s="154"/>
      <c r="M97" s="154"/>
      <c r="N97" s="155"/>
      <c r="O97" s="123" t="str">
        <f aca="false">IF('conversion datos'!F87="","",'conversion datos'!F87)</f>
        <v/>
      </c>
      <c r="P97" s="124" t="str">
        <f aca="false">IF($H97="","",+O97/1000)</f>
        <v/>
      </c>
      <c r="Q97" s="124" t="str">
        <f aca="false">IF($H97="","",(IF('conversion datos'!$L$30='Patrones LACOMET'!$D$3,P97*0.0254,IF('conversion datos'!$L$30='Patrones LACOMET'!$D$4,P97,"No existe el patrón"))))</f>
        <v/>
      </c>
      <c r="R97" s="124" t="str">
        <f aca="false">IF($H97="","",(IF('conversion datos'!$L$30='Patrones LACOMET'!$D$3,E97*25.4,IF('conversion datos'!$L$30='Patrones LACOMET'!$D$4,E97,"No existe el patrón"))))</f>
        <v/>
      </c>
      <c r="S97" s="124" t="str">
        <f aca="false">+IF($H97="","",((INCERTIDUMBRE!$M$8)/1000)/25.4)</f>
        <v/>
      </c>
      <c r="T97" s="124" t="str">
        <f aca="false">IF($H97="","",(+H97+Q97+S97))</f>
        <v/>
      </c>
      <c r="U97" s="125" t="str">
        <f aca="false">IF($H97="","",(T97/25.4))</f>
        <v/>
      </c>
      <c r="W97" s="142" t="e">
        <f aca="false">IF('Datos de condiciones'!D89="","",'Datos de condiciones'!D89)</f>
        <v>#VALUE!</v>
      </c>
      <c r="X97" s="143" t="str">
        <f aca="false">+IF($H97="","",(W97-20))</f>
        <v/>
      </c>
      <c r="Y97" s="144" t="e">
        <f aca="false">IF('Datos de condiciones'!E89="","",'Datos de condiciones'!E89)</f>
        <v>#VALUE!</v>
      </c>
      <c r="Z97" s="145" t="str">
        <f aca="false">+IF($H97="","",Y97-20)</f>
        <v/>
      </c>
      <c r="AA97" s="146" t="str">
        <f aca="false">+IF($H97="","",ABS(X97-Z97))</f>
        <v/>
      </c>
      <c r="AC97" s="147" t="n">
        <f aca="false">+AC96+1</f>
        <v>86</v>
      </c>
      <c r="AD97" s="148" t="str">
        <f aca="false">+IF($H97="","",W97)</f>
        <v/>
      </c>
      <c r="AE97" s="145" t="str">
        <f aca="false">+IF($H97="","",Y97)</f>
        <v/>
      </c>
      <c r="AF97" s="146" t="str">
        <f aca="false">+IF($H97="","",+(ABS(AD97-AE97)))</f>
        <v/>
      </c>
      <c r="AG97" s="149" t="e">
        <f aca="false">IF('Datos de condiciones'!F89="","",'Datos de condiciones'!F89)</f>
        <v>#VALUE!</v>
      </c>
      <c r="AH97" s="135"/>
      <c r="AI97" s="147" t="n">
        <f aca="false">+AI96+1</f>
        <v>86</v>
      </c>
      <c r="AJ97" s="140"/>
      <c r="AK97" s="123" t="e">
        <f aca="false">IF('Datos de condiciones'!G89="","",'Datos de condiciones'!G89)</f>
        <v>#VALUE!</v>
      </c>
      <c r="AL97" s="150"/>
    </row>
    <row r="98" customFormat="false" ht="16.5" hidden="false" customHeight="false" outlineLevel="0" collapsed="false">
      <c r="A98" s="81" t="n">
        <f aca="false">+A97+1</f>
        <v>87</v>
      </c>
      <c r="B98" s="114" t="str">
        <f aca="false">J98</f>
        <v/>
      </c>
      <c r="C98" s="115" t="str">
        <f aca="false">IF(H98="","",H98)</f>
        <v/>
      </c>
      <c r="D98" s="116" t="str">
        <f aca="false">IF(B98="","",(IF('conversion datos'!$L$30='Patrones LACOMET'!$D$3,(VLOOKUP(B98,'BLOQUES PATRON (pulg) '!$D$5:$H$87,3,TRUE())),IF('conversion datos'!$L$30='Patrones LACOMET'!$D$4,((VLOOKUP(CALIBRACION!B98,'BLOQUES PATRON (mm)'!$D$5:$H$126,3,FALSE()))/1000),"No existe el patrón"))))</f>
        <v/>
      </c>
      <c r="E98" s="117" t="str">
        <f aca="false">IF(B98="","",(B98+D98))</f>
        <v/>
      </c>
      <c r="F98" s="118" t="str">
        <f aca="false">IF(B98="","",(IF('conversion datos'!$L$30='Patrones LACOMET'!$D$3,(VLOOKUP(B98,'BLOQUES PATRON (pulg) '!$D$5:$H$86,5,FALSE())),IF('conversion datos'!$L$30='Patrones LACOMET'!$D$4,((VLOOKUP(CALIBRACION!B98,'BLOQUES PATRON (mm)'!$D$5:$H$126,4,FALSE()))/1000000),"No existe el patrón"))))</f>
        <v/>
      </c>
      <c r="G98" s="118" t="str">
        <f aca="false">IF(D98="","",(IF('conversion datos'!$L$30='Patrones LACOMET'!$D$3,(D98*25.4),IF('conversion datos'!$L$30='Patrones LACOMET'!$D$4,D98,"No existe el patrón"))))</f>
        <v/>
      </c>
      <c r="H98" s="119" t="str">
        <f aca="false">IF(J98="","",(IF('conversion datos'!$L$30='Patrones LACOMET'!$D$3,(CALIBRACION!J98*25.4),IF('conversion datos'!$L$30='Patrones LACOMET'!$D$4,(CALIBRACION!J98),"No existe el patrón"))))</f>
        <v/>
      </c>
      <c r="I98" s="120" t="e">
        <f aca="false">IF('conversion datos'!B88="","",'conversion datos'!B88)</f>
        <v>#VALUE!</v>
      </c>
      <c r="J98" s="121" t="str">
        <f aca="false">IF('conversion datos'!C88="","",'conversion datos'!C88)</f>
        <v/>
      </c>
      <c r="K98" s="139"/>
      <c r="L98" s="154"/>
      <c r="M98" s="154"/>
      <c r="N98" s="155"/>
      <c r="O98" s="123" t="str">
        <f aca="false">IF('conversion datos'!F88="","",'conversion datos'!F88)</f>
        <v/>
      </c>
      <c r="P98" s="124" t="str">
        <f aca="false">IF($H98="","",+O98/1000)</f>
        <v/>
      </c>
      <c r="Q98" s="124" t="str">
        <f aca="false">IF($H98="","",(IF('conversion datos'!$L$30='Patrones LACOMET'!$D$3,P98*0.0254,IF('conversion datos'!$L$30='Patrones LACOMET'!$D$4,P98,"No existe el patrón"))))</f>
        <v/>
      </c>
      <c r="R98" s="124" t="str">
        <f aca="false">IF($H98="","",(IF('conversion datos'!$L$30='Patrones LACOMET'!$D$3,E98*25.4,IF('conversion datos'!$L$30='Patrones LACOMET'!$D$4,E98,"No existe el patrón"))))</f>
        <v/>
      </c>
      <c r="S98" s="124" t="str">
        <f aca="false">+IF($H98="","",((INCERTIDUMBRE!$M$8)/1000)/25.4)</f>
        <v/>
      </c>
      <c r="T98" s="124" t="str">
        <f aca="false">IF($H98="","",(+H98+Q98+S98))</f>
        <v/>
      </c>
      <c r="U98" s="125" t="str">
        <f aca="false">IF($H98="","",(T98/25.4))</f>
        <v/>
      </c>
      <c r="W98" s="142" t="e">
        <f aca="false">IF('Datos de condiciones'!D90="","",'Datos de condiciones'!D90)</f>
        <v>#VALUE!</v>
      </c>
      <c r="X98" s="143" t="str">
        <f aca="false">+IF($H98="","",(W98-20))</f>
        <v/>
      </c>
      <c r="Y98" s="144" t="e">
        <f aca="false">IF('Datos de condiciones'!E90="","",'Datos de condiciones'!E90)</f>
        <v>#VALUE!</v>
      </c>
      <c r="Z98" s="145" t="str">
        <f aca="false">+IF($H98="","",Y98-20)</f>
        <v/>
      </c>
      <c r="AA98" s="146" t="str">
        <f aca="false">+IF($H98="","",ABS(X98-Z98))</f>
        <v/>
      </c>
      <c r="AC98" s="147" t="n">
        <f aca="false">+AC97+1</f>
        <v>87</v>
      </c>
      <c r="AD98" s="148" t="str">
        <f aca="false">+IF($H98="","",W98)</f>
        <v/>
      </c>
      <c r="AE98" s="145" t="str">
        <f aca="false">+IF($H98="","",Y98)</f>
        <v/>
      </c>
      <c r="AF98" s="146" t="str">
        <f aca="false">+IF($H98="","",+(ABS(AD98-AE98)))</f>
        <v/>
      </c>
      <c r="AG98" s="149" t="e">
        <f aca="false">IF('Datos de condiciones'!F90="","",'Datos de condiciones'!F90)</f>
        <v>#VALUE!</v>
      </c>
      <c r="AH98" s="135"/>
      <c r="AI98" s="147" t="n">
        <f aca="false">+AI97+1</f>
        <v>87</v>
      </c>
      <c r="AJ98" s="140"/>
      <c r="AK98" s="123" t="e">
        <f aca="false">IF('Datos de condiciones'!G90="","",'Datos de condiciones'!G90)</f>
        <v>#VALUE!</v>
      </c>
      <c r="AL98" s="150"/>
    </row>
    <row r="99" customFormat="false" ht="16.5" hidden="false" customHeight="false" outlineLevel="0" collapsed="false">
      <c r="A99" s="81" t="n">
        <f aca="false">+A98+1</f>
        <v>88</v>
      </c>
      <c r="B99" s="114" t="str">
        <f aca="false">J99</f>
        <v/>
      </c>
      <c r="C99" s="115" t="str">
        <f aca="false">IF(H99="","",H99)</f>
        <v/>
      </c>
      <c r="D99" s="116" t="str">
        <f aca="false">IF(B99="","",(IF('conversion datos'!$L$30='Patrones LACOMET'!$D$3,(VLOOKUP(B99,'BLOQUES PATRON (pulg) '!$D$5:$H$87,3,TRUE())),IF('conversion datos'!$L$30='Patrones LACOMET'!$D$4,((VLOOKUP(CALIBRACION!B99,'BLOQUES PATRON (mm)'!$D$5:$H$126,3,FALSE()))/1000),"No existe el patrón"))))</f>
        <v/>
      </c>
      <c r="E99" s="117" t="str">
        <f aca="false">IF(B99="","",(B99+D99))</f>
        <v/>
      </c>
      <c r="F99" s="118" t="str">
        <f aca="false">IF(B99="","",(IF('conversion datos'!$L$30='Patrones LACOMET'!$D$3,(VLOOKUP(B99,'BLOQUES PATRON (pulg) '!$D$5:$H$86,5,FALSE())),IF('conversion datos'!$L$30='Patrones LACOMET'!$D$4,((VLOOKUP(CALIBRACION!B99,'BLOQUES PATRON (mm)'!$D$5:$H$126,4,FALSE()))/1000000),"No existe el patrón"))))</f>
        <v/>
      </c>
      <c r="G99" s="118" t="str">
        <f aca="false">IF(D99="","",(IF('conversion datos'!$L$30='Patrones LACOMET'!$D$3,(D99*25.4),IF('conversion datos'!$L$30='Patrones LACOMET'!$D$4,D99,"No existe el patrón"))))</f>
        <v/>
      </c>
      <c r="H99" s="119" t="str">
        <f aca="false">IF(J99="","",(IF('conversion datos'!$L$30='Patrones LACOMET'!$D$3,(CALIBRACION!J99*25.4),IF('conversion datos'!$L$30='Patrones LACOMET'!$D$4,(CALIBRACION!J99),"No existe el patrón"))))</f>
        <v/>
      </c>
      <c r="I99" s="120" t="e">
        <f aca="false">IF('conversion datos'!B89="","",'conversion datos'!B89)</f>
        <v>#VALUE!</v>
      </c>
      <c r="J99" s="121" t="str">
        <f aca="false">IF('conversion datos'!C89="","",'conversion datos'!C89)</f>
        <v/>
      </c>
      <c r="K99" s="139"/>
      <c r="L99" s="154"/>
      <c r="M99" s="154"/>
      <c r="N99" s="155"/>
      <c r="O99" s="123" t="str">
        <f aca="false">IF('conversion datos'!F89="","",'conversion datos'!F89)</f>
        <v/>
      </c>
      <c r="P99" s="124" t="str">
        <f aca="false">IF($H99="","",+O99/1000)</f>
        <v/>
      </c>
      <c r="Q99" s="124" t="str">
        <f aca="false">IF($H99="","",(IF('conversion datos'!$L$30='Patrones LACOMET'!$D$3,P99*0.0254,IF('conversion datos'!$L$30='Patrones LACOMET'!$D$4,P99,"No existe el patrón"))))</f>
        <v/>
      </c>
      <c r="R99" s="124" t="str">
        <f aca="false">IF($H99="","",(IF('conversion datos'!$L$30='Patrones LACOMET'!$D$3,E99*25.4,IF('conversion datos'!$L$30='Patrones LACOMET'!$D$4,E99,"No existe el patrón"))))</f>
        <v/>
      </c>
      <c r="S99" s="124" t="str">
        <f aca="false">+IF($H99="","",((INCERTIDUMBRE!$M$8)/1000)/25.4)</f>
        <v/>
      </c>
      <c r="T99" s="124" t="str">
        <f aca="false">IF($H99="","",(+H99+Q99+S99))</f>
        <v/>
      </c>
      <c r="U99" s="125" t="str">
        <f aca="false">IF($H99="","",(T99/25.4))</f>
        <v/>
      </c>
      <c r="W99" s="142" t="e">
        <f aca="false">IF('Datos de condiciones'!D91="","",'Datos de condiciones'!D91)</f>
        <v>#VALUE!</v>
      </c>
      <c r="X99" s="143" t="str">
        <f aca="false">+IF($H99="","",(W99-20))</f>
        <v/>
      </c>
      <c r="Y99" s="144" t="e">
        <f aca="false">IF('Datos de condiciones'!E91="","",'Datos de condiciones'!E91)</f>
        <v>#VALUE!</v>
      </c>
      <c r="Z99" s="145" t="str">
        <f aca="false">+IF($H99="","",Y99-20)</f>
        <v/>
      </c>
      <c r="AA99" s="146" t="str">
        <f aca="false">+IF($H99="","",ABS(X99-Z99))</f>
        <v/>
      </c>
      <c r="AC99" s="147" t="n">
        <f aca="false">+AC98+1</f>
        <v>88</v>
      </c>
      <c r="AD99" s="148" t="str">
        <f aca="false">+IF($H99="","",W99)</f>
        <v/>
      </c>
      <c r="AE99" s="145" t="str">
        <f aca="false">+IF($H99="","",Y99)</f>
        <v/>
      </c>
      <c r="AF99" s="146" t="str">
        <f aca="false">+IF($H99="","",+(ABS(AD99-AE99)))</f>
        <v/>
      </c>
      <c r="AG99" s="149" t="e">
        <f aca="false">IF('Datos de condiciones'!F91="","",'Datos de condiciones'!F91)</f>
        <v>#VALUE!</v>
      </c>
      <c r="AH99" s="135"/>
      <c r="AI99" s="147" t="n">
        <f aca="false">+AI98+1</f>
        <v>88</v>
      </c>
      <c r="AJ99" s="140"/>
      <c r="AK99" s="123" t="e">
        <f aca="false">IF('Datos de condiciones'!G91="","",'Datos de condiciones'!G91)</f>
        <v>#VALUE!</v>
      </c>
      <c r="AL99" s="150"/>
    </row>
    <row r="100" customFormat="false" ht="16.5" hidden="false" customHeight="false" outlineLevel="0" collapsed="false">
      <c r="A100" s="81" t="n">
        <f aca="false">+A99+1</f>
        <v>89</v>
      </c>
      <c r="B100" s="114" t="str">
        <f aca="false">J100</f>
        <v/>
      </c>
      <c r="C100" s="115" t="str">
        <f aca="false">IF(H100="","",H100)</f>
        <v/>
      </c>
      <c r="D100" s="116" t="str">
        <f aca="false">IF(B100="","",(IF('conversion datos'!$L$30='Patrones LACOMET'!$D$3,(VLOOKUP(B100,'BLOQUES PATRON (pulg) '!$D$5:$H$87,3,TRUE())),IF('conversion datos'!$L$30='Patrones LACOMET'!$D$4,((VLOOKUP(CALIBRACION!B100,'BLOQUES PATRON (mm)'!$D$5:$H$126,3,FALSE()))/1000),"No existe el patrón"))))</f>
        <v/>
      </c>
      <c r="E100" s="117" t="str">
        <f aca="false">IF(B100="","",(B100+D100))</f>
        <v/>
      </c>
      <c r="F100" s="118" t="str">
        <f aca="false">IF(B100="","",(IF('conversion datos'!$L$30='Patrones LACOMET'!$D$3,(VLOOKUP(B100,'BLOQUES PATRON (pulg) '!$D$5:$H$86,5,FALSE())),IF('conversion datos'!$L$30='Patrones LACOMET'!$D$4,((VLOOKUP(CALIBRACION!B100,'BLOQUES PATRON (mm)'!$D$5:$H$126,4,FALSE()))/1000000),"No existe el patrón"))))</f>
        <v/>
      </c>
      <c r="G100" s="118" t="str">
        <f aca="false">IF(D100="","",(IF('conversion datos'!$L$30='Patrones LACOMET'!$D$3,(D100*25.4),IF('conversion datos'!$L$30='Patrones LACOMET'!$D$4,D100,"No existe el patrón"))))</f>
        <v/>
      </c>
      <c r="H100" s="119" t="str">
        <f aca="false">IF(J100="","",(IF('conversion datos'!$L$30='Patrones LACOMET'!$D$3,(CALIBRACION!J100*25.4),IF('conversion datos'!$L$30='Patrones LACOMET'!$D$4,(CALIBRACION!J100),"No existe el patrón"))))</f>
        <v/>
      </c>
      <c r="I100" s="120" t="e">
        <f aca="false">IF('conversion datos'!B90="","",'conversion datos'!B90)</f>
        <v>#VALUE!</v>
      </c>
      <c r="J100" s="121" t="str">
        <f aca="false">IF('conversion datos'!C90="","",'conversion datos'!C90)</f>
        <v/>
      </c>
      <c r="K100" s="139"/>
      <c r="L100" s="154"/>
      <c r="M100" s="154"/>
      <c r="N100" s="155"/>
      <c r="O100" s="123" t="str">
        <f aca="false">IF('conversion datos'!F90="","",'conversion datos'!F90)</f>
        <v/>
      </c>
      <c r="P100" s="124" t="str">
        <f aca="false">IF($H100="","",+O100/1000)</f>
        <v/>
      </c>
      <c r="Q100" s="124" t="str">
        <f aca="false">IF($H100="","",(IF('conversion datos'!$L$30='Patrones LACOMET'!$D$3,P100*0.0254,IF('conversion datos'!$L$30='Patrones LACOMET'!$D$4,P100,"No existe el patrón"))))</f>
        <v/>
      </c>
      <c r="R100" s="124" t="str">
        <f aca="false">IF($H100="","",(IF('conversion datos'!$L$30='Patrones LACOMET'!$D$3,E100*25.4,IF('conversion datos'!$L$30='Patrones LACOMET'!$D$4,E100,"No existe el patrón"))))</f>
        <v/>
      </c>
      <c r="S100" s="124" t="str">
        <f aca="false">+IF($H100="","",((INCERTIDUMBRE!$M$8)/1000)/25.4)</f>
        <v/>
      </c>
      <c r="T100" s="124" t="str">
        <f aca="false">IF($H100="","",(+H100+Q100+S100))</f>
        <v/>
      </c>
      <c r="U100" s="125" t="str">
        <f aca="false">IF($H100="","",(T100/25.4))</f>
        <v/>
      </c>
      <c r="W100" s="142" t="e">
        <f aca="false">IF('Datos de condiciones'!D92="","",'Datos de condiciones'!D92)</f>
        <v>#VALUE!</v>
      </c>
      <c r="X100" s="143" t="str">
        <f aca="false">+IF($H100="","",(W100-20))</f>
        <v/>
      </c>
      <c r="Y100" s="144" t="e">
        <f aca="false">IF('Datos de condiciones'!E92="","",'Datos de condiciones'!E92)</f>
        <v>#VALUE!</v>
      </c>
      <c r="Z100" s="145" t="str">
        <f aca="false">+IF($H100="","",Y100-20)</f>
        <v/>
      </c>
      <c r="AA100" s="146" t="str">
        <f aca="false">+IF($H100="","",ABS(X100-Z100))</f>
        <v/>
      </c>
      <c r="AC100" s="147" t="n">
        <f aca="false">+AC99+1</f>
        <v>89</v>
      </c>
      <c r="AD100" s="148" t="str">
        <f aca="false">+IF($H100="","",W100)</f>
        <v/>
      </c>
      <c r="AE100" s="145" t="str">
        <f aca="false">+IF($H100="","",Y100)</f>
        <v/>
      </c>
      <c r="AF100" s="146" t="str">
        <f aca="false">+IF($H100="","",+(ABS(AD100-AE100)))</f>
        <v/>
      </c>
      <c r="AG100" s="149" t="e">
        <f aca="false">IF('Datos de condiciones'!F92="","",'Datos de condiciones'!F92)</f>
        <v>#VALUE!</v>
      </c>
      <c r="AH100" s="135"/>
      <c r="AI100" s="147" t="n">
        <f aca="false">+AI99+1</f>
        <v>89</v>
      </c>
      <c r="AJ100" s="140"/>
      <c r="AK100" s="123" t="e">
        <f aca="false">IF('Datos de condiciones'!G92="","",'Datos de condiciones'!G92)</f>
        <v>#VALUE!</v>
      </c>
      <c r="AL100" s="150"/>
    </row>
    <row r="101" customFormat="false" ht="16.5" hidden="false" customHeight="false" outlineLevel="0" collapsed="false">
      <c r="A101" s="81" t="n">
        <f aca="false">+A100+1</f>
        <v>90</v>
      </c>
      <c r="B101" s="114" t="str">
        <f aca="false">J101</f>
        <v/>
      </c>
      <c r="C101" s="115" t="str">
        <f aca="false">IF(H101="","",H101)</f>
        <v/>
      </c>
      <c r="D101" s="116" t="str">
        <f aca="false">IF(B101="","",(IF('conversion datos'!$L$30='Patrones LACOMET'!$D$3,(VLOOKUP(B101,'BLOQUES PATRON (pulg) '!$D$5:$H$87,3,TRUE())),IF('conversion datos'!$L$30='Patrones LACOMET'!$D$4,((VLOOKUP(CALIBRACION!B101,'BLOQUES PATRON (mm)'!$D$5:$H$126,3,FALSE()))/1000),"No existe el patrón"))))</f>
        <v/>
      </c>
      <c r="E101" s="117" t="str">
        <f aca="false">IF(B101="","",(B101+D101))</f>
        <v/>
      </c>
      <c r="F101" s="118" t="str">
        <f aca="false">IF(B101="","",(IF('conversion datos'!$L$30='Patrones LACOMET'!$D$3,(VLOOKUP(B101,'BLOQUES PATRON (pulg) '!$D$5:$H$86,5,FALSE())),IF('conversion datos'!$L$30='Patrones LACOMET'!$D$4,((VLOOKUP(CALIBRACION!B101,'BLOQUES PATRON (mm)'!$D$5:$H$126,4,FALSE()))/1000000),"No existe el patrón"))))</f>
        <v/>
      </c>
      <c r="G101" s="118" t="str">
        <f aca="false">IF(D101="","",(IF('conversion datos'!$L$30='Patrones LACOMET'!$D$3,(D101*25.4),IF('conversion datos'!$L$30='Patrones LACOMET'!$D$4,D101,"No existe el patrón"))))</f>
        <v/>
      </c>
      <c r="H101" s="119" t="str">
        <f aca="false">IF(J101="","",(IF('conversion datos'!$L$30='Patrones LACOMET'!$D$3,(CALIBRACION!J101*25.4),IF('conversion datos'!$L$30='Patrones LACOMET'!$D$4,(CALIBRACION!J101),"No existe el patrón"))))</f>
        <v/>
      </c>
      <c r="I101" s="120" t="e">
        <f aca="false">IF('conversion datos'!B91="","",'conversion datos'!B91)</f>
        <v>#VALUE!</v>
      </c>
      <c r="J101" s="121" t="str">
        <f aca="false">IF('conversion datos'!C91="","",'conversion datos'!C91)</f>
        <v/>
      </c>
      <c r="K101" s="139"/>
      <c r="L101" s="154"/>
      <c r="M101" s="154"/>
      <c r="N101" s="155"/>
      <c r="O101" s="123" t="str">
        <f aca="false">IF('conversion datos'!F91="","",'conversion datos'!F91)</f>
        <v/>
      </c>
      <c r="P101" s="124" t="str">
        <f aca="false">IF($H101="","",+O101/1000)</f>
        <v/>
      </c>
      <c r="Q101" s="124" t="str">
        <f aca="false">IF($H101="","",(IF('conversion datos'!$L$30='Patrones LACOMET'!$D$3,P101*0.0254,IF('conversion datos'!$L$30='Patrones LACOMET'!$D$4,P101,"No existe el patrón"))))</f>
        <v/>
      </c>
      <c r="R101" s="124" t="str">
        <f aca="false">IF($H101="","",(IF('conversion datos'!$L$30='Patrones LACOMET'!$D$3,E101*25.4,IF('conversion datos'!$L$30='Patrones LACOMET'!$D$4,E101,"No existe el patrón"))))</f>
        <v/>
      </c>
      <c r="S101" s="124" t="str">
        <f aca="false">+IF($H101="","",((INCERTIDUMBRE!$M$8)/1000)/25.4)</f>
        <v/>
      </c>
      <c r="T101" s="124" t="str">
        <f aca="false">IF($H101="","",(+H101+Q101+S101))</f>
        <v/>
      </c>
      <c r="U101" s="125" t="str">
        <f aca="false">IF($H101="","",(T101/25.4))</f>
        <v/>
      </c>
      <c r="W101" s="142" t="e">
        <f aca="false">IF('Datos de condiciones'!D93="","",'Datos de condiciones'!D93)</f>
        <v>#VALUE!</v>
      </c>
      <c r="X101" s="143" t="str">
        <f aca="false">+IF($H101="","",(W101-20))</f>
        <v/>
      </c>
      <c r="Y101" s="144" t="e">
        <f aca="false">IF('Datos de condiciones'!E93="","",'Datos de condiciones'!E93)</f>
        <v>#VALUE!</v>
      </c>
      <c r="Z101" s="145" t="str">
        <f aca="false">+IF($H101="","",Y101-20)</f>
        <v/>
      </c>
      <c r="AA101" s="146" t="str">
        <f aca="false">+IF($H101="","",ABS(X101-Z101))</f>
        <v/>
      </c>
      <c r="AC101" s="147" t="n">
        <f aca="false">+AC100+1</f>
        <v>90</v>
      </c>
      <c r="AD101" s="148" t="str">
        <f aca="false">+IF($H101="","",W101)</f>
        <v/>
      </c>
      <c r="AE101" s="145" t="str">
        <f aca="false">+IF($H101="","",Y101)</f>
        <v/>
      </c>
      <c r="AF101" s="146" t="str">
        <f aca="false">+IF($H101="","",+(ABS(AD101-AE101)))</f>
        <v/>
      </c>
      <c r="AG101" s="149" t="e">
        <f aca="false">IF('Datos de condiciones'!F93="","",'Datos de condiciones'!F93)</f>
        <v>#VALUE!</v>
      </c>
      <c r="AH101" s="135"/>
      <c r="AI101" s="147" t="n">
        <f aca="false">+AI100+1</f>
        <v>90</v>
      </c>
      <c r="AJ101" s="140"/>
      <c r="AK101" s="123" t="e">
        <f aca="false">IF('Datos de condiciones'!G93="","",'Datos de condiciones'!G93)</f>
        <v>#VALUE!</v>
      </c>
      <c r="AL101" s="150"/>
    </row>
    <row r="102" customFormat="false" ht="16.5" hidden="false" customHeight="false" outlineLevel="0" collapsed="false">
      <c r="A102" s="81" t="n">
        <f aca="false">+A101+1</f>
        <v>91</v>
      </c>
      <c r="B102" s="114" t="str">
        <f aca="false">J102</f>
        <v/>
      </c>
      <c r="C102" s="115" t="str">
        <f aca="false">IF(H102="","",H102)</f>
        <v/>
      </c>
      <c r="D102" s="116" t="str">
        <f aca="false">IF(B102="","",(IF('conversion datos'!$L$30='Patrones LACOMET'!$D$3,(VLOOKUP(B102,'BLOQUES PATRON (pulg) '!$D$5:$H$87,3,TRUE())),IF('conversion datos'!$L$30='Patrones LACOMET'!$D$4,((VLOOKUP(CALIBRACION!B102,'BLOQUES PATRON (mm)'!$D$5:$H$126,3,FALSE()))/1000),"No existe el patrón"))))</f>
        <v/>
      </c>
      <c r="E102" s="117" t="str">
        <f aca="false">IF(B102="","",(B102+D102))</f>
        <v/>
      </c>
      <c r="F102" s="118" t="str">
        <f aca="false">IF(B102="","",(IF('conversion datos'!$L$30='Patrones LACOMET'!$D$3,(VLOOKUP(B102,'BLOQUES PATRON (pulg) '!$D$5:$H$86,5,FALSE())),IF('conversion datos'!$L$30='Patrones LACOMET'!$D$4,((VLOOKUP(CALIBRACION!B102,'BLOQUES PATRON (mm)'!$D$5:$H$126,4,FALSE()))/1000000),"No existe el patrón"))))</f>
        <v/>
      </c>
      <c r="G102" s="118" t="str">
        <f aca="false">IF(D102="","",(IF('conversion datos'!$L$30='Patrones LACOMET'!$D$3,(D102*25.4),IF('conversion datos'!$L$30='Patrones LACOMET'!$D$4,D102,"No existe el patrón"))))</f>
        <v/>
      </c>
      <c r="H102" s="119" t="str">
        <f aca="false">IF(J102="","",(IF('conversion datos'!$L$30='Patrones LACOMET'!$D$3,(CALIBRACION!J102*25.4),IF('conversion datos'!$L$30='Patrones LACOMET'!$D$4,(CALIBRACION!J102),"No existe el patrón"))))</f>
        <v/>
      </c>
      <c r="I102" s="120" t="e">
        <f aca="false">IF('conversion datos'!B92="","",'conversion datos'!B92)</f>
        <v>#VALUE!</v>
      </c>
      <c r="J102" s="121" t="str">
        <f aca="false">IF('conversion datos'!C92="","",'conversion datos'!C92)</f>
        <v/>
      </c>
      <c r="K102" s="139"/>
      <c r="L102" s="154"/>
      <c r="M102" s="154"/>
      <c r="N102" s="155"/>
      <c r="O102" s="123" t="str">
        <f aca="false">IF('conversion datos'!F92="","",'conversion datos'!F92)</f>
        <v/>
      </c>
      <c r="P102" s="124" t="str">
        <f aca="false">IF($H102="","",+O102/1000)</f>
        <v/>
      </c>
      <c r="Q102" s="124" t="str">
        <f aca="false">IF($H102="","",(IF('conversion datos'!$L$30='Patrones LACOMET'!$D$3,P102*0.0254,IF('conversion datos'!$L$30='Patrones LACOMET'!$D$4,P102,"No existe el patrón"))))</f>
        <v/>
      </c>
      <c r="R102" s="124" t="str">
        <f aca="false">IF($H102="","",(IF('conversion datos'!$L$30='Patrones LACOMET'!$D$3,E102*25.4,IF('conversion datos'!$L$30='Patrones LACOMET'!$D$4,E102,"No existe el patrón"))))</f>
        <v/>
      </c>
      <c r="S102" s="124" t="str">
        <f aca="false">+IF($H102="","",((INCERTIDUMBRE!$M$8)/1000)/25.4)</f>
        <v/>
      </c>
      <c r="T102" s="124" t="str">
        <f aca="false">IF($H102="","",(+H102+Q102+S102))</f>
        <v/>
      </c>
      <c r="U102" s="125" t="str">
        <f aca="false">IF($H102="","",(T102/25.4))</f>
        <v/>
      </c>
      <c r="W102" s="142" t="e">
        <f aca="false">IF('Datos de condiciones'!D94="","",'Datos de condiciones'!D94)</f>
        <v>#VALUE!</v>
      </c>
      <c r="X102" s="143" t="str">
        <f aca="false">+IF($H102="","",(W102-20))</f>
        <v/>
      </c>
      <c r="Y102" s="144" t="e">
        <f aca="false">IF('Datos de condiciones'!E94="","",'Datos de condiciones'!E94)</f>
        <v>#VALUE!</v>
      </c>
      <c r="Z102" s="145" t="str">
        <f aca="false">+IF($H102="","",Y102-20)</f>
        <v/>
      </c>
      <c r="AA102" s="146" t="str">
        <f aca="false">+IF($H102="","",ABS(X102-Z102))</f>
        <v/>
      </c>
      <c r="AC102" s="147" t="n">
        <f aca="false">+AC101+1</f>
        <v>91</v>
      </c>
      <c r="AD102" s="148" t="str">
        <f aca="false">+IF($H102="","",W102)</f>
        <v/>
      </c>
      <c r="AE102" s="145" t="str">
        <f aca="false">+IF($H102="","",Y102)</f>
        <v/>
      </c>
      <c r="AF102" s="146" t="str">
        <f aca="false">+IF($H102="","",+(ABS(AD102-AE102)))</f>
        <v/>
      </c>
      <c r="AG102" s="149" t="e">
        <f aca="false">IF('Datos de condiciones'!F94="","",'Datos de condiciones'!F94)</f>
        <v>#VALUE!</v>
      </c>
      <c r="AH102" s="135"/>
      <c r="AI102" s="147" t="n">
        <f aca="false">+AI101+1</f>
        <v>91</v>
      </c>
      <c r="AJ102" s="140"/>
      <c r="AK102" s="123" t="e">
        <f aca="false">IF('Datos de condiciones'!G94="","",'Datos de condiciones'!G94)</f>
        <v>#VALUE!</v>
      </c>
      <c r="AL102" s="150"/>
    </row>
    <row r="103" customFormat="false" ht="16.5" hidden="false" customHeight="false" outlineLevel="0" collapsed="false">
      <c r="A103" s="81" t="n">
        <f aca="false">+A102+1</f>
        <v>92</v>
      </c>
      <c r="B103" s="114" t="str">
        <f aca="false">J103</f>
        <v/>
      </c>
      <c r="C103" s="115" t="str">
        <f aca="false">IF(H103="","",H103)</f>
        <v/>
      </c>
      <c r="D103" s="116" t="str">
        <f aca="false">IF(B103="","",(IF('conversion datos'!$L$30='Patrones LACOMET'!$D$3,(VLOOKUP(B103,'BLOQUES PATRON (pulg) '!$D$5:$H$87,3,TRUE())),IF('conversion datos'!$L$30='Patrones LACOMET'!$D$4,((VLOOKUP(CALIBRACION!B103,'BLOQUES PATRON (mm)'!$D$5:$H$126,3,FALSE()))/1000),"No existe el patrón"))))</f>
        <v/>
      </c>
      <c r="E103" s="117" t="str">
        <f aca="false">IF(B103="","",(B103+D103))</f>
        <v/>
      </c>
      <c r="F103" s="118" t="str">
        <f aca="false">IF(B103="","",(IF('conversion datos'!$L$30='Patrones LACOMET'!$D$3,(VLOOKUP(B103,'BLOQUES PATRON (pulg) '!$D$5:$H$86,5,FALSE())),IF('conversion datos'!$L$30='Patrones LACOMET'!$D$4,((VLOOKUP(CALIBRACION!B103,'BLOQUES PATRON (mm)'!$D$5:$H$126,4,FALSE()))/1000000),"No existe el patrón"))))</f>
        <v/>
      </c>
      <c r="G103" s="118" t="str">
        <f aca="false">IF(D103="","",(IF('conversion datos'!$L$30='Patrones LACOMET'!$D$3,(D103*25.4),IF('conversion datos'!$L$30='Patrones LACOMET'!$D$4,D103,"No existe el patrón"))))</f>
        <v/>
      </c>
      <c r="H103" s="119" t="str">
        <f aca="false">IF(J103="","",(IF('conversion datos'!$L$30='Patrones LACOMET'!$D$3,(CALIBRACION!J103*25.4),IF('conversion datos'!$L$30='Patrones LACOMET'!$D$4,(CALIBRACION!J103),"No existe el patrón"))))</f>
        <v/>
      </c>
      <c r="I103" s="120" t="e">
        <f aca="false">IF('conversion datos'!B93="","",'conversion datos'!B93)</f>
        <v>#VALUE!</v>
      </c>
      <c r="J103" s="121" t="str">
        <f aca="false">IF('conversion datos'!C93="","",'conversion datos'!C93)</f>
        <v/>
      </c>
      <c r="K103" s="139"/>
      <c r="L103" s="154"/>
      <c r="M103" s="154"/>
      <c r="N103" s="155"/>
      <c r="O103" s="123" t="str">
        <f aca="false">IF('conversion datos'!F93="","",'conversion datos'!F93)</f>
        <v/>
      </c>
      <c r="P103" s="124" t="str">
        <f aca="false">IF($H103="","",+O103/1000)</f>
        <v/>
      </c>
      <c r="Q103" s="124" t="str">
        <f aca="false">IF($H103="","",(IF('conversion datos'!$L$30='Patrones LACOMET'!$D$3,P103*0.0254,IF('conversion datos'!$L$30='Patrones LACOMET'!$D$4,P103,"No existe el patrón"))))</f>
        <v/>
      </c>
      <c r="R103" s="124" t="str">
        <f aca="false">IF($H103="","",(IF('conversion datos'!$L$30='Patrones LACOMET'!$D$3,E103*25.4,IF('conversion datos'!$L$30='Patrones LACOMET'!$D$4,E103,"No existe el patrón"))))</f>
        <v/>
      </c>
      <c r="S103" s="124" t="str">
        <f aca="false">+IF($H103="","",((INCERTIDUMBRE!$M$8)/1000)/25.4)</f>
        <v/>
      </c>
      <c r="T103" s="124" t="str">
        <f aca="false">IF($H103="","",(+H103+Q103+S103))</f>
        <v/>
      </c>
      <c r="U103" s="125" t="str">
        <f aca="false">IF($H103="","",(T103/25.4))</f>
        <v/>
      </c>
      <c r="W103" s="142" t="e">
        <f aca="false">IF('Datos de condiciones'!D95="","",'Datos de condiciones'!D95)</f>
        <v>#VALUE!</v>
      </c>
      <c r="X103" s="143" t="str">
        <f aca="false">+IF($H103="","",(W103-20))</f>
        <v/>
      </c>
      <c r="Y103" s="144" t="e">
        <f aca="false">IF('Datos de condiciones'!E95="","",'Datos de condiciones'!E95)</f>
        <v>#VALUE!</v>
      </c>
      <c r="Z103" s="145" t="str">
        <f aca="false">+IF($H103="","",Y103-20)</f>
        <v/>
      </c>
      <c r="AA103" s="146" t="str">
        <f aca="false">+IF($H103="","",ABS(X103-Z103))</f>
        <v/>
      </c>
      <c r="AC103" s="147" t="n">
        <f aca="false">+AC102+1</f>
        <v>92</v>
      </c>
      <c r="AD103" s="148" t="str">
        <f aca="false">+IF($H103="","",W103)</f>
        <v/>
      </c>
      <c r="AE103" s="145" t="str">
        <f aca="false">+IF($H103="","",Y103)</f>
        <v/>
      </c>
      <c r="AF103" s="146" t="str">
        <f aca="false">+IF($H103="","",+(ABS(AD103-AE103)))</f>
        <v/>
      </c>
      <c r="AG103" s="149" t="e">
        <f aca="false">IF('Datos de condiciones'!F95="","",'Datos de condiciones'!F95)</f>
        <v>#VALUE!</v>
      </c>
      <c r="AH103" s="135"/>
      <c r="AI103" s="147" t="n">
        <f aca="false">+AI102+1</f>
        <v>92</v>
      </c>
      <c r="AJ103" s="140"/>
      <c r="AK103" s="123" t="e">
        <f aca="false">IF('Datos de condiciones'!G95="","",'Datos de condiciones'!G95)</f>
        <v>#VALUE!</v>
      </c>
      <c r="AL103" s="150"/>
    </row>
    <row r="104" customFormat="false" ht="16.5" hidden="false" customHeight="false" outlineLevel="0" collapsed="false">
      <c r="A104" s="81" t="n">
        <f aca="false">+A103+1</f>
        <v>93</v>
      </c>
      <c r="B104" s="114" t="str">
        <f aca="false">J104</f>
        <v/>
      </c>
      <c r="C104" s="115" t="str">
        <f aca="false">IF(H104="","",H104)</f>
        <v/>
      </c>
      <c r="D104" s="116" t="str">
        <f aca="false">IF(B104="","",(IF('conversion datos'!$L$30='Patrones LACOMET'!$D$3,(VLOOKUP(B104,'BLOQUES PATRON (pulg) '!$D$5:$H$87,3,TRUE())),IF('conversion datos'!$L$30='Patrones LACOMET'!$D$4,((VLOOKUP(CALIBRACION!B104,'BLOQUES PATRON (mm)'!$D$5:$H$126,3,FALSE()))/1000),"No existe el patrón"))))</f>
        <v/>
      </c>
      <c r="E104" s="117" t="str">
        <f aca="false">IF(B104="","",(B104+D104))</f>
        <v/>
      </c>
      <c r="F104" s="118" t="str">
        <f aca="false">IF(B104="","",(IF('conversion datos'!$L$30='Patrones LACOMET'!$D$3,(VLOOKUP(B104,'BLOQUES PATRON (pulg) '!$D$5:$H$86,5,FALSE())),IF('conversion datos'!$L$30='Patrones LACOMET'!$D$4,((VLOOKUP(CALIBRACION!B104,'BLOQUES PATRON (mm)'!$D$5:$H$126,4,FALSE()))/1000000),"No existe el patrón"))))</f>
        <v/>
      </c>
      <c r="G104" s="118" t="str">
        <f aca="false">IF(D104="","",(IF('conversion datos'!$L$30='Patrones LACOMET'!$D$3,(D104*25.4),IF('conversion datos'!$L$30='Patrones LACOMET'!$D$4,D104,"No existe el patrón"))))</f>
        <v/>
      </c>
      <c r="H104" s="119" t="str">
        <f aca="false">IF(J104="","",(IF('conversion datos'!$L$30='Patrones LACOMET'!$D$3,(CALIBRACION!J104*25.4),IF('conversion datos'!$L$30='Patrones LACOMET'!$D$4,(CALIBRACION!J104),"No existe el patrón"))))</f>
        <v/>
      </c>
      <c r="I104" s="120" t="e">
        <f aca="false">IF('conversion datos'!B94="","",'conversion datos'!B94)</f>
        <v>#VALUE!</v>
      </c>
      <c r="J104" s="121" t="str">
        <f aca="false">IF('conversion datos'!C94="","",'conversion datos'!C94)</f>
        <v/>
      </c>
      <c r="K104" s="139"/>
      <c r="L104" s="154"/>
      <c r="M104" s="154"/>
      <c r="N104" s="155"/>
      <c r="O104" s="123" t="str">
        <f aca="false">IF('conversion datos'!F94="","",'conversion datos'!F94)</f>
        <v/>
      </c>
      <c r="P104" s="124" t="str">
        <f aca="false">IF($H104="","",+O104/1000)</f>
        <v/>
      </c>
      <c r="Q104" s="124" t="str">
        <f aca="false">IF($H104="","",(IF('conversion datos'!$L$30='Patrones LACOMET'!$D$3,P104*0.0254,IF('conversion datos'!$L$30='Patrones LACOMET'!$D$4,P104,"No existe el patrón"))))</f>
        <v/>
      </c>
      <c r="R104" s="124" t="str">
        <f aca="false">IF($H104="","",(IF('conversion datos'!$L$30='Patrones LACOMET'!$D$3,E104*25.4,IF('conversion datos'!$L$30='Patrones LACOMET'!$D$4,E104,"No existe el patrón"))))</f>
        <v/>
      </c>
      <c r="S104" s="124" t="str">
        <f aca="false">+IF($H104="","",((INCERTIDUMBRE!$M$8)/1000)/25.4)</f>
        <v/>
      </c>
      <c r="T104" s="124" t="str">
        <f aca="false">IF($H104="","",(+H104+Q104+S104))</f>
        <v/>
      </c>
      <c r="U104" s="125" t="str">
        <f aca="false">IF($H104="","",(T104/25.4))</f>
        <v/>
      </c>
      <c r="W104" s="142" t="e">
        <f aca="false">IF('Datos de condiciones'!D96="","",'Datos de condiciones'!D96)</f>
        <v>#VALUE!</v>
      </c>
      <c r="X104" s="143" t="str">
        <f aca="false">+IF($H104="","",(W104-20))</f>
        <v/>
      </c>
      <c r="Y104" s="144" t="e">
        <f aca="false">IF('Datos de condiciones'!E96="","",'Datos de condiciones'!E96)</f>
        <v>#VALUE!</v>
      </c>
      <c r="Z104" s="145" t="str">
        <f aca="false">+IF($H104="","",Y104-20)</f>
        <v/>
      </c>
      <c r="AA104" s="146" t="str">
        <f aca="false">+IF($H104="","",ABS(X104-Z104))</f>
        <v/>
      </c>
      <c r="AC104" s="147" t="n">
        <f aca="false">+AC103+1</f>
        <v>93</v>
      </c>
      <c r="AD104" s="148" t="str">
        <f aca="false">+IF($H104="","",W104)</f>
        <v/>
      </c>
      <c r="AE104" s="145" t="str">
        <f aca="false">+IF($H104="","",Y104)</f>
        <v/>
      </c>
      <c r="AF104" s="146" t="str">
        <f aca="false">+IF($H104="","",+(ABS(AD104-AE104)))</f>
        <v/>
      </c>
      <c r="AG104" s="149" t="e">
        <f aca="false">IF('Datos de condiciones'!F96="","",'Datos de condiciones'!F96)</f>
        <v>#VALUE!</v>
      </c>
      <c r="AH104" s="135"/>
      <c r="AI104" s="147" t="n">
        <f aca="false">+AI103+1</f>
        <v>93</v>
      </c>
      <c r="AJ104" s="140"/>
      <c r="AK104" s="123" t="e">
        <f aca="false">IF('Datos de condiciones'!G96="","",'Datos de condiciones'!G96)</f>
        <v>#VALUE!</v>
      </c>
      <c r="AL104" s="150"/>
    </row>
    <row r="105" customFormat="false" ht="16.5" hidden="false" customHeight="false" outlineLevel="0" collapsed="false">
      <c r="A105" s="81" t="n">
        <f aca="false">+A104+1</f>
        <v>94</v>
      </c>
      <c r="B105" s="114" t="str">
        <f aca="false">J105</f>
        <v/>
      </c>
      <c r="C105" s="115" t="str">
        <f aca="false">IF(H105="","",H105)</f>
        <v/>
      </c>
      <c r="D105" s="116" t="str">
        <f aca="false">IF(B105="","",(IF('conversion datos'!$L$30='Patrones LACOMET'!$D$3,(VLOOKUP(B105,'BLOQUES PATRON (pulg) '!$D$5:$H$87,3,TRUE())),IF('conversion datos'!$L$30='Patrones LACOMET'!$D$4,((VLOOKUP(CALIBRACION!B105,'BLOQUES PATRON (mm)'!$D$5:$H$126,3,FALSE()))/1000),"No existe el patrón"))))</f>
        <v/>
      </c>
      <c r="E105" s="117" t="str">
        <f aca="false">IF(B105="","",(B105+D105))</f>
        <v/>
      </c>
      <c r="F105" s="118" t="str">
        <f aca="false">IF(B105="","",(IF('conversion datos'!$L$30='Patrones LACOMET'!$D$3,(VLOOKUP(B105,'BLOQUES PATRON (pulg) '!$D$5:$H$86,5,FALSE())),IF('conversion datos'!$L$30='Patrones LACOMET'!$D$4,((VLOOKUP(CALIBRACION!B105,'BLOQUES PATRON (mm)'!$D$5:$H$126,4,FALSE()))/1000000),"No existe el patrón"))))</f>
        <v/>
      </c>
      <c r="G105" s="118" t="str">
        <f aca="false">IF(D105="","",(IF('conversion datos'!$L$30='Patrones LACOMET'!$D$3,(D105*25.4),IF('conversion datos'!$L$30='Patrones LACOMET'!$D$4,D105,"No existe el patrón"))))</f>
        <v/>
      </c>
      <c r="H105" s="119" t="str">
        <f aca="false">IF(J105="","",(IF('conversion datos'!$L$30='Patrones LACOMET'!$D$3,(CALIBRACION!J105*25.4),IF('conversion datos'!$L$30='Patrones LACOMET'!$D$4,(CALIBRACION!J105),"No existe el patrón"))))</f>
        <v/>
      </c>
      <c r="I105" s="120" t="e">
        <f aca="false">IF('conversion datos'!B95="","",'conversion datos'!B95)</f>
        <v>#VALUE!</v>
      </c>
      <c r="J105" s="121" t="str">
        <f aca="false">IF('conversion datos'!C95="","",'conversion datos'!C95)</f>
        <v/>
      </c>
      <c r="K105" s="139"/>
      <c r="L105" s="154"/>
      <c r="M105" s="154"/>
      <c r="N105" s="155"/>
      <c r="O105" s="123" t="str">
        <f aca="false">IF('conversion datos'!F95="","",'conversion datos'!F95)</f>
        <v/>
      </c>
      <c r="P105" s="124" t="str">
        <f aca="false">IF($H105="","",+O105/1000)</f>
        <v/>
      </c>
      <c r="Q105" s="124" t="str">
        <f aca="false">IF($H105="","",(IF('conversion datos'!$L$30='Patrones LACOMET'!$D$3,P105*0.0254,IF('conversion datos'!$L$30='Patrones LACOMET'!$D$4,P105,"No existe el patrón"))))</f>
        <v/>
      </c>
      <c r="R105" s="124" t="str">
        <f aca="false">IF($H105="","",(IF('conversion datos'!$L$30='Patrones LACOMET'!$D$3,E105*25.4,IF('conversion datos'!$L$30='Patrones LACOMET'!$D$4,E105,"No existe el patrón"))))</f>
        <v/>
      </c>
      <c r="S105" s="124" t="str">
        <f aca="false">+IF($H105="","",((INCERTIDUMBRE!$M$8)/1000)/25.4)</f>
        <v/>
      </c>
      <c r="T105" s="124" t="str">
        <f aca="false">IF($H105="","",(+H105+Q105+S105))</f>
        <v/>
      </c>
      <c r="U105" s="125" t="str">
        <f aca="false">IF($H105="","",(T105/25.4))</f>
        <v/>
      </c>
      <c r="W105" s="142" t="e">
        <f aca="false">IF('Datos de condiciones'!D97="","",'Datos de condiciones'!D97)</f>
        <v>#VALUE!</v>
      </c>
      <c r="X105" s="143" t="str">
        <f aca="false">+IF($H105="","",(W105-20))</f>
        <v/>
      </c>
      <c r="Y105" s="144" t="e">
        <f aca="false">IF('Datos de condiciones'!E97="","",'Datos de condiciones'!E97)</f>
        <v>#VALUE!</v>
      </c>
      <c r="Z105" s="145" t="str">
        <f aca="false">+IF($H105="","",Y105-20)</f>
        <v/>
      </c>
      <c r="AA105" s="146" t="str">
        <f aca="false">+IF($H105="","",ABS(X105-Z105))</f>
        <v/>
      </c>
      <c r="AC105" s="147" t="n">
        <f aca="false">+AC104+1</f>
        <v>94</v>
      </c>
      <c r="AD105" s="148" t="str">
        <f aca="false">+IF($H105="","",W105)</f>
        <v/>
      </c>
      <c r="AE105" s="145" t="str">
        <f aca="false">+IF($H105="","",Y105)</f>
        <v/>
      </c>
      <c r="AF105" s="146" t="str">
        <f aca="false">+IF($H105="","",+(ABS(AD105-AE105)))</f>
        <v/>
      </c>
      <c r="AG105" s="149" t="e">
        <f aca="false">IF('Datos de condiciones'!F97="","",'Datos de condiciones'!F97)</f>
        <v>#VALUE!</v>
      </c>
      <c r="AH105" s="135"/>
      <c r="AI105" s="147" t="n">
        <f aca="false">+AI104+1</f>
        <v>94</v>
      </c>
      <c r="AJ105" s="140"/>
      <c r="AK105" s="123" t="e">
        <f aca="false">IF('Datos de condiciones'!G97="","",'Datos de condiciones'!G97)</f>
        <v>#VALUE!</v>
      </c>
      <c r="AL105" s="150"/>
    </row>
    <row r="106" customFormat="false" ht="16.5" hidden="false" customHeight="false" outlineLevel="0" collapsed="false">
      <c r="A106" s="81" t="n">
        <f aca="false">+A105+1</f>
        <v>95</v>
      </c>
      <c r="B106" s="114" t="str">
        <f aca="false">J106</f>
        <v/>
      </c>
      <c r="C106" s="115" t="str">
        <f aca="false">IF(H106="","",H106)</f>
        <v/>
      </c>
      <c r="D106" s="116" t="str">
        <f aca="false">IF(B106="","",(IF('conversion datos'!$L$30='Patrones LACOMET'!$D$3,(VLOOKUP(B106,'BLOQUES PATRON (pulg) '!$D$5:$H$87,3,TRUE())),IF('conversion datos'!$L$30='Patrones LACOMET'!$D$4,((VLOOKUP(CALIBRACION!B106,'BLOQUES PATRON (mm)'!$D$5:$H$126,3,FALSE()))/1000),"No existe el patrón"))))</f>
        <v/>
      </c>
      <c r="E106" s="117" t="str">
        <f aca="false">IF(B106="","",(B106+D106))</f>
        <v/>
      </c>
      <c r="F106" s="118" t="str">
        <f aca="false">IF(B106="","",(IF('conversion datos'!$L$30='Patrones LACOMET'!$D$3,(VLOOKUP(B106,'BLOQUES PATRON (pulg) '!$D$5:$H$86,5,FALSE())),IF('conversion datos'!$L$30='Patrones LACOMET'!$D$4,((VLOOKUP(CALIBRACION!B106,'BLOQUES PATRON (mm)'!$D$5:$H$126,4,FALSE()))/1000000),"No existe el patrón"))))</f>
        <v/>
      </c>
      <c r="G106" s="118" t="str">
        <f aca="false">IF(D106="","",(IF('conversion datos'!$L$30='Patrones LACOMET'!$D$3,(D106*25.4),IF('conversion datos'!$L$30='Patrones LACOMET'!$D$4,D106,"No existe el patrón"))))</f>
        <v/>
      </c>
      <c r="H106" s="119" t="str">
        <f aca="false">IF(J106="","",(IF('conversion datos'!$L$30='Patrones LACOMET'!$D$3,(CALIBRACION!J106*25.4),IF('conversion datos'!$L$30='Patrones LACOMET'!$D$4,(CALIBRACION!J106),"No existe el patrón"))))</f>
        <v/>
      </c>
      <c r="I106" s="120" t="e">
        <f aca="false">IF('conversion datos'!B96="","",'conversion datos'!B96)</f>
        <v>#VALUE!</v>
      </c>
      <c r="J106" s="121" t="str">
        <f aca="false">IF('conversion datos'!C96="","",'conversion datos'!C96)</f>
        <v/>
      </c>
      <c r="K106" s="139"/>
      <c r="L106" s="154"/>
      <c r="M106" s="154"/>
      <c r="N106" s="155"/>
      <c r="O106" s="123" t="str">
        <f aca="false">IF('conversion datos'!F96="","",'conversion datos'!F96)</f>
        <v/>
      </c>
      <c r="P106" s="124" t="str">
        <f aca="false">IF($H106="","",+O106/1000)</f>
        <v/>
      </c>
      <c r="Q106" s="124" t="str">
        <f aca="false">IF($H106="","",(IF('conversion datos'!$L$30='Patrones LACOMET'!$D$3,P106*0.0254,IF('conversion datos'!$L$30='Patrones LACOMET'!$D$4,P106,"No existe el patrón"))))</f>
        <v/>
      </c>
      <c r="R106" s="124" t="str">
        <f aca="false">IF($H106="","",(IF('conversion datos'!$L$30='Patrones LACOMET'!$D$3,E106*25.4,IF('conversion datos'!$L$30='Patrones LACOMET'!$D$4,E106,"No existe el patrón"))))</f>
        <v/>
      </c>
      <c r="S106" s="124" t="str">
        <f aca="false">+IF($H106="","",((INCERTIDUMBRE!$M$8)/1000)/25.4)</f>
        <v/>
      </c>
      <c r="T106" s="124" t="str">
        <f aca="false">IF($H106="","",(+H106+Q106+S106))</f>
        <v/>
      </c>
      <c r="U106" s="125" t="str">
        <f aca="false">IF($H106="","",(T106/25.4))</f>
        <v/>
      </c>
      <c r="W106" s="142" t="e">
        <f aca="false">IF('Datos de condiciones'!D98="","",'Datos de condiciones'!D98)</f>
        <v>#VALUE!</v>
      </c>
      <c r="X106" s="143" t="str">
        <f aca="false">+IF($H106="","",(W106-20))</f>
        <v/>
      </c>
      <c r="Y106" s="144" t="e">
        <f aca="false">IF('Datos de condiciones'!E98="","",'Datos de condiciones'!E98)</f>
        <v>#VALUE!</v>
      </c>
      <c r="Z106" s="145" t="str">
        <f aca="false">+IF($H106="","",Y106-20)</f>
        <v/>
      </c>
      <c r="AA106" s="146" t="str">
        <f aca="false">+IF($H106="","",ABS(X106-Z106))</f>
        <v/>
      </c>
      <c r="AC106" s="147" t="n">
        <f aca="false">+AC105+1</f>
        <v>95</v>
      </c>
      <c r="AD106" s="148" t="str">
        <f aca="false">+IF($H106="","",W106)</f>
        <v/>
      </c>
      <c r="AE106" s="145" t="str">
        <f aca="false">+IF($H106="","",Y106)</f>
        <v/>
      </c>
      <c r="AF106" s="146" t="str">
        <f aca="false">+IF($H106="","",+(ABS(AD106-AE106)))</f>
        <v/>
      </c>
      <c r="AG106" s="149" t="e">
        <f aca="false">IF('Datos de condiciones'!F98="","",'Datos de condiciones'!F98)</f>
        <v>#VALUE!</v>
      </c>
      <c r="AH106" s="135"/>
      <c r="AI106" s="147" t="n">
        <f aca="false">+AI105+1</f>
        <v>95</v>
      </c>
      <c r="AJ106" s="140"/>
      <c r="AK106" s="123" t="e">
        <f aca="false">IF('Datos de condiciones'!G98="","",'Datos de condiciones'!G98)</f>
        <v>#VALUE!</v>
      </c>
      <c r="AL106" s="150"/>
    </row>
    <row r="107" customFormat="false" ht="16.5" hidden="false" customHeight="false" outlineLevel="0" collapsed="false">
      <c r="A107" s="81" t="n">
        <f aca="false">+A106+1</f>
        <v>96</v>
      </c>
      <c r="B107" s="114" t="str">
        <f aca="false">J107</f>
        <v/>
      </c>
      <c r="C107" s="115" t="str">
        <f aca="false">IF(H107="","",H107)</f>
        <v/>
      </c>
      <c r="D107" s="116" t="str">
        <f aca="false">IF(B107="","",(IF('conversion datos'!$L$30='Patrones LACOMET'!$D$3,(VLOOKUP(B107,'BLOQUES PATRON (pulg) '!$D$5:$H$87,3,TRUE())),IF('conversion datos'!$L$30='Patrones LACOMET'!$D$4,((VLOOKUP(CALIBRACION!B107,'BLOQUES PATRON (mm)'!$D$5:$H$126,3,FALSE()))/1000),"No existe el patrón"))))</f>
        <v/>
      </c>
      <c r="E107" s="117" t="str">
        <f aca="false">IF(B107="","",(B107+D107))</f>
        <v/>
      </c>
      <c r="F107" s="118" t="str">
        <f aca="false">IF(B107="","",(IF('conversion datos'!$L$30='Patrones LACOMET'!$D$3,(VLOOKUP(B107,'BLOQUES PATRON (pulg) '!$D$5:$H$86,5,FALSE())),IF('conversion datos'!$L$30='Patrones LACOMET'!$D$4,((VLOOKUP(CALIBRACION!B107,'BLOQUES PATRON (mm)'!$D$5:$H$126,4,FALSE()))/1000000),"No existe el patrón"))))</f>
        <v/>
      </c>
      <c r="G107" s="118" t="str">
        <f aca="false">IF(D107="","",(IF('conversion datos'!$L$30='Patrones LACOMET'!$D$3,(D107*25.4),IF('conversion datos'!$L$30='Patrones LACOMET'!$D$4,D107,"No existe el patrón"))))</f>
        <v/>
      </c>
      <c r="H107" s="119" t="str">
        <f aca="false">IF(J107="","",(IF('conversion datos'!$L$30='Patrones LACOMET'!$D$3,(CALIBRACION!J107*25.4),IF('conversion datos'!$L$30='Patrones LACOMET'!$D$4,(CALIBRACION!J107),"No existe el patrón"))))</f>
        <v/>
      </c>
      <c r="I107" s="120" t="e">
        <f aca="false">IF('conversion datos'!B97="","",'conversion datos'!B97)</f>
        <v>#VALUE!</v>
      </c>
      <c r="J107" s="121" t="str">
        <f aca="false">IF('conversion datos'!C97="","",'conversion datos'!C97)</f>
        <v/>
      </c>
      <c r="K107" s="139"/>
      <c r="L107" s="154"/>
      <c r="M107" s="154"/>
      <c r="N107" s="155"/>
      <c r="O107" s="123" t="str">
        <f aca="false">IF('conversion datos'!F97="","",'conversion datos'!F97)</f>
        <v/>
      </c>
      <c r="P107" s="124" t="str">
        <f aca="false">IF($H107="","",+O107/1000)</f>
        <v/>
      </c>
      <c r="Q107" s="124" t="str">
        <f aca="false">IF($H107="","",(IF('conversion datos'!$L$30='Patrones LACOMET'!$D$3,P107*0.0254,IF('conversion datos'!$L$30='Patrones LACOMET'!$D$4,P107,"No existe el patrón"))))</f>
        <v/>
      </c>
      <c r="R107" s="124" t="str">
        <f aca="false">IF($H107="","",(IF('conversion datos'!$L$30='Patrones LACOMET'!$D$3,E107*25.4,IF('conversion datos'!$L$30='Patrones LACOMET'!$D$4,E107,"No existe el patrón"))))</f>
        <v/>
      </c>
      <c r="S107" s="124" t="str">
        <f aca="false">+IF($H107="","",((INCERTIDUMBRE!$M$8)/1000)/25.4)</f>
        <v/>
      </c>
      <c r="T107" s="124" t="str">
        <f aca="false">IF($H107="","",(+H107+Q107+S107))</f>
        <v/>
      </c>
      <c r="U107" s="125" t="str">
        <f aca="false">IF($H107="","",(T107/25.4))</f>
        <v/>
      </c>
      <c r="W107" s="142" t="e">
        <f aca="false">IF('Datos de condiciones'!D99="","",'Datos de condiciones'!D99)</f>
        <v>#VALUE!</v>
      </c>
      <c r="X107" s="143" t="str">
        <f aca="false">+IF($H107="","",(W107-20))</f>
        <v/>
      </c>
      <c r="Y107" s="144" t="e">
        <f aca="false">IF('Datos de condiciones'!E99="","",'Datos de condiciones'!E99)</f>
        <v>#VALUE!</v>
      </c>
      <c r="Z107" s="145" t="str">
        <f aca="false">+IF($H107="","",Y107-20)</f>
        <v/>
      </c>
      <c r="AA107" s="146" t="str">
        <f aca="false">+IF($H107="","",ABS(X107-Z107))</f>
        <v/>
      </c>
      <c r="AC107" s="147" t="n">
        <f aca="false">+AC106+1</f>
        <v>96</v>
      </c>
      <c r="AD107" s="148" t="str">
        <f aca="false">+IF($H107="","",W107)</f>
        <v/>
      </c>
      <c r="AE107" s="145" t="str">
        <f aca="false">+IF($H107="","",Y107)</f>
        <v/>
      </c>
      <c r="AF107" s="146" t="str">
        <f aca="false">+IF($H107="","",+(ABS(AD107-AE107)))</f>
        <v/>
      </c>
      <c r="AG107" s="149" t="e">
        <f aca="false">IF('Datos de condiciones'!F99="","",'Datos de condiciones'!F99)</f>
        <v>#VALUE!</v>
      </c>
      <c r="AH107" s="135"/>
      <c r="AI107" s="147" t="n">
        <f aca="false">+AI106+1</f>
        <v>96</v>
      </c>
      <c r="AJ107" s="140"/>
      <c r="AK107" s="123" t="e">
        <f aca="false">IF('Datos de condiciones'!G99="","",'Datos de condiciones'!G99)</f>
        <v>#VALUE!</v>
      </c>
      <c r="AL107" s="150"/>
    </row>
    <row r="108" customFormat="false" ht="16.5" hidden="false" customHeight="false" outlineLevel="0" collapsed="false">
      <c r="A108" s="81" t="n">
        <f aca="false">+A107+1</f>
        <v>97</v>
      </c>
      <c r="B108" s="114" t="str">
        <f aca="false">J108</f>
        <v/>
      </c>
      <c r="C108" s="115" t="str">
        <f aca="false">IF(H108="","",H108)</f>
        <v/>
      </c>
      <c r="D108" s="116" t="str">
        <f aca="false">IF(B108="","",(IF('conversion datos'!$L$30='Patrones LACOMET'!$D$3,(VLOOKUP(B108,'BLOQUES PATRON (pulg) '!$D$5:$H$87,3,TRUE())),IF('conversion datos'!$L$30='Patrones LACOMET'!$D$4,((VLOOKUP(CALIBRACION!B108,'BLOQUES PATRON (mm)'!$D$5:$H$126,3,FALSE()))/1000),"No existe el patrón"))))</f>
        <v/>
      </c>
      <c r="E108" s="117" t="str">
        <f aca="false">IF(B108="","",(B108+D108))</f>
        <v/>
      </c>
      <c r="F108" s="118" t="str">
        <f aca="false">IF(B108="","",(IF('conversion datos'!$L$30='Patrones LACOMET'!$D$3,(VLOOKUP(B108,'BLOQUES PATRON (pulg) '!$D$5:$H$86,5,FALSE())),IF('conversion datos'!$L$30='Patrones LACOMET'!$D$4,((VLOOKUP(CALIBRACION!B108,'BLOQUES PATRON (mm)'!$D$5:$H$126,4,FALSE()))/1000000),"No existe el patrón"))))</f>
        <v/>
      </c>
      <c r="G108" s="118" t="str">
        <f aca="false">IF(D108="","",(IF('conversion datos'!$L$30='Patrones LACOMET'!$D$3,(D108*25.4),IF('conversion datos'!$L$30='Patrones LACOMET'!$D$4,D108,"No existe el patrón"))))</f>
        <v/>
      </c>
      <c r="H108" s="119" t="str">
        <f aca="false">IF(J108="","",(IF('conversion datos'!$L$30='Patrones LACOMET'!$D$3,(CALIBRACION!J108*25.4),IF('conversion datos'!$L$30='Patrones LACOMET'!$D$4,(CALIBRACION!J108),"No existe el patrón"))))</f>
        <v/>
      </c>
      <c r="I108" s="120" t="e">
        <f aca="false">IF('conversion datos'!B98="","",'conversion datos'!B98)</f>
        <v>#VALUE!</v>
      </c>
      <c r="J108" s="121" t="str">
        <f aca="false">IF('conversion datos'!C98="","",'conversion datos'!C98)</f>
        <v/>
      </c>
      <c r="K108" s="139"/>
      <c r="L108" s="154"/>
      <c r="M108" s="154"/>
      <c r="N108" s="155"/>
      <c r="O108" s="123" t="str">
        <f aca="false">IF('conversion datos'!F98="","",'conversion datos'!F98)</f>
        <v/>
      </c>
      <c r="P108" s="124" t="str">
        <f aca="false">IF($H108="","",+O108/1000)</f>
        <v/>
      </c>
      <c r="Q108" s="124" t="str">
        <f aca="false">IF($H108="","",(IF('conversion datos'!$L$30='Patrones LACOMET'!$D$3,P108*0.0254,IF('conversion datos'!$L$30='Patrones LACOMET'!$D$4,P108,"No existe el patrón"))))</f>
        <v/>
      </c>
      <c r="R108" s="124" t="str">
        <f aca="false">IF($H108="","",(IF('conversion datos'!$L$30='Patrones LACOMET'!$D$3,E108*25.4,IF('conversion datos'!$L$30='Patrones LACOMET'!$D$4,E108,"No existe el patrón"))))</f>
        <v/>
      </c>
      <c r="S108" s="124" t="str">
        <f aca="false">+IF($H108="","",((INCERTIDUMBRE!$M$8)/1000)/25.4)</f>
        <v/>
      </c>
      <c r="T108" s="124" t="str">
        <f aca="false">IF($H108="","",(+H108+Q108+S108))</f>
        <v/>
      </c>
      <c r="U108" s="125" t="str">
        <f aca="false">IF($H108="","",(T108/25.4))</f>
        <v/>
      </c>
      <c r="W108" s="142" t="e">
        <f aca="false">IF('Datos de condiciones'!D100="","",'Datos de condiciones'!D100)</f>
        <v>#VALUE!</v>
      </c>
      <c r="X108" s="143" t="str">
        <f aca="false">+IF($H108="","",(W108-20))</f>
        <v/>
      </c>
      <c r="Y108" s="144" t="e">
        <f aca="false">IF('Datos de condiciones'!E100="","",'Datos de condiciones'!E100)</f>
        <v>#VALUE!</v>
      </c>
      <c r="Z108" s="145" t="str">
        <f aca="false">+IF($H108="","",Y108-20)</f>
        <v/>
      </c>
      <c r="AA108" s="146" t="str">
        <f aca="false">+IF($H108="","",ABS(X108-Z108))</f>
        <v/>
      </c>
      <c r="AC108" s="147" t="n">
        <f aca="false">+AC107+1</f>
        <v>97</v>
      </c>
      <c r="AD108" s="148" t="str">
        <f aca="false">+IF($H108="","",W108)</f>
        <v/>
      </c>
      <c r="AE108" s="145" t="str">
        <f aca="false">+IF($H108="","",Y108)</f>
        <v/>
      </c>
      <c r="AF108" s="146" t="str">
        <f aca="false">+IF($H108="","",+(ABS(AD108-AE108)))</f>
        <v/>
      </c>
      <c r="AG108" s="149" t="e">
        <f aca="false">IF('Datos de condiciones'!F100="","",'Datos de condiciones'!F100)</f>
        <v>#VALUE!</v>
      </c>
      <c r="AH108" s="135"/>
      <c r="AI108" s="147" t="n">
        <f aca="false">+AI107+1</f>
        <v>97</v>
      </c>
      <c r="AJ108" s="140"/>
      <c r="AK108" s="123" t="e">
        <f aca="false">IF('Datos de condiciones'!G100="","",'Datos de condiciones'!G100)</f>
        <v>#VALUE!</v>
      </c>
      <c r="AL108" s="150"/>
    </row>
    <row r="109" customFormat="false" ht="16.5" hidden="false" customHeight="false" outlineLevel="0" collapsed="false">
      <c r="A109" s="81" t="n">
        <f aca="false">+A108+1</f>
        <v>98</v>
      </c>
      <c r="B109" s="114" t="str">
        <f aca="false">J109</f>
        <v/>
      </c>
      <c r="C109" s="115" t="str">
        <f aca="false">IF(H109="","",H109)</f>
        <v/>
      </c>
      <c r="D109" s="116" t="str">
        <f aca="false">IF(B109="","",(IF('conversion datos'!$L$30='Patrones LACOMET'!$D$3,(VLOOKUP(B109,'BLOQUES PATRON (pulg) '!$D$5:$H$87,3,TRUE())),IF('conversion datos'!$L$30='Patrones LACOMET'!$D$4,((VLOOKUP(CALIBRACION!B109,'BLOQUES PATRON (mm)'!$D$5:$H$126,3,FALSE()))/1000),"No existe el patrón"))))</f>
        <v/>
      </c>
      <c r="E109" s="117" t="str">
        <f aca="false">IF(B109="","",(B109+D109))</f>
        <v/>
      </c>
      <c r="F109" s="118" t="str">
        <f aca="false">IF(B109="","",(IF('conversion datos'!$L$30='Patrones LACOMET'!$D$3,(VLOOKUP(B109,'BLOQUES PATRON (pulg) '!$D$5:$H$86,5,FALSE())),IF('conversion datos'!$L$30='Patrones LACOMET'!$D$4,((VLOOKUP(CALIBRACION!B109,'BLOQUES PATRON (mm)'!$D$5:$H$126,4,FALSE()))/1000000),"No existe el patrón"))))</f>
        <v/>
      </c>
      <c r="G109" s="118" t="str">
        <f aca="false">IF(D109="","",(IF('conversion datos'!$L$30='Patrones LACOMET'!$D$3,(D109*25.4),IF('conversion datos'!$L$30='Patrones LACOMET'!$D$4,D109,"No existe el patrón"))))</f>
        <v/>
      </c>
      <c r="H109" s="119" t="str">
        <f aca="false">IF(J109="","",(IF('conversion datos'!$L$30='Patrones LACOMET'!$D$3,(CALIBRACION!J109*25.4),IF('conversion datos'!$L$30='Patrones LACOMET'!$D$4,(CALIBRACION!J109),"No existe el patrón"))))</f>
        <v/>
      </c>
      <c r="I109" s="120" t="e">
        <f aca="false">IF('conversion datos'!B99="","",'conversion datos'!B99)</f>
        <v>#VALUE!</v>
      </c>
      <c r="J109" s="121" t="str">
        <f aca="false">IF('conversion datos'!C99="","",'conversion datos'!C99)</f>
        <v/>
      </c>
      <c r="K109" s="139"/>
      <c r="L109" s="154"/>
      <c r="M109" s="154"/>
      <c r="N109" s="155"/>
      <c r="O109" s="123" t="str">
        <f aca="false">IF('conversion datos'!F99="","",'conversion datos'!F99)</f>
        <v/>
      </c>
      <c r="P109" s="124" t="str">
        <f aca="false">IF($H109="","",+O109/1000)</f>
        <v/>
      </c>
      <c r="Q109" s="124" t="str">
        <f aca="false">IF($H109="","",(IF('conversion datos'!$L$30='Patrones LACOMET'!$D$3,P109*0.0254,IF('conversion datos'!$L$30='Patrones LACOMET'!$D$4,P109,"No existe el patrón"))))</f>
        <v/>
      </c>
      <c r="R109" s="124" t="str">
        <f aca="false">IF($H109="","",(IF('conversion datos'!$L$30='Patrones LACOMET'!$D$3,E109*25.4,IF('conversion datos'!$L$30='Patrones LACOMET'!$D$4,E109,"No existe el patrón"))))</f>
        <v/>
      </c>
      <c r="S109" s="124" t="str">
        <f aca="false">+IF($H109="","",((INCERTIDUMBRE!$M$8)/1000)/25.4)</f>
        <v/>
      </c>
      <c r="T109" s="124" t="str">
        <f aca="false">IF($H109="","",(+H109+Q109+S109))</f>
        <v/>
      </c>
      <c r="U109" s="125" t="str">
        <f aca="false">IF($H109="","",(T109/25.4))</f>
        <v/>
      </c>
      <c r="W109" s="142" t="e">
        <f aca="false">IF('Datos de condiciones'!D101="","",'Datos de condiciones'!D101)</f>
        <v>#VALUE!</v>
      </c>
      <c r="X109" s="143" t="str">
        <f aca="false">+IF($H109="","",(W109-20))</f>
        <v/>
      </c>
      <c r="Y109" s="144" t="e">
        <f aca="false">IF('Datos de condiciones'!E101="","",'Datos de condiciones'!E101)</f>
        <v>#VALUE!</v>
      </c>
      <c r="Z109" s="145" t="str">
        <f aca="false">+IF($H109="","",Y109-20)</f>
        <v/>
      </c>
      <c r="AA109" s="146" t="str">
        <f aca="false">+IF($H109="","",ABS(X109-Z109))</f>
        <v/>
      </c>
      <c r="AC109" s="147" t="n">
        <f aca="false">+AC108+1</f>
        <v>98</v>
      </c>
      <c r="AD109" s="148" t="str">
        <f aca="false">+IF($H109="","",W109)</f>
        <v/>
      </c>
      <c r="AE109" s="145" t="str">
        <f aca="false">+IF($H109="","",Y109)</f>
        <v/>
      </c>
      <c r="AF109" s="146" t="str">
        <f aca="false">+IF($H109="","",+(ABS(AD109-AE109)))</f>
        <v/>
      </c>
      <c r="AG109" s="149" t="e">
        <f aca="false">IF('Datos de condiciones'!F101="","",'Datos de condiciones'!F101)</f>
        <v>#VALUE!</v>
      </c>
      <c r="AH109" s="135"/>
      <c r="AI109" s="147" t="n">
        <f aca="false">+AI108+1</f>
        <v>98</v>
      </c>
      <c r="AJ109" s="140"/>
      <c r="AK109" s="123" t="e">
        <f aca="false">IF('Datos de condiciones'!G101="","",'Datos de condiciones'!G101)</f>
        <v>#VALUE!</v>
      </c>
      <c r="AL109" s="150"/>
    </row>
    <row r="110" customFormat="false" ht="16.5" hidden="false" customHeight="false" outlineLevel="0" collapsed="false">
      <c r="A110" s="81" t="n">
        <f aca="false">+A109+1</f>
        <v>99</v>
      </c>
      <c r="B110" s="114" t="str">
        <f aca="false">J110</f>
        <v/>
      </c>
      <c r="C110" s="115" t="str">
        <f aca="false">IF(H110="","",H110)</f>
        <v/>
      </c>
      <c r="D110" s="116" t="str">
        <f aca="false">IF(B110="","",(IF('conversion datos'!$L$30='Patrones LACOMET'!$D$3,(VLOOKUP(B110,'BLOQUES PATRON (pulg) '!$D$5:$H$87,3,TRUE())),IF('conversion datos'!$L$30='Patrones LACOMET'!$D$4,((VLOOKUP(CALIBRACION!B110,'BLOQUES PATRON (mm)'!$D$5:$H$126,3,FALSE()))/1000),"No existe el patrón"))))</f>
        <v/>
      </c>
      <c r="E110" s="117" t="str">
        <f aca="false">IF(B110="","",(B110+D110))</f>
        <v/>
      </c>
      <c r="F110" s="118" t="str">
        <f aca="false">IF(B110="","",(IF('conversion datos'!$L$30='Patrones LACOMET'!$D$3,(VLOOKUP(B110,'BLOQUES PATRON (pulg) '!$D$5:$H$86,5,FALSE())),IF('conversion datos'!$L$30='Patrones LACOMET'!$D$4,((VLOOKUP(CALIBRACION!B110,'BLOQUES PATRON (mm)'!$D$5:$H$126,4,FALSE()))/1000000),"No existe el patrón"))))</f>
        <v/>
      </c>
      <c r="G110" s="118" t="str">
        <f aca="false">IF(D110="","",(IF('conversion datos'!$L$30='Patrones LACOMET'!$D$3,(D110*25.4),IF('conversion datos'!$L$30='Patrones LACOMET'!$D$4,D110,"No existe el patrón"))))</f>
        <v/>
      </c>
      <c r="H110" s="119" t="str">
        <f aca="false">IF(J110="","",(IF('conversion datos'!$L$30='Patrones LACOMET'!$D$3,(CALIBRACION!J110*25.4),IF('conversion datos'!$L$30='Patrones LACOMET'!$D$4,(CALIBRACION!J110),"No existe el patrón"))))</f>
        <v/>
      </c>
      <c r="I110" s="120" t="e">
        <f aca="false">IF('conversion datos'!B100="","",'conversion datos'!B100)</f>
        <v>#VALUE!</v>
      </c>
      <c r="J110" s="121" t="str">
        <f aca="false">IF('conversion datos'!C100="","",'conversion datos'!C100)</f>
        <v/>
      </c>
      <c r="K110" s="139"/>
      <c r="L110" s="154"/>
      <c r="M110" s="154"/>
      <c r="N110" s="155"/>
      <c r="O110" s="123" t="str">
        <f aca="false">IF('conversion datos'!F100="","",'conversion datos'!F100)</f>
        <v/>
      </c>
      <c r="P110" s="124" t="str">
        <f aca="false">IF($H110="","",+O110/1000)</f>
        <v/>
      </c>
      <c r="Q110" s="124" t="str">
        <f aca="false">IF($H110="","",(IF('conversion datos'!$L$30='Patrones LACOMET'!$D$3,P110*0.0254,IF('conversion datos'!$L$30='Patrones LACOMET'!$D$4,P110,"No existe el patrón"))))</f>
        <v/>
      </c>
      <c r="R110" s="124" t="str">
        <f aca="false">IF($H110="","",(IF('conversion datos'!$L$30='Patrones LACOMET'!$D$3,E110*25.4,IF('conversion datos'!$L$30='Patrones LACOMET'!$D$4,E110,"No existe el patrón"))))</f>
        <v/>
      </c>
      <c r="S110" s="124" t="str">
        <f aca="false">+IF($H110="","",((INCERTIDUMBRE!$M$8)/1000)/25.4)</f>
        <v/>
      </c>
      <c r="T110" s="124" t="str">
        <f aca="false">IF($H110="","",(+H110+Q110+S110))</f>
        <v/>
      </c>
      <c r="U110" s="125" t="str">
        <f aca="false">IF($H110="","",(T110/25.4))</f>
        <v/>
      </c>
      <c r="W110" s="142" t="e">
        <f aca="false">IF('Datos de condiciones'!D102="","",'Datos de condiciones'!D102)</f>
        <v>#VALUE!</v>
      </c>
      <c r="X110" s="143" t="str">
        <f aca="false">+IF($H110="","",(W110-20))</f>
        <v/>
      </c>
      <c r="Y110" s="144" t="e">
        <f aca="false">IF('Datos de condiciones'!E102="","",'Datos de condiciones'!E102)</f>
        <v>#VALUE!</v>
      </c>
      <c r="Z110" s="145" t="str">
        <f aca="false">+IF($H110="","",Y110-20)</f>
        <v/>
      </c>
      <c r="AA110" s="146" t="str">
        <f aca="false">+IF($H110="","",ABS(X110-Z110))</f>
        <v/>
      </c>
      <c r="AC110" s="147" t="n">
        <f aca="false">+AC109+1</f>
        <v>99</v>
      </c>
      <c r="AD110" s="148" t="str">
        <f aca="false">+IF($H110="","",W110)</f>
        <v/>
      </c>
      <c r="AE110" s="145" t="str">
        <f aca="false">+IF($H110="","",Y110)</f>
        <v/>
      </c>
      <c r="AF110" s="146" t="str">
        <f aca="false">+IF($H110="","",+(ABS(AD110-AE110)))</f>
        <v/>
      </c>
      <c r="AG110" s="149" t="e">
        <f aca="false">IF('Datos de condiciones'!F102="","",'Datos de condiciones'!F102)</f>
        <v>#VALUE!</v>
      </c>
      <c r="AH110" s="135"/>
      <c r="AI110" s="147" t="n">
        <f aca="false">+AI109+1</f>
        <v>99</v>
      </c>
      <c r="AJ110" s="140"/>
      <c r="AK110" s="123" t="e">
        <f aca="false">IF('Datos de condiciones'!G102="","",'Datos de condiciones'!G102)</f>
        <v>#VALUE!</v>
      </c>
      <c r="AL110" s="150"/>
    </row>
    <row r="111" customFormat="false" ht="16.5" hidden="false" customHeight="false" outlineLevel="0" collapsed="false">
      <c r="A111" s="81" t="n">
        <f aca="false">+A110+1</f>
        <v>100</v>
      </c>
      <c r="B111" s="114" t="str">
        <f aca="false">J111</f>
        <v/>
      </c>
      <c r="C111" s="115" t="str">
        <f aca="false">IF(H111="","",H111)</f>
        <v/>
      </c>
      <c r="D111" s="116" t="str">
        <f aca="false">IF(B111="","",(IF('conversion datos'!$L$30='Patrones LACOMET'!$D$3,(VLOOKUP(B111,'BLOQUES PATRON (pulg) '!$D$5:$H$87,3,TRUE())),IF('conversion datos'!$L$30='Patrones LACOMET'!$D$4,((VLOOKUP(CALIBRACION!B111,'BLOQUES PATRON (mm)'!$D$5:$H$126,3,FALSE()))/1000),"No existe el patrón"))))</f>
        <v/>
      </c>
      <c r="E111" s="117" t="str">
        <f aca="false">IF(B111="","",(B111+D111))</f>
        <v/>
      </c>
      <c r="F111" s="118" t="str">
        <f aca="false">IF(B111="","",(IF('conversion datos'!$L$30='Patrones LACOMET'!$D$3,(VLOOKUP(B111,'BLOQUES PATRON (pulg) '!$D$5:$H$86,5,FALSE())),IF('conversion datos'!$L$30='Patrones LACOMET'!$D$4,((VLOOKUP(CALIBRACION!B111,'BLOQUES PATRON (mm)'!$D$5:$H$126,4,FALSE()))/1000000),"No existe el patrón"))))</f>
        <v/>
      </c>
      <c r="G111" s="118" t="str">
        <f aca="false">IF(D111="","",(IF('conversion datos'!$L$30='Patrones LACOMET'!$D$3,(D111*25.4),IF('conversion datos'!$L$30='Patrones LACOMET'!$D$4,D111,"No existe el patrón"))))</f>
        <v/>
      </c>
      <c r="H111" s="119" t="str">
        <f aca="false">IF(J111="","",(IF('conversion datos'!$L$30='Patrones LACOMET'!$D$3,(CALIBRACION!J111*25.4),IF('conversion datos'!$L$30='Patrones LACOMET'!$D$4,(CALIBRACION!J111),"No existe el patrón"))))</f>
        <v/>
      </c>
      <c r="I111" s="120" t="e">
        <f aca="false">IF('conversion datos'!B101="","",'conversion datos'!B101)</f>
        <v>#VALUE!</v>
      </c>
      <c r="J111" s="121" t="str">
        <f aca="false">IF('conversion datos'!C101="","",'conversion datos'!C101)</f>
        <v/>
      </c>
      <c r="K111" s="139"/>
      <c r="L111" s="154"/>
      <c r="M111" s="154"/>
      <c r="N111" s="155"/>
      <c r="O111" s="123" t="str">
        <f aca="false">IF('conversion datos'!F101="","",'conversion datos'!F101)</f>
        <v/>
      </c>
      <c r="P111" s="124" t="str">
        <f aca="false">IF($H111="","",+O111/1000)</f>
        <v/>
      </c>
      <c r="Q111" s="124" t="str">
        <f aca="false">IF($H111="","",(IF('conversion datos'!$L$30='Patrones LACOMET'!$D$3,P111*0.0254,IF('conversion datos'!$L$30='Patrones LACOMET'!$D$4,P111,"No existe el patrón"))))</f>
        <v/>
      </c>
      <c r="R111" s="124" t="str">
        <f aca="false">IF($H111="","",(IF('conversion datos'!$L$30='Patrones LACOMET'!$D$3,E111*25.4,IF('conversion datos'!$L$30='Patrones LACOMET'!$D$4,E111,"No existe el patrón"))))</f>
        <v/>
      </c>
      <c r="S111" s="124" t="str">
        <f aca="false">+IF($H111="","",((INCERTIDUMBRE!$M$8)/1000)/25.4)</f>
        <v/>
      </c>
      <c r="T111" s="124" t="str">
        <f aca="false">IF($H111="","",(+H111+Q111+S111))</f>
        <v/>
      </c>
      <c r="U111" s="125" t="str">
        <f aca="false">IF($H111="","",(T111/25.4))</f>
        <v/>
      </c>
      <c r="W111" s="142" t="e">
        <f aca="false">IF('Datos de condiciones'!D103="","",'Datos de condiciones'!D103)</f>
        <v>#VALUE!</v>
      </c>
      <c r="X111" s="143" t="str">
        <f aca="false">+IF($H111="","",(W111-20))</f>
        <v/>
      </c>
      <c r="Y111" s="144" t="e">
        <f aca="false">IF('Datos de condiciones'!E103="","",'Datos de condiciones'!E103)</f>
        <v>#VALUE!</v>
      </c>
      <c r="Z111" s="145" t="str">
        <f aca="false">+IF($H111="","",Y111-20)</f>
        <v/>
      </c>
      <c r="AA111" s="146" t="str">
        <f aca="false">+IF($H111="","",ABS(X111-Z111))</f>
        <v/>
      </c>
      <c r="AC111" s="147" t="n">
        <f aca="false">+AC110+1</f>
        <v>100</v>
      </c>
      <c r="AD111" s="148" t="str">
        <f aca="false">+IF($H111="","",W111)</f>
        <v/>
      </c>
      <c r="AE111" s="145" t="str">
        <f aca="false">+IF($H111="","",Y111)</f>
        <v/>
      </c>
      <c r="AF111" s="146" t="str">
        <f aca="false">+IF($H111="","",+(ABS(AD111-AE111)))</f>
        <v/>
      </c>
      <c r="AG111" s="149" t="e">
        <f aca="false">IF('Datos de condiciones'!F103="","",'Datos de condiciones'!F103)</f>
        <v>#VALUE!</v>
      </c>
      <c r="AH111" s="135"/>
      <c r="AI111" s="147" t="n">
        <f aca="false">+AI110+1</f>
        <v>100</v>
      </c>
      <c r="AJ111" s="140"/>
      <c r="AK111" s="123" t="e">
        <f aca="false">IF('Datos de condiciones'!G103="","",'Datos de condiciones'!G103)</f>
        <v>#VALUE!</v>
      </c>
      <c r="AL111" s="150"/>
    </row>
    <row r="112" customFormat="false" ht="16.5" hidden="false" customHeight="false" outlineLevel="0" collapsed="false">
      <c r="A112" s="81" t="n">
        <f aca="false">+A111+1</f>
        <v>101</v>
      </c>
      <c r="B112" s="114" t="str">
        <f aca="false">J112</f>
        <v/>
      </c>
      <c r="C112" s="115" t="str">
        <f aca="false">IF(H112="","",H112)</f>
        <v/>
      </c>
      <c r="D112" s="116" t="str">
        <f aca="false">IF(B112="","",(IF('conversion datos'!$L$30='Patrones LACOMET'!$D$3,(VLOOKUP(B112,'BLOQUES PATRON (pulg) '!$D$5:$H$87,3,TRUE())),IF('conversion datos'!$L$30='Patrones LACOMET'!$D$4,((VLOOKUP(CALIBRACION!B112,'BLOQUES PATRON (mm)'!$D$5:$H$126,3,FALSE()))/1000),"No existe el patrón"))))</f>
        <v/>
      </c>
      <c r="E112" s="117" t="str">
        <f aca="false">IF(B112="","",(B112+D112))</f>
        <v/>
      </c>
      <c r="F112" s="118" t="str">
        <f aca="false">IF(B112="","",(IF('conversion datos'!$L$30='Patrones LACOMET'!$D$3,(VLOOKUP(B112,'BLOQUES PATRON (pulg) '!$D$5:$H$86,5,FALSE())),IF('conversion datos'!$L$30='Patrones LACOMET'!$D$4,((VLOOKUP(CALIBRACION!B112,'BLOQUES PATRON (mm)'!$D$5:$H$126,4,FALSE()))/1000000),"No existe el patrón"))))</f>
        <v/>
      </c>
      <c r="G112" s="118" t="str">
        <f aca="false">IF(D112="","",(IF('conversion datos'!$L$30='Patrones LACOMET'!$D$3,(D112*25.4),IF('conversion datos'!$L$30='Patrones LACOMET'!$D$4,D112,"No existe el patrón"))))</f>
        <v/>
      </c>
      <c r="H112" s="119" t="str">
        <f aca="false">IF(J112="","",(IF('conversion datos'!$L$30='Patrones LACOMET'!$D$3,(CALIBRACION!J112*25.4),IF('conversion datos'!$L$30='Patrones LACOMET'!$D$4,(CALIBRACION!J112),"No existe el patrón"))))</f>
        <v/>
      </c>
      <c r="I112" s="120" t="e">
        <f aca="false">IF('conversion datos'!B102="","",'conversion datos'!B102)</f>
        <v>#VALUE!</v>
      </c>
      <c r="J112" s="121" t="str">
        <f aca="false">IF('conversion datos'!C102="","",'conversion datos'!C102)</f>
        <v/>
      </c>
      <c r="K112" s="139"/>
      <c r="L112" s="154"/>
      <c r="M112" s="154"/>
      <c r="N112" s="155"/>
      <c r="O112" s="123" t="str">
        <f aca="false">IF('conversion datos'!F102="","",'conversion datos'!F102)</f>
        <v/>
      </c>
      <c r="P112" s="124" t="str">
        <f aca="false">IF($H112="","",+O112/1000)</f>
        <v/>
      </c>
      <c r="Q112" s="124" t="str">
        <f aca="false">IF($H112="","",(IF('conversion datos'!$L$30='Patrones LACOMET'!$D$3,P112*0.0254,IF('conversion datos'!$L$30='Patrones LACOMET'!$D$4,P112,"No existe el patrón"))))</f>
        <v/>
      </c>
      <c r="R112" s="124" t="str">
        <f aca="false">IF($H112="","",(IF('conversion datos'!$L$30='Patrones LACOMET'!$D$3,E112*25.4,IF('conversion datos'!$L$30='Patrones LACOMET'!$D$4,E112,"No existe el patrón"))))</f>
        <v/>
      </c>
      <c r="S112" s="124" t="str">
        <f aca="false">+IF($H112="","",((INCERTIDUMBRE!$M$8)/1000)/25.4)</f>
        <v/>
      </c>
      <c r="T112" s="124" t="str">
        <f aca="false">IF($H112="","",(+H112+Q112+S112))</f>
        <v/>
      </c>
      <c r="U112" s="125" t="str">
        <f aca="false">IF($H112="","",(T112/25.4))</f>
        <v/>
      </c>
      <c r="W112" s="142" t="e">
        <f aca="false">IF('Datos de condiciones'!D104="","",'Datos de condiciones'!D104)</f>
        <v>#VALUE!</v>
      </c>
      <c r="X112" s="143" t="str">
        <f aca="false">+IF($H112="","",(W112-20))</f>
        <v/>
      </c>
      <c r="Y112" s="144" t="e">
        <f aca="false">IF('Datos de condiciones'!E104="","",'Datos de condiciones'!E104)</f>
        <v>#VALUE!</v>
      </c>
      <c r="Z112" s="145" t="str">
        <f aca="false">+IF($H112="","",Y112-20)</f>
        <v/>
      </c>
      <c r="AA112" s="146" t="str">
        <f aca="false">+IF($H112="","",ABS(X112-Z112))</f>
        <v/>
      </c>
      <c r="AC112" s="147" t="n">
        <f aca="false">+AC111+1</f>
        <v>101</v>
      </c>
      <c r="AD112" s="148" t="str">
        <f aca="false">+IF($H112="","",W112)</f>
        <v/>
      </c>
      <c r="AE112" s="145" t="str">
        <f aca="false">+IF($H112="","",Y112)</f>
        <v/>
      </c>
      <c r="AF112" s="146" t="str">
        <f aca="false">+IF($H112="","",+(ABS(AD112-AE112)))</f>
        <v/>
      </c>
      <c r="AG112" s="149" t="e">
        <f aca="false">IF('Datos de condiciones'!F104="","",'Datos de condiciones'!F104)</f>
        <v>#VALUE!</v>
      </c>
      <c r="AH112" s="135"/>
      <c r="AI112" s="147" t="n">
        <f aca="false">+AI111+1</f>
        <v>101</v>
      </c>
      <c r="AJ112" s="140"/>
      <c r="AK112" s="123" t="e">
        <f aca="false">IF('Datos de condiciones'!G104="","",'Datos de condiciones'!G104)</f>
        <v>#VALUE!</v>
      </c>
      <c r="AL112" s="150"/>
    </row>
    <row r="113" customFormat="false" ht="16.5" hidden="false" customHeight="false" outlineLevel="0" collapsed="false">
      <c r="A113" s="81" t="n">
        <f aca="false">+A112+1</f>
        <v>102</v>
      </c>
      <c r="B113" s="114" t="str">
        <f aca="false">J113</f>
        <v/>
      </c>
      <c r="C113" s="115" t="str">
        <f aca="false">IF(H113="","",H113)</f>
        <v/>
      </c>
      <c r="D113" s="116" t="str">
        <f aca="false">IF(B113="","",(IF('conversion datos'!$L$30='Patrones LACOMET'!$D$3,(VLOOKUP(B113,'BLOQUES PATRON (pulg) '!$D$5:$H$87,3,TRUE())),IF('conversion datos'!$L$30='Patrones LACOMET'!$D$4,((VLOOKUP(CALIBRACION!B113,'BLOQUES PATRON (mm)'!$D$5:$H$126,3,FALSE()))/1000),"No existe el patrón"))))</f>
        <v/>
      </c>
      <c r="E113" s="117" t="str">
        <f aca="false">IF(B113="","",(B113+D113))</f>
        <v/>
      </c>
      <c r="F113" s="118" t="str">
        <f aca="false">IF(B113="","",(IF('conversion datos'!$L$30='Patrones LACOMET'!$D$3,(VLOOKUP(B113,'BLOQUES PATRON (pulg) '!$D$5:$H$86,5,FALSE())),IF('conversion datos'!$L$30='Patrones LACOMET'!$D$4,((VLOOKUP(CALIBRACION!B113,'BLOQUES PATRON (mm)'!$D$5:$H$126,4,FALSE()))/1000000),"No existe el patrón"))))</f>
        <v/>
      </c>
      <c r="G113" s="118" t="str">
        <f aca="false">IF(D113="","",(IF('conversion datos'!$L$30='Patrones LACOMET'!$D$3,(D113*25.4),IF('conversion datos'!$L$30='Patrones LACOMET'!$D$4,D113,"No existe el patrón"))))</f>
        <v/>
      </c>
      <c r="H113" s="119" t="str">
        <f aca="false">IF(J113="","",(IF('conversion datos'!$L$30='Patrones LACOMET'!$D$3,(CALIBRACION!J113*25.4),IF('conversion datos'!$L$30='Patrones LACOMET'!$D$4,(CALIBRACION!J113),"No existe el patrón"))))</f>
        <v/>
      </c>
      <c r="I113" s="120" t="e">
        <f aca="false">IF('conversion datos'!B103="","",'conversion datos'!B103)</f>
        <v>#VALUE!</v>
      </c>
      <c r="J113" s="121" t="str">
        <f aca="false">IF('conversion datos'!C103="","",'conversion datos'!C103)</f>
        <v/>
      </c>
      <c r="K113" s="139"/>
      <c r="L113" s="154"/>
      <c r="M113" s="154"/>
      <c r="N113" s="155"/>
      <c r="O113" s="123" t="str">
        <f aca="false">IF('conversion datos'!F103="","",'conversion datos'!F103)</f>
        <v/>
      </c>
      <c r="P113" s="124" t="str">
        <f aca="false">IF($H113="","",+O113/1000)</f>
        <v/>
      </c>
      <c r="Q113" s="124" t="str">
        <f aca="false">IF($H113="","",(IF('conversion datos'!$L$30='Patrones LACOMET'!$D$3,P113*0.0254,IF('conversion datos'!$L$30='Patrones LACOMET'!$D$4,P113,"No existe el patrón"))))</f>
        <v/>
      </c>
      <c r="R113" s="124" t="str">
        <f aca="false">IF($H113="","",(IF('conversion datos'!$L$30='Patrones LACOMET'!$D$3,E113*25.4,IF('conversion datos'!$L$30='Patrones LACOMET'!$D$4,E113,"No existe el patrón"))))</f>
        <v/>
      </c>
      <c r="S113" s="124" t="str">
        <f aca="false">+IF($H113="","",((INCERTIDUMBRE!$M$8)/1000)/25.4)</f>
        <v/>
      </c>
      <c r="T113" s="124" t="str">
        <f aca="false">IF($H113="","",(+H113+Q113+S113))</f>
        <v/>
      </c>
      <c r="U113" s="125" t="str">
        <f aca="false">IF($H113="","",(T113/25.4))</f>
        <v/>
      </c>
      <c r="W113" s="142" t="e">
        <f aca="false">IF('Datos de condiciones'!D105="","",'Datos de condiciones'!D105)</f>
        <v>#VALUE!</v>
      </c>
      <c r="X113" s="143" t="str">
        <f aca="false">+IF($H113="","",(W113-20))</f>
        <v/>
      </c>
      <c r="Y113" s="144" t="e">
        <f aca="false">IF('Datos de condiciones'!E105="","",'Datos de condiciones'!E105)</f>
        <v>#VALUE!</v>
      </c>
      <c r="Z113" s="145" t="str">
        <f aca="false">+IF($H113="","",Y113-20)</f>
        <v/>
      </c>
      <c r="AA113" s="146" t="str">
        <f aca="false">+IF($H113="","",ABS(X113-Z113))</f>
        <v/>
      </c>
      <c r="AC113" s="147" t="n">
        <f aca="false">+AC112+1</f>
        <v>102</v>
      </c>
      <c r="AD113" s="148" t="str">
        <f aca="false">+IF($H113="","",W113)</f>
        <v/>
      </c>
      <c r="AE113" s="145" t="str">
        <f aca="false">+IF($H113="","",Y113)</f>
        <v/>
      </c>
      <c r="AF113" s="146" t="str">
        <f aca="false">+IF($H113="","",+(ABS(AD113-AE113)))</f>
        <v/>
      </c>
      <c r="AG113" s="149" t="e">
        <f aca="false">IF('Datos de condiciones'!F105="","",'Datos de condiciones'!F105)</f>
        <v>#VALUE!</v>
      </c>
      <c r="AH113" s="135"/>
      <c r="AI113" s="147" t="n">
        <f aca="false">+AI112+1</f>
        <v>102</v>
      </c>
      <c r="AJ113" s="140"/>
      <c r="AK113" s="123" t="e">
        <f aca="false">IF('Datos de condiciones'!G105="","",'Datos de condiciones'!G105)</f>
        <v>#VALUE!</v>
      </c>
      <c r="AL113" s="150"/>
    </row>
    <row r="114" customFormat="false" ht="16.5" hidden="false" customHeight="false" outlineLevel="0" collapsed="false">
      <c r="A114" s="81" t="n">
        <f aca="false">+A113+1</f>
        <v>103</v>
      </c>
      <c r="B114" s="114" t="str">
        <f aca="false">J114</f>
        <v/>
      </c>
      <c r="C114" s="115" t="str">
        <f aca="false">IF(H114="","",H114)</f>
        <v/>
      </c>
      <c r="D114" s="116" t="str">
        <f aca="false">IF(B114="","",(IF('conversion datos'!$L$30='Patrones LACOMET'!$D$3,(VLOOKUP(B114,'BLOQUES PATRON (pulg) '!$D$5:$H$87,3,TRUE())),IF('conversion datos'!$L$30='Patrones LACOMET'!$D$4,((VLOOKUP(CALIBRACION!B114,'BLOQUES PATRON (mm)'!$D$5:$H$126,3,FALSE()))/1000),"No existe el patrón"))))</f>
        <v/>
      </c>
      <c r="E114" s="117" t="str">
        <f aca="false">IF(B114="","",(B114+D114))</f>
        <v/>
      </c>
      <c r="F114" s="118" t="str">
        <f aca="false">IF(B114="","",(IF('conversion datos'!$L$30='Patrones LACOMET'!$D$3,(VLOOKUP(B114,'BLOQUES PATRON (pulg) '!$D$5:$H$86,5,FALSE())),IF('conversion datos'!$L$30='Patrones LACOMET'!$D$4,((VLOOKUP(CALIBRACION!B114,'BLOQUES PATRON (mm)'!$D$5:$H$126,4,FALSE()))/1000000),"No existe el patrón"))))</f>
        <v/>
      </c>
      <c r="G114" s="118" t="str">
        <f aca="false">IF(D114="","",(IF('conversion datos'!$L$30='Patrones LACOMET'!$D$3,(D114*25.4),IF('conversion datos'!$L$30='Patrones LACOMET'!$D$4,D114,"No existe el patrón"))))</f>
        <v/>
      </c>
      <c r="H114" s="119" t="str">
        <f aca="false">IF(J114="","",(IF('conversion datos'!$L$30='Patrones LACOMET'!$D$3,(CALIBRACION!J114*25.4),IF('conversion datos'!$L$30='Patrones LACOMET'!$D$4,(CALIBRACION!J114),"No existe el patrón"))))</f>
        <v/>
      </c>
      <c r="I114" s="120" t="e">
        <f aca="false">IF('conversion datos'!B104="","",'conversion datos'!B104)</f>
        <v>#VALUE!</v>
      </c>
      <c r="J114" s="121" t="str">
        <f aca="false">IF('conversion datos'!C104="","",'conversion datos'!C104)</f>
        <v/>
      </c>
      <c r="K114" s="139"/>
      <c r="L114" s="154"/>
      <c r="M114" s="154"/>
      <c r="N114" s="155"/>
      <c r="O114" s="123" t="str">
        <f aca="false">IF('conversion datos'!F104="","",'conversion datos'!F104)</f>
        <v/>
      </c>
      <c r="P114" s="124" t="str">
        <f aca="false">IF($H114="","",+O114/1000)</f>
        <v/>
      </c>
      <c r="Q114" s="124" t="str">
        <f aca="false">IF($H114="","",(IF('conversion datos'!$L$30='Patrones LACOMET'!$D$3,P114*0.0254,IF('conversion datos'!$L$30='Patrones LACOMET'!$D$4,P114,"No existe el patrón"))))</f>
        <v/>
      </c>
      <c r="R114" s="124" t="str">
        <f aca="false">IF($H114="","",(IF('conversion datos'!$L$30='Patrones LACOMET'!$D$3,E114*25.4,IF('conversion datos'!$L$30='Patrones LACOMET'!$D$4,E114,"No existe el patrón"))))</f>
        <v/>
      </c>
      <c r="S114" s="124" t="str">
        <f aca="false">+IF($H114="","",((INCERTIDUMBRE!$M$8)/1000)/25.4)</f>
        <v/>
      </c>
      <c r="T114" s="124" t="str">
        <f aca="false">IF($H114="","",(+H114+Q114+S114))</f>
        <v/>
      </c>
      <c r="U114" s="125" t="str">
        <f aca="false">IF($H114="","",(T114/25.4))</f>
        <v/>
      </c>
      <c r="W114" s="142" t="e">
        <f aca="false">IF('Datos de condiciones'!D106="","",'Datos de condiciones'!D106)</f>
        <v>#VALUE!</v>
      </c>
      <c r="X114" s="143" t="str">
        <f aca="false">+IF($H114="","",(W114-20))</f>
        <v/>
      </c>
      <c r="Y114" s="144" t="e">
        <f aca="false">IF('Datos de condiciones'!E106="","",'Datos de condiciones'!E106)</f>
        <v>#VALUE!</v>
      </c>
      <c r="Z114" s="145" t="str">
        <f aca="false">+IF($H114="","",Y114-20)</f>
        <v/>
      </c>
      <c r="AA114" s="146" t="str">
        <f aca="false">+IF($H114="","",ABS(X114-Z114))</f>
        <v/>
      </c>
      <c r="AC114" s="147" t="n">
        <f aca="false">+AC113+1</f>
        <v>103</v>
      </c>
      <c r="AD114" s="148" t="str">
        <f aca="false">+IF($H114="","",W114)</f>
        <v/>
      </c>
      <c r="AE114" s="145" t="str">
        <f aca="false">+IF($H114="","",Y114)</f>
        <v/>
      </c>
      <c r="AF114" s="146" t="str">
        <f aca="false">+IF($H114="","",+(ABS(AD114-AE114)))</f>
        <v/>
      </c>
      <c r="AG114" s="149" t="e">
        <f aca="false">IF('Datos de condiciones'!F106="","",'Datos de condiciones'!F106)</f>
        <v>#VALUE!</v>
      </c>
      <c r="AH114" s="135"/>
      <c r="AI114" s="147" t="n">
        <f aca="false">+AI113+1</f>
        <v>103</v>
      </c>
      <c r="AJ114" s="140"/>
      <c r="AK114" s="123" t="e">
        <f aca="false">IF('Datos de condiciones'!G106="","",'Datos de condiciones'!G106)</f>
        <v>#VALUE!</v>
      </c>
      <c r="AL114" s="150"/>
    </row>
    <row r="115" customFormat="false" ht="16.5" hidden="false" customHeight="false" outlineLevel="0" collapsed="false">
      <c r="A115" s="81" t="n">
        <f aca="false">+A114+1</f>
        <v>104</v>
      </c>
      <c r="B115" s="114" t="str">
        <f aca="false">J115</f>
        <v/>
      </c>
      <c r="C115" s="115" t="str">
        <f aca="false">IF(H115="","",H115)</f>
        <v/>
      </c>
      <c r="D115" s="116" t="str">
        <f aca="false">IF(B115="","",(IF('conversion datos'!$L$30='Patrones LACOMET'!$D$3,(VLOOKUP(B115,'BLOQUES PATRON (pulg) '!$D$5:$H$87,3,TRUE())),IF('conversion datos'!$L$30='Patrones LACOMET'!$D$4,((VLOOKUP(CALIBRACION!B115,'BLOQUES PATRON (mm)'!$D$5:$H$126,3,FALSE()))/1000),"No existe el patrón"))))</f>
        <v/>
      </c>
      <c r="E115" s="117" t="str">
        <f aca="false">IF(B115="","",(B115+D115))</f>
        <v/>
      </c>
      <c r="F115" s="118" t="str">
        <f aca="false">IF(B115="","",(IF('conversion datos'!$L$30='Patrones LACOMET'!$D$3,(VLOOKUP(B115,'BLOQUES PATRON (pulg) '!$D$5:$H$86,5,FALSE())),IF('conversion datos'!$L$30='Patrones LACOMET'!$D$4,((VLOOKUP(CALIBRACION!B115,'BLOQUES PATRON (mm)'!$D$5:$H$126,4,FALSE()))/1000000),"No existe el patrón"))))</f>
        <v/>
      </c>
      <c r="G115" s="118" t="str">
        <f aca="false">IF(D115="","",(IF('conversion datos'!$L$30='Patrones LACOMET'!$D$3,(D115*25.4),IF('conversion datos'!$L$30='Patrones LACOMET'!$D$4,D115,"No existe el patrón"))))</f>
        <v/>
      </c>
      <c r="H115" s="119" t="str">
        <f aca="false">IF(J115="","",(IF('conversion datos'!$L$30='Patrones LACOMET'!$D$3,(CALIBRACION!J115*25.4),IF('conversion datos'!$L$30='Patrones LACOMET'!$D$4,(CALIBRACION!J115),"No existe el patrón"))))</f>
        <v/>
      </c>
      <c r="I115" s="120" t="e">
        <f aca="false">IF('conversion datos'!B105="","",'conversion datos'!B105)</f>
        <v>#VALUE!</v>
      </c>
      <c r="J115" s="121" t="str">
        <f aca="false">IF('conversion datos'!C105="","",'conversion datos'!C105)</f>
        <v/>
      </c>
      <c r="K115" s="139"/>
      <c r="L115" s="154"/>
      <c r="M115" s="154"/>
      <c r="N115" s="155"/>
      <c r="O115" s="123" t="str">
        <f aca="false">IF('conversion datos'!F105="","",'conversion datos'!F105)</f>
        <v/>
      </c>
      <c r="P115" s="124" t="str">
        <f aca="false">IF($H115="","",+O115/1000)</f>
        <v/>
      </c>
      <c r="Q115" s="124" t="str">
        <f aca="false">IF($H115="","",(IF('conversion datos'!$L$30='Patrones LACOMET'!$D$3,P115*0.0254,IF('conversion datos'!$L$30='Patrones LACOMET'!$D$4,P115,"No existe el patrón"))))</f>
        <v/>
      </c>
      <c r="R115" s="124" t="str">
        <f aca="false">IF($H115="","",(IF('conversion datos'!$L$30='Patrones LACOMET'!$D$3,E115*25.4,IF('conversion datos'!$L$30='Patrones LACOMET'!$D$4,E115,"No existe el patrón"))))</f>
        <v/>
      </c>
      <c r="S115" s="124" t="str">
        <f aca="false">+IF($H115="","",((INCERTIDUMBRE!$M$8)/1000)/25.4)</f>
        <v/>
      </c>
      <c r="T115" s="124" t="str">
        <f aca="false">IF($H115="","",(+H115+Q115+S115))</f>
        <v/>
      </c>
      <c r="U115" s="125" t="str">
        <f aca="false">IF($H115="","",(T115/25.4))</f>
        <v/>
      </c>
      <c r="W115" s="142" t="e">
        <f aca="false">IF('Datos de condiciones'!D107="","",'Datos de condiciones'!D107)</f>
        <v>#VALUE!</v>
      </c>
      <c r="X115" s="143" t="str">
        <f aca="false">+IF($H115="","",(W115-20))</f>
        <v/>
      </c>
      <c r="Y115" s="144" t="e">
        <f aca="false">IF('Datos de condiciones'!E107="","",'Datos de condiciones'!E107)</f>
        <v>#VALUE!</v>
      </c>
      <c r="Z115" s="145" t="str">
        <f aca="false">+IF($H115="","",Y115-20)</f>
        <v/>
      </c>
      <c r="AA115" s="146" t="str">
        <f aca="false">+IF($H115="","",ABS(X115-Z115))</f>
        <v/>
      </c>
      <c r="AC115" s="147" t="n">
        <f aca="false">+AC114+1</f>
        <v>104</v>
      </c>
      <c r="AD115" s="148" t="str">
        <f aca="false">+IF($H115="","",W115)</f>
        <v/>
      </c>
      <c r="AE115" s="145" t="str">
        <f aca="false">+IF($H115="","",Y115)</f>
        <v/>
      </c>
      <c r="AF115" s="146" t="str">
        <f aca="false">+IF($H115="","",+(ABS(AD115-AE115)))</f>
        <v/>
      </c>
      <c r="AG115" s="149" t="e">
        <f aca="false">IF('Datos de condiciones'!F107="","",'Datos de condiciones'!F107)</f>
        <v>#VALUE!</v>
      </c>
      <c r="AH115" s="135"/>
      <c r="AI115" s="147" t="n">
        <f aca="false">+AI114+1</f>
        <v>104</v>
      </c>
      <c r="AJ115" s="140"/>
      <c r="AK115" s="123" t="e">
        <f aca="false">IF('Datos de condiciones'!G107="","",'Datos de condiciones'!G107)</f>
        <v>#VALUE!</v>
      </c>
      <c r="AL115" s="150"/>
    </row>
    <row r="116" customFormat="false" ht="16.5" hidden="false" customHeight="false" outlineLevel="0" collapsed="false">
      <c r="A116" s="81" t="n">
        <f aca="false">+A115+1</f>
        <v>105</v>
      </c>
      <c r="B116" s="114" t="str">
        <f aca="false">J116</f>
        <v/>
      </c>
      <c r="C116" s="115" t="str">
        <f aca="false">IF(H116="","",H116)</f>
        <v/>
      </c>
      <c r="D116" s="116" t="str">
        <f aca="false">IF(B116="","",(IF('conversion datos'!$L$30='Patrones LACOMET'!$D$3,(VLOOKUP(B116,'BLOQUES PATRON (pulg) '!$D$5:$H$87,3,TRUE())),IF('conversion datos'!$L$30='Patrones LACOMET'!$D$4,((VLOOKUP(CALIBRACION!B116,'BLOQUES PATRON (mm)'!$D$5:$H$126,3,FALSE()))/1000),"No existe el patrón"))))</f>
        <v/>
      </c>
      <c r="E116" s="117" t="str">
        <f aca="false">IF(B116="","",(B116+D116))</f>
        <v/>
      </c>
      <c r="F116" s="118" t="str">
        <f aca="false">IF(B116="","",(IF('conversion datos'!$L$30='Patrones LACOMET'!$D$3,(VLOOKUP(B116,'BLOQUES PATRON (pulg) '!$D$5:$H$86,5,FALSE())),IF('conversion datos'!$L$30='Patrones LACOMET'!$D$4,((VLOOKUP(CALIBRACION!B116,'BLOQUES PATRON (mm)'!$D$5:$H$126,4,FALSE()))/1000000),"No existe el patrón"))))</f>
        <v/>
      </c>
      <c r="G116" s="118" t="str">
        <f aca="false">IF(D116="","",(IF('conversion datos'!$L$30='Patrones LACOMET'!$D$3,(D116*25.4),IF('conversion datos'!$L$30='Patrones LACOMET'!$D$4,D116,"No existe el patrón"))))</f>
        <v/>
      </c>
      <c r="H116" s="119" t="str">
        <f aca="false">IF(J116="","",(IF('conversion datos'!$L$30='Patrones LACOMET'!$D$3,(CALIBRACION!J116*25.4),IF('conversion datos'!$L$30='Patrones LACOMET'!$D$4,(CALIBRACION!J116),"No existe el patrón"))))</f>
        <v/>
      </c>
      <c r="I116" s="120" t="e">
        <f aca="false">IF('conversion datos'!B106="","",'conversion datos'!B106)</f>
        <v>#VALUE!</v>
      </c>
      <c r="J116" s="121" t="str">
        <f aca="false">IF('conversion datos'!C106="","",'conversion datos'!C106)</f>
        <v/>
      </c>
      <c r="K116" s="139"/>
      <c r="L116" s="154"/>
      <c r="M116" s="154"/>
      <c r="N116" s="155"/>
      <c r="O116" s="123" t="str">
        <f aca="false">IF('conversion datos'!F106="","",'conversion datos'!F106)</f>
        <v/>
      </c>
      <c r="P116" s="124" t="str">
        <f aca="false">IF($H116="","",+O116/1000)</f>
        <v/>
      </c>
      <c r="Q116" s="124" t="str">
        <f aca="false">IF($H116="","",(IF('conversion datos'!$L$30='Patrones LACOMET'!$D$3,P116*0.0254,IF('conversion datos'!$L$30='Patrones LACOMET'!$D$4,P116,"No existe el patrón"))))</f>
        <v/>
      </c>
      <c r="R116" s="124" t="str">
        <f aca="false">IF($H116="","",(IF('conversion datos'!$L$30='Patrones LACOMET'!$D$3,E116*25.4,IF('conversion datos'!$L$30='Patrones LACOMET'!$D$4,E116,"No existe el patrón"))))</f>
        <v/>
      </c>
      <c r="S116" s="124" t="str">
        <f aca="false">+IF($H116="","",((INCERTIDUMBRE!$M$8)/1000)/25.4)</f>
        <v/>
      </c>
      <c r="T116" s="124" t="str">
        <f aca="false">IF($H116="","",(+H116+Q116+S116))</f>
        <v/>
      </c>
      <c r="U116" s="125" t="str">
        <f aca="false">IF($H116="","",(T116/25.4))</f>
        <v/>
      </c>
      <c r="W116" s="142" t="e">
        <f aca="false">IF('Datos de condiciones'!D108="","",'Datos de condiciones'!D108)</f>
        <v>#VALUE!</v>
      </c>
      <c r="X116" s="143" t="str">
        <f aca="false">+IF($H116="","",(W116-20))</f>
        <v/>
      </c>
      <c r="Y116" s="144" t="e">
        <f aca="false">IF('Datos de condiciones'!E108="","",'Datos de condiciones'!E108)</f>
        <v>#VALUE!</v>
      </c>
      <c r="Z116" s="145" t="str">
        <f aca="false">+IF($H116="","",Y116-20)</f>
        <v/>
      </c>
      <c r="AA116" s="146" t="str">
        <f aca="false">+IF($H116="","",ABS(X116-Z116))</f>
        <v/>
      </c>
      <c r="AC116" s="147" t="n">
        <f aca="false">+AC115+1</f>
        <v>105</v>
      </c>
      <c r="AD116" s="148" t="str">
        <f aca="false">+IF($H116="","",W116)</f>
        <v/>
      </c>
      <c r="AE116" s="145" t="str">
        <f aca="false">+IF($H116="","",Y116)</f>
        <v/>
      </c>
      <c r="AF116" s="146" t="str">
        <f aca="false">+IF($H116="","",+(ABS(AD116-AE116)))</f>
        <v/>
      </c>
      <c r="AG116" s="149" t="e">
        <f aca="false">IF('Datos de condiciones'!F108="","",'Datos de condiciones'!F108)</f>
        <v>#VALUE!</v>
      </c>
      <c r="AH116" s="135"/>
      <c r="AI116" s="147" t="n">
        <f aca="false">+AI115+1</f>
        <v>105</v>
      </c>
      <c r="AJ116" s="140"/>
      <c r="AK116" s="123" t="e">
        <f aca="false">IF('Datos de condiciones'!G108="","",'Datos de condiciones'!G108)</f>
        <v>#VALUE!</v>
      </c>
      <c r="AL116" s="150"/>
    </row>
    <row r="117" customFormat="false" ht="16.5" hidden="false" customHeight="false" outlineLevel="0" collapsed="false">
      <c r="A117" s="81" t="n">
        <f aca="false">+A116+1</f>
        <v>106</v>
      </c>
      <c r="B117" s="114" t="str">
        <f aca="false">J117</f>
        <v/>
      </c>
      <c r="C117" s="115" t="str">
        <f aca="false">IF(H117="","",H117)</f>
        <v/>
      </c>
      <c r="D117" s="116" t="str">
        <f aca="false">IF(B117="","",(IF('conversion datos'!$L$30='Patrones LACOMET'!$D$3,(VLOOKUP(B117,'BLOQUES PATRON (pulg) '!$D$5:$H$87,3,TRUE())),IF('conversion datos'!$L$30='Patrones LACOMET'!$D$4,((VLOOKUP(CALIBRACION!B117,'BLOQUES PATRON (mm)'!$D$5:$H$126,3,FALSE()))/1000),"No existe el patrón"))))</f>
        <v/>
      </c>
      <c r="E117" s="117" t="str">
        <f aca="false">IF(B117="","",(B117+D117))</f>
        <v/>
      </c>
      <c r="F117" s="118" t="str">
        <f aca="false">IF(B117="","",(IF('conversion datos'!$L$30='Patrones LACOMET'!$D$3,(VLOOKUP(B117,'BLOQUES PATRON (pulg) '!$D$5:$H$86,5,FALSE())),IF('conversion datos'!$L$30='Patrones LACOMET'!$D$4,((VLOOKUP(CALIBRACION!B117,'BLOQUES PATRON (mm)'!$D$5:$H$126,4,FALSE()))/1000000),"No existe el patrón"))))</f>
        <v/>
      </c>
      <c r="G117" s="118" t="str">
        <f aca="false">IF(D117="","",(IF('conversion datos'!$L$30='Patrones LACOMET'!$D$3,(D117*25.4),IF('conversion datos'!$L$30='Patrones LACOMET'!$D$4,D117,"No existe el patrón"))))</f>
        <v/>
      </c>
      <c r="H117" s="119" t="str">
        <f aca="false">IF(J117="","",(IF('conversion datos'!$L$30='Patrones LACOMET'!$D$3,(CALIBRACION!J117*25.4),IF('conversion datos'!$L$30='Patrones LACOMET'!$D$4,(CALIBRACION!J117),"No existe el patrón"))))</f>
        <v/>
      </c>
      <c r="I117" s="120" t="e">
        <f aca="false">IF('conversion datos'!B107="","",'conversion datos'!B107)</f>
        <v>#VALUE!</v>
      </c>
      <c r="J117" s="121" t="str">
        <f aca="false">IF('conversion datos'!C107="","",'conversion datos'!C107)</f>
        <v/>
      </c>
      <c r="K117" s="139"/>
      <c r="L117" s="154"/>
      <c r="M117" s="154"/>
      <c r="N117" s="155"/>
      <c r="O117" s="123" t="str">
        <f aca="false">IF('conversion datos'!F107="","",'conversion datos'!F107)</f>
        <v/>
      </c>
      <c r="P117" s="124" t="str">
        <f aca="false">IF($H117="","",+O117/1000)</f>
        <v/>
      </c>
      <c r="Q117" s="124" t="str">
        <f aca="false">IF($H117="","",(IF('conversion datos'!$L$30='Patrones LACOMET'!$D$3,P117*0.0254,IF('conversion datos'!$L$30='Patrones LACOMET'!$D$4,P117,"No existe el patrón"))))</f>
        <v/>
      </c>
      <c r="R117" s="124" t="str">
        <f aca="false">IF($H117="","",(IF('conversion datos'!$L$30='Patrones LACOMET'!$D$3,E117*25.4,IF('conversion datos'!$L$30='Patrones LACOMET'!$D$4,E117,"No existe el patrón"))))</f>
        <v/>
      </c>
      <c r="S117" s="124" t="str">
        <f aca="false">+IF($H117="","",((INCERTIDUMBRE!$M$8)/1000)/25.4)</f>
        <v/>
      </c>
      <c r="T117" s="124" t="str">
        <f aca="false">IF($H117="","",(+H117+Q117+S117))</f>
        <v/>
      </c>
      <c r="U117" s="125" t="str">
        <f aca="false">IF($H117="","",(T117/25.4))</f>
        <v/>
      </c>
      <c r="W117" s="142" t="e">
        <f aca="false">IF('Datos de condiciones'!D109="","",'Datos de condiciones'!D109)</f>
        <v>#VALUE!</v>
      </c>
      <c r="X117" s="143" t="str">
        <f aca="false">+IF($H117="","",(W117-20))</f>
        <v/>
      </c>
      <c r="Y117" s="144" t="e">
        <f aca="false">IF('Datos de condiciones'!E109="","",'Datos de condiciones'!E109)</f>
        <v>#VALUE!</v>
      </c>
      <c r="Z117" s="145" t="str">
        <f aca="false">+IF($H117="","",Y117-20)</f>
        <v/>
      </c>
      <c r="AA117" s="146" t="str">
        <f aca="false">+IF($H117="","",ABS(X117-Z117))</f>
        <v/>
      </c>
      <c r="AC117" s="147" t="n">
        <f aca="false">+AC116+1</f>
        <v>106</v>
      </c>
      <c r="AD117" s="148" t="str">
        <f aca="false">+IF($H117="","",W117)</f>
        <v/>
      </c>
      <c r="AE117" s="145" t="str">
        <f aca="false">+IF($H117="","",Y117)</f>
        <v/>
      </c>
      <c r="AF117" s="146" t="str">
        <f aca="false">+IF($H117="","",+(ABS(AD117-AE117)))</f>
        <v/>
      </c>
      <c r="AG117" s="149" t="e">
        <f aca="false">IF('Datos de condiciones'!F109="","",'Datos de condiciones'!F109)</f>
        <v>#VALUE!</v>
      </c>
      <c r="AH117" s="135"/>
      <c r="AI117" s="147" t="n">
        <f aca="false">+AI116+1</f>
        <v>106</v>
      </c>
      <c r="AJ117" s="140"/>
      <c r="AK117" s="123" t="e">
        <f aca="false">IF('Datos de condiciones'!G109="","",'Datos de condiciones'!G109)</f>
        <v>#VALUE!</v>
      </c>
      <c r="AL117" s="150"/>
    </row>
    <row r="118" customFormat="false" ht="16.5" hidden="false" customHeight="false" outlineLevel="0" collapsed="false">
      <c r="A118" s="81" t="n">
        <f aca="false">+A117+1</f>
        <v>107</v>
      </c>
      <c r="B118" s="114" t="str">
        <f aca="false">J118</f>
        <v/>
      </c>
      <c r="C118" s="115" t="str">
        <f aca="false">IF(H118="","",H118)</f>
        <v/>
      </c>
      <c r="D118" s="116" t="str">
        <f aca="false">IF(B118="","",(IF('conversion datos'!$L$30='Patrones LACOMET'!$D$3,(VLOOKUP(B118,'BLOQUES PATRON (pulg) '!$D$5:$H$87,3,TRUE())),IF('conversion datos'!$L$30='Patrones LACOMET'!$D$4,((VLOOKUP(CALIBRACION!B118,'BLOQUES PATRON (mm)'!$D$5:$H$126,3,FALSE()))/1000),"No existe el patrón"))))</f>
        <v/>
      </c>
      <c r="E118" s="117" t="str">
        <f aca="false">IF(B118="","",(B118+D118))</f>
        <v/>
      </c>
      <c r="F118" s="118" t="str">
        <f aca="false">IF(B118="","",(IF('conversion datos'!$L$30='Patrones LACOMET'!$D$3,(VLOOKUP(B118,'BLOQUES PATRON (pulg) '!$D$5:$H$86,5,FALSE())),IF('conversion datos'!$L$30='Patrones LACOMET'!$D$4,((VLOOKUP(CALIBRACION!B118,'BLOQUES PATRON (mm)'!$D$5:$H$126,4,FALSE()))/1000000),"No existe el patrón"))))</f>
        <v/>
      </c>
      <c r="G118" s="118" t="str">
        <f aca="false">IF(D118="","",(IF('conversion datos'!$L$30='Patrones LACOMET'!$D$3,(D118*25.4),IF('conversion datos'!$L$30='Patrones LACOMET'!$D$4,D118,"No existe el patrón"))))</f>
        <v/>
      </c>
      <c r="H118" s="119" t="str">
        <f aca="false">IF(J118="","",(IF('conversion datos'!$L$30='Patrones LACOMET'!$D$3,(CALIBRACION!J118*25.4),IF('conversion datos'!$L$30='Patrones LACOMET'!$D$4,(CALIBRACION!J118),"No existe el patrón"))))</f>
        <v/>
      </c>
      <c r="I118" s="120" t="e">
        <f aca="false">IF('conversion datos'!B108="","",'conversion datos'!B108)</f>
        <v>#VALUE!</v>
      </c>
      <c r="J118" s="121" t="str">
        <f aca="false">IF('conversion datos'!C108="","",'conversion datos'!C108)</f>
        <v/>
      </c>
      <c r="K118" s="139"/>
      <c r="L118" s="154"/>
      <c r="M118" s="154"/>
      <c r="N118" s="155"/>
      <c r="O118" s="123" t="str">
        <f aca="false">IF('conversion datos'!F108="","",'conversion datos'!F108)</f>
        <v/>
      </c>
      <c r="P118" s="124" t="str">
        <f aca="false">IF($H118="","",+O118/1000)</f>
        <v/>
      </c>
      <c r="Q118" s="124" t="str">
        <f aca="false">IF($H118="","",(IF('conversion datos'!$L$30='Patrones LACOMET'!$D$3,P118*0.0254,IF('conversion datos'!$L$30='Patrones LACOMET'!$D$4,P118,"No existe el patrón"))))</f>
        <v/>
      </c>
      <c r="R118" s="124" t="str">
        <f aca="false">IF($H118="","",(IF('conversion datos'!$L$30='Patrones LACOMET'!$D$3,E118*25.4,IF('conversion datos'!$L$30='Patrones LACOMET'!$D$4,E118,"No existe el patrón"))))</f>
        <v/>
      </c>
      <c r="S118" s="124" t="str">
        <f aca="false">+IF($H118="","",((INCERTIDUMBRE!$M$8)/1000)/25.4)</f>
        <v/>
      </c>
      <c r="T118" s="124" t="str">
        <f aca="false">IF($H118="","",(+H118+Q118+S118))</f>
        <v/>
      </c>
      <c r="U118" s="125" t="str">
        <f aca="false">IF($H118="","",(T118/25.4))</f>
        <v/>
      </c>
      <c r="W118" s="142" t="e">
        <f aca="false">IF('Datos de condiciones'!D110="","",'Datos de condiciones'!D110)</f>
        <v>#VALUE!</v>
      </c>
      <c r="X118" s="143" t="str">
        <f aca="false">+IF($H118="","",(W118-20))</f>
        <v/>
      </c>
      <c r="Y118" s="144" t="e">
        <f aca="false">IF('Datos de condiciones'!E110="","",'Datos de condiciones'!E110)</f>
        <v>#VALUE!</v>
      </c>
      <c r="Z118" s="145" t="str">
        <f aca="false">+IF($H118="","",Y118-20)</f>
        <v/>
      </c>
      <c r="AA118" s="146" t="str">
        <f aca="false">+IF($H118="","",ABS(X118-Z118))</f>
        <v/>
      </c>
      <c r="AC118" s="147" t="n">
        <f aca="false">+AC117+1</f>
        <v>107</v>
      </c>
      <c r="AD118" s="148" t="str">
        <f aca="false">+IF($H118="","",W118)</f>
        <v/>
      </c>
      <c r="AE118" s="145" t="str">
        <f aca="false">+IF($H118="","",Y118)</f>
        <v/>
      </c>
      <c r="AF118" s="146" t="str">
        <f aca="false">+IF($H118="","",+(ABS(AD118-AE118)))</f>
        <v/>
      </c>
      <c r="AG118" s="149" t="e">
        <f aca="false">IF('Datos de condiciones'!F110="","",'Datos de condiciones'!F110)</f>
        <v>#VALUE!</v>
      </c>
      <c r="AH118" s="135"/>
      <c r="AI118" s="147" t="n">
        <f aca="false">+AI117+1</f>
        <v>107</v>
      </c>
      <c r="AJ118" s="140"/>
      <c r="AK118" s="123" t="e">
        <f aca="false">IF('Datos de condiciones'!G110="","",'Datos de condiciones'!G110)</f>
        <v>#VALUE!</v>
      </c>
      <c r="AL118" s="150"/>
    </row>
    <row r="119" customFormat="false" ht="16.5" hidden="false" customHeight="false" outlineLevel="0" collapsed="false">
      <c r="A119" s="81" t="n">
        <f aca="false">+A118+1</f>
        <v>108</v>
      </c>
      <c r="B119" s="114" t="str">
        <f aca="false">J119</f>
        <v/>
      </c>
      <c r="C119" s="115" t="str">
        <f aca="false">IF(H119="","",H119)</f>
        <v/>
      </c>
      <c r="D119" s="116" t="str">
        <f aca="false">IF(B119="","",(IF('conversion datos'!$L$30='Patrones LACOMET'!$D$3,(VLOOKUP(B119,'BLOQUES PATRON (pulg) '!$D$5:$H$87,3,TRUE())),IF('conversion datos'!$L$30='Patrones LACOMET'!$D$4,((VLOOKUP(CALIBRACION!B119,'BLOQUES PATRON (mm)'!$D$5:$H$126,3,FALSE()))/1000),"No existe el patrón"))))</f>
        <v/>
      </c>
      <c r="E119" s="117" t="str">
        <f aca="false">IF(B119="","",(B119+D119))</f>
        <v/>
      </c>
      <c r="F119" s="118" t="str">
        <f aca="false">IF(B119="","",(IF('conversion datos'!$L$30='Patrones LACOMET'!$D$3,(VLOOKUP(B119,'BLOQUES PATRON (pulg) '!$D$5:$H$86,5,FALSE())),IF('conversion datos'!$L$30='Patrones LACOMET'!$D$4,((VLOOKUP(CALIBRACION!B119,'BLOQUES PATRON (mm)'!$D$5:$H$126,4,FALSE()))/1000000),"No existe el patrón"))))</f>
        <v/>
      </c>
      <c r="G119" s="118" t="str">
        <f aca="false">IF(D119="","",(IF('conversion datos'!$L$30='Patrones LACOMET'!$D$3,(D119*25.4),IF('conversion datos'!$L$30='Patrones LACOMET'!$D$4,D119,"No existe el patrón"))))</f>
        <v/>
      </c>
      <c r="H119" s="119" t="str">
        <f aca="false">IF(J119="","",(IF('conversion datos'!$L$30='Patrones LACOMET'!$D$3,(CALIBRACION!J119*25.4),IF('conversion datos'!$L$30='Patrones LACOMET'!$D$4,(CALIBRACION!J119),"No existe el patrón"))))</f>
        <v/>
      </c>
      <c r="I119" s="120" t="e">
        <f aca="false">IF('conversion datos'!B109="","",'conversion datos'!B109)</f>
        <v>#VALUE!</v>
      </c>
      <c r="J119" s="121" t="str">
        <f aca="false">IF('conversion datos'!C109="","",'conversion datos'!C109)</f>
        <v/>
      </c>
      <c r="K119" s="139"/>
      <c r="L119" s="154"/>
      <c r="M119" s="154"/>
      <c r="N119" s="155"/>
      <c r="O119" s="123" t="str">
        <f aca="false">IF('conversion datos'!F109="","",'conversion datos'!F109)</f>
        <v/>
      </c>
      <c r="P119" s="124" t="str">
        <f aca="false">IF($H119="","",+O119/1000)</f>
        <v/>
      </c>
      <c r="Q119" s="124" t="str">
        <f aca="false">IF($H119="","",(IF('conversion datos'!$L$30='Patrones LACOMET'!$D$3,P119*0.0254,IF('conversion datos'!$L$30='Patrones LACOMET'!$D$4,P119,"No existe el patrón"))))</f>
        <v/>
      </c>
      <c r="R119" s="124" t="str">
        <f aca="false">IF($H119="","",(IF('conversion datos'!$L$30='Patrones LACOMET'!$D$3,E119*25.4,IF('conversion datos'!$L$30='Patrones LACOMET'!$D$4,E119,"No existe el patrón"))))</f>
        <v/>
      </c>
      <c r="S119" s="124" t="str">
        <f aca="false">+IF($H119="","",((INCERTIDUMBRE!$M$8)/1000)/25.4)</f>
        <v/>
      </c>
      <c r="T119" s="124" t="str">
        <f aca="false">IF($H119="","",(+H119+Q119+S119))</f>
        <v/>
      </c>
      <c r="U119" s="125" t="str">
        <f aca="false">IF($H119="","",(T119/25.4))</f>
        <v/>
      </c>
      <c r="W119" s="142" t="e">
        <f aca="false">IF('Datos de condiciones'!D111="","",'Datos de condiciones'!D111)</f>
        <v>#VALUE!</v>
      </c>
      <c r="X119" s="143" t="str">
        <f aca="false">+IF($H119="","",(W119-20))</f>
        <v/>
      </c>
      <c r="Y119" s="144" t="e">
        <f aca="false">IF('Datos de condiciones'!E111="","",'Datos de condiciones'!E111)</f>
        <v>#VALUE!</v>
      </c>
      <c r="Z119" s="145" t="str">
        <f aca="false">+IF($H119="","",Y119-20)</f>
        <v/>
      </c>
      <c r="AA119" s="146" t="str">
        <f aca="false">+IF($H119="","",ABS(X119-Z119))</f>
        <v/>
      </c>
      <c r="AC119" s="147" t="n">
        <f aca="false">+AC118+1</f>
        <v>108</v>
      </c>
      <c r="AD119" s="148" t="str">
        <f aca="false">+IF($H119="","",W119)</f>
        <v/>
      </c>
      <c r="AE119" s="145" t="str">
        <f aca="false">+IF($H119="","",Y119)</f>
        <v/>
      </c>
      <c r="AF119" s="146" t="str">
        <f aca="false">+IF($H119="","",+(ABS(AD119-AE119)))</f>
        <v/>
      </c>
      <c r="AG119" s="149" t="e">
        <f aca="false">IF('Datos de condiciones'!F111="","",'Datos de condiciones'!F111)</f>
        <v>#VALUE!</v>
      </c>
      <c r="AH119" s="135"/>
      <c r="AI119" s="147" t="n">
        <f aca="false">+AI118+1</f>
        <v>108</v>
      </c>
      <c r="AJ119" s="140"/>
      <c r="AK119" s="123" t="e">
        <f aca="false">IF('Datos de condiciones'!G111="","",'Datos de condiciones'!G111)</f>
        <v>#VALUE!</v>
      </c>
      <c r="AL119" s="150"/>
    </row>
    <row r="120" customFormat="false" ht="16.5" hidden="false" customHeight="false" outlineLevel="0" collapsed="false">
      <c r="A120" s="81" t="n">
        <f aca="false">+A119+1</f>
        <v>109</v>
      </c>
      <c r="B120" s="114" t="str">
        <f aca="false">J120</f>
        <v/>
      </c>
      <c r="C120" s="115" t="str">
        <f aca="false">IF(H120="","",H120)</f>
        <v/>
      </c>
      <c r="D120" s="116" t="str">
        <f aca="false">IF(B120="","",(IF('conversion datos'!$L$30='Patrones LACOMET'!$D$3,(VLOOKUP(B120,'BLOQUES PATRON (pulg) '!$D$5:$H$87,3,TRUE())),IF('conversion datos'!$L$30='Patrones LACOMET'!$D$4,((VLOOKUP(CALIBRACION!B120,'BLOQUES PATRON (mm)'!$D$5:$H$126,3,FALSE()))/1000),"No existe el patrón"))))</f>
        <v/>
      </c>
      <c r="E120" s="117" t="str">
        <f aca="false">IF(B120="","",(B120+D120))</f>
        <v/>
      </c>
      <c r="F120" s="118" t="str">
        <f aca="false">IF(B120="","",(IF('conversion datos'!$L$30='Patrones LACOMET'!$D$3,(VLOOKUP(B120,'BLOQUES PATRON (pulg) '!$D$5:$H$86,5,FALSE())),IF('conversion datos'!$L$30='Patrones LACOMET'!$D$4,((VLOOKUP(CALIBRACION!B120,'BLOQUES PATRON (mm)'!$D$5:$H$126,4,FALSE()))/1000000),"No existe el patrón"))))</f>
        <v/>
      </c>
      <c r="G120" s="118" t="str">
        <f aca="false">IF(D120="","",(IF('conversion datos'!$L$30='Patrones LACOMET'!$D$3,(D120*25.4),IF('conversion datos'!$L$30='Patrones LACOMET'!$D$4,D120,"No existe el patrón"))))</f>
        <v/>
      </c>
      <c r="H120" s="119" t="str">
        <f aca="false">IF(J120="","",(IF('conversion datos'!$L$30='Patrones LACOMET'!$D$3,(CALIBRACION!J120*25.4),IF('conversion datos'!$L$30='Patrones LACOMET'!$D$4,(CALIBRACION!J120),"No existe el patrón"))))</f>
        <v/>
      </c>
      <c r="I120" s="120" t="e">
        <f aca="false">IF('conversion datos'!B110="","",'conversion datos'!B110)</f>
        <v>#VALUE!</v>
      </c>
      <c r="J120" s="121" t="str">
        <f aca="false">IF('conversion datos'!C110="","",'conversion datos'!C110)</f>
        <v/>
      </c>
      <c r="K120" s="139"/>
      <c r="L120" s="154"/>
      <c r="M120" s="154"/>
      <c r="N120" s="155"/>
      <c r="O120" s="123" t="str">
        <f aca="false">IF('conversion datos'!F110="","",'conversion datos'!F110)</f>
        <v/>
      </c>
      <c r="P120" s="124" t="str">
        <f aca="false">IF($H120="","",+O120/1000)</f>
        <v/>
      </c>
      <c r="Q120" s="124" t="str">
        <f aca="false">IF($H120="","",(IF('conversion datos'!$L$30='Patrones LACOMET'!$D$3,P120*0.0254,IF('conversion datos'!$L$30='Patrones LACOMET'!$D$4,P120,"No existe el patrón"))))</f>
        <v/>
      </c>
      <c r="R120" s="124" t="str">
        <f aca="false">IF($H120="","",(IF('conversion datos'!$L$30='Patrones LACOMET'!$D$3,E120*25.4,IF('conversion datos'!$L$30='Patrones LACOMET'!$D$4,E120,"No existe el patrón"))))</f>
        <v/>
      </c>
      <c r="S120" s="124" t="str">
        <f aca="false">+IF($H120="","",((INCERTIDUMBRE!$M$8)/1000)/25.4)</f>
        <v/>
      </c>
      <c r="T120" s="124" t="str">
        <f aca="false">IF($H120="","",(+H120+Q120+S120))</f>
        <v/>
      </c>
      <c r="U120" s="125" t="str">
        <f aca="false">IF($H120="","",(T120/25.4))</f>
        <v/>
      </c>
      <c r="W120" s="142" t="e">
        <f aca="false">IF('Datos de condiciones'!D112="","",'Datos de condiciones'!D112)</f>
        <v>#VALUE!</v>
      </c>
      <c r="X120" s="143" t="str">
        <f aca="false">+IF($H120="","",(W120-20))</f>
        <v/>
      </c>
      <c r="Y120" s="144" t="e">
        <f aca="false">IF('Datos de condiciones'!E112="","",'Datos de condiciones'!E112)</f>
        <v>#VALUE!</v>
      </c>
      <c r="Z120" s="145" t="str">
        <f aca="false">+IF($H120="","",Y120-20)</f>
        <v/>
      </c>
      <c r="AA120" s="146" t="str">
        <f aca="false">+IF($H120="","",ABS(X120-Z120))</f>
        <v/>
      </c>
      <c r="AC120" s="147" t="n">
        <f aca="false">+AC119+1</f>
        <v>109</v>
      </c>
      <c r="AD120" s="148" t="str">
        <f aca="false">+IF($H120="","",W120)</f>
        <v/>
      </c>
      <c r="AE120" s="145" t="str">
        <f aca="false">+IF($H120="","",Y120)</f>
        <v/>
      </c>
      <c r="AF120" s="146" t="str">
        <f aca="false">+IF($H120="","",+(ABS(AD120-AE120)))</f>
        <v/>
      </c>
      <c r="AG120" s="149" t="e">
        <f aca="false">IF('Datos de condiciones'!F112="","",'Datos de condiciones'!F112)</f>
        <v>#VALUE!</v>
      </c>
      <c r="AH120" s="135"/>
      <c r="AI120" s="147" t="n">
        <f aca="false">+AI119+1</f>
        <v>109</v>
      </c>
      <c r="AJ120" s="140"/>
      <c r="AK120" s="123" t="e">
        <f aca="false">IF('Datos de condiciones'!G112="","",'Datos de condiciones'!G112)</f>
        <v>#VALUE!</v>
      </c>
      <c r="AL120" s="150"/>
    </row>
    <row r="121" customFormat="false" ht="16.5" hidden="false" customHeight="false" outlineLevel="0" collapsed="false">
      <c r="A121" s="81" t="n">
        <f aca="false">+A120+1</f>
        <v>110</v>
      </c>
      <c r="B121" s="114" t="str">
        <f aca="false">J121</f>
        <v/>
      </c>
      <c r="C121" s="115" t="str">
        <f aca="false">IF(H121="","",H121)</f>
        <v/>
      </c>
      <c r="D121" s="116" t="str">
        <f aca="false">IF(B121="","",(IF('conversion datos'!$L$30='Patrones LACOMET'!$D$3,(VLOOKUP(B121,'BLOQUES PATRON (pulg) '!$D$5:$H$87,3,TRUE())),IF('conversion datos'!$L$30='Patrones LACOMET'!$D$4,((VLOOKUP(CALIBRACION!B121,'BLOQUES PATRON (mm)'!$D$5:$H$126,3,FALSE()))/1000),"No existe el patrón"))))</f>
        <v/>
      </c>
      <c r="E121" s="117" t="str">
        <f aca="false">IF(B121="","",(B121+D121))</f>
        <v/>
      </c>
      <c r="F121" s="118" t="str">
        <f aca="false">IF(B121="","",(IF('conversion datos'!$L$30='Patrones LACOMET'!$D$3,(VLOOKUP(B121,'BLOQUES PATRON (pulg) '!$D$5:$H$86,5,FALSE())),IF('conversion datos'!$L$30='Patrones LACOMET'!$D$4,((VLOOKUP(CALIBRACION!B121,'BLOQUES PATRON (mm)'!$D$5:$H$126,4,FALSE()))/1000000),"No existe el patrón"))))</f>
        <v/>
      </c>
      <c r="G121" s="118" t="str">
        <f aca="false">IF(D121="","",(IF('conversion datos'!$L$30='Patrones LACOMET'!$D$3,(D121*25.4),IF('conversion datos'!$L$30='Patrones LACOMET'!$D$4,D121,"No existe el patrón"))))</f>
        <v/>
      </c>
      <c r="H121" s="119" t="str">
        <f aca="false">IF(J121="","",(IF('conversion datos'!$L$30='Patrones LACOMET'!$D$3,(CALIBRACION!J121*25.4),IF('conversion datos'!$L$30='Patrones LACOMET'!$D$4,(CALIBRACION!J121),"No existe el patrón"))))</f>
        <v/>
      </c>
      <c r="I121" s="120" t="e">
        <f aca="false">IF('conversion datos'!B111="","",'conversion datos'!B111)</f>
        <v>#VALUE!</v>
      </c>
      <c r="J121" s="121" t="str">
        <f aca="false">IF('conversion datos'!C111="","",'conversion datos'!C111)</f>
        <v/>
      </c>
      <c r="K121" s="139"/>
      <c r="L121" s="154"/>
      <c r="M121" s="154"/>
      <c r="N121" s="155"/>
      <c r="O121" s="123" t="str">
        <f aca="false">IF('conversion datos'!F111="","",'conversion datos'!F111)</f>
        <v/>
      </c>
      <c r="P121" s="124" t="str">
        <f aca="false">IF($H121="","",+O121/1000)</f>
        <v/>
      </c>
      <c r="Q121" s="124" t="str">
        <f aca="false">IF($H121="","",(IF('conversion datos'!$L$30='Patrones LACOMET'!$D$3,P121*0.0254,IF('conversion datos'!$L$30='Patrones LACOMET'!$D$4,P121,"No existe el patrón"))))</f>
        <v/>
      </c>
      <c r="R121" s="124" t="str">
        <f aca="false">IF($H121="","",(IF('conversion datos'!$L$30='Patrones LACOMET'!$D$3,E121*25.4,IF('conversion datos'!$L$30='Patrones LACOMET'!$D$4,E121,"No existe el patrón"))))</f>
        <v/>
      </c>
      <c r="S121" s="124" t="str">
        <f aca="false">+IF($H121="","",((INCERTIDUMBRE!$M$8)/1000)/25.4)</f>
        <v/>
      </c>
      <c r="T121" s="124" t="str">
        <f aca="false">IF($H121="","",(+H121+Q121+S121))</f>
        <v/>
      </c>
      <c r="U121" s="125" t="str">
        <f aca="false">IF($H121="","",(T121/25.4))</f>
        <v/>
      </c>
      <c r="W121" s="142" t="e">
        <f aca="false">IF('Datos de condiciones'!D113="","",'Datos de condiciones'!D113)</f>
        <v>#VALUE!</v>
      </c>
      <c r="X121" s="143" t="str">
        <f aca="false">+IF($H121="","",(W121-20))</f>
        <v/>
      </c>
      <c r="Y121" s="144" t="e">
        <f aca="false">IF('Datos de condiciones'!E113="","",'Datos de condiciones'!E113)</f>
        <v>#VALUE!</v>
      </c>
      <c r="Z121" s="145" t="str">
        <f aca="false">+IF($H121="","",Y121-20)</f>
        <v/>
      </c>
      <c r="AA121" s="146" t="str">
        <f aca="false">+IF($H121="","",ABS(X121-Z121))</f>
        <v/>
      </c>
      <c r="AC121" s="147" t="n">
        <f aca="false">+AC120+1</f>
        <v>110</v>
      </c>
      <c r="AD121" s="148" t="str">
        <f aca="false">+IF($H121="","",W121)</f>
        <v/>
      </c>
      <c r="AE121" s="145" t="str">
        <f aca="false">+IF($H121="","",Y121)</f>
        <v/>
      </c>
      <c r="AF121" s="146" t="str">
        <f aca="false">+IF($H121="","",+(ABS(AD121-AE121)))</f>
        <v/>
      </c>
      <c r="AG121" s="149" t="e">
        <f aca="false">IF('Datos de condiciones'!F113="","",'Datos de condiciones'!F113)</f>
        <v>#VALUE!</v>
      </c>
      <c r="AH121" s="135"/>
      <c r="AI121" s="147" t="n">
        <f aca="false">+AI120+1</f>
        <v>110</v>
      </c>
      <c r="AJ121" s="140"/>
      <c r="AK121" s="123" t="e">
        <f aca="false">IF('Datos de condiciones'!G113="","",'Datos de condiciones'!G113)</f>
        <v>#VALUE!</v>
      </c>
      <c r="AL121" s="150"/>
    </row>
    <row r="122" customFormat="false" ht="16.5" hidden="false" customHeight="false" outlineLevel="0" collapsed="false">
      <c r="A122" s="81" t="n">
        <f aca="false">+A121+1</f>
        <v>111</v>
      </c>
      <c r="B122" s="114" t="str">
        <f aca="false">J122</f>
        <v/>
      </c>
      <c r="C122" s="115" t="str">
        <f aca="false">IF(H122="","",H122)</f>
        <v/>
      </c>
      <c r="D122" s="116" t="str">
        <f aca="false">IF(B122="","",(IF('conversion datos'!$L$30='Patrones LACOMET'!$D$3,(VLOOKUP(B122,'BLOQUES PATRON (pulg) '!$D$5:$H$87,3,TRUE())),IF('conversion datos'!$L$30='Patrones LACOMET'!$D$4,((VLOOKUP(CALIBRACION!B122,'BLOQUES PATRON (mm)'!$D$5:$H$126,3,FALSE()))/1000),"No existe el patrón"))))</f>
        <v/>
      </c>
      <c r="E122" s="117" t="str">
        <f aca="false">IF(B122="","",(B122+D122))</f>
        <v/>
      </c>
      <c r="F122" s="118" t="str">
        <f aca="false">IF(B122="","",(IF('conversion datos'!$L$30='Patrones LACOMET'!$D$3,(VLOOKUP(B122,'BLOQUES PATRON (pulg) '!$D$5:$H$86,5,FALSE())),IF('conversion datos'!$L$30='Patrones LACOMET'!$D$4,((VLOOKUP(CALIBRACION!B122,'BLOQUES PATRON (mm)'!$D$5:$H$126,4,FALSE()))/1000000),"No existe el patrón"))))</f>
        <v/>
      </c>
      <c r="G122" s="118" t="str">
        <f aca="false">IF(D122="","",(IF('conversion datos'!$L$30='Patrones LACOMET'!$D$3,(D122*25.4),IF('conversion datos'!$L$30='Patrones LACOMET'!$D$4,D122,"No existe el patrón"))))</f>
        <v/>
      </c>
      <c r="H122" s="119" t="str">
        <f aca="false">IF(J122="","",(IF('conversion datos'!$L$30='Patrones LACOMET'!$D$3,(CALIBRACION!J122*25.4),IF('conversion datos'!$L$30='Patrones LACOMET'!$D$4,(CALIBRACION!J122),"No existe el patrón"))))</f>
        <v/>
      </c>
      <c r="I122" s="120" t="e">
        <f aca="false">IF('conversion datos'!B112="","",'conversion datos'!B112)</f>
        <v>#VALUE!</v>
      </c>
      <c r="J122" s="121" t="str">
        <f aca="false">IF('conversion datos'!C112="","",'conversion datos'!C112)</f>
        <v/>
      </c>
      <c r="K122" s="139"/>
      <c r="L122" s="154"/>
      <c r="M122" s="154"/>
      <c r="N122" s="155"/>
      <c r="O122" s="123" t="str">
        <f aca="false">IF('conversion datos'!F112="","",'conversion datos'!F112)</f>
        <v/>
      </c>
      <c r="P122" s="124" t="str">
        <f aca="false">IF($H122="","",+O122/1000)</f>
        <v/>
      </c>
      <c r="Q122" s="124" t="str">
        <f aca="false">IF($H122="","",(IF('conversion datos'!$L$30='Patrones LACOMET'!$D$3,P122*0.0254,IF('conversion datos'!$L$30='Patrones LACOMET'!$D$4,P122,"No existe el patrón"))))</f>
        <v/>
      </c>
      <c r="R122" s="124" t="str">
        <f aca="false">IF($H122="","",(IF('conversion datos'!$L$30='Patrones LACOMET'!$D$3,E122*25.4,IF('conversion datos'!$L$30='Patrones LACOMET'!$D$4,E122,"No existe el patrón"))))</f>
        <v/>
      </c>
      <c r="S122" s="124" t="str">
        <f aca="false">+IF($H122="","",((INCERTIDUMBRE!$M$8)/1000)/25.4)</f>
        <v/>
      </c>
      <c r="T122" s="124" t="str">
        <f aca="false">IF($H122="","",(+H122+Q122+S122))</f>
        <v/>
      </c>
      <c r="U122" s="125" t="str">
        <f aca="false">IF($H122="","",(T122/25.4))</f>
        <v/>
      </c>
      <c r="W122" s="142" t="e">
        <f aca="false">IF('Datos de condiciones'!D114="","",'Datos de condiciones'!D114)</f>
        <v>#VALUE!</v>
      </c>
      <c r="X122" s="143" t="str">
        <f aca="false">+IF($H122="","",(W122-20))</f>
        <v/>
      </c>
      <c r="Y122" s="144" t="e">
        <f aca="false">IF('Datos de condiciones'!E114="","",'Datos de condiciones'!E114)</f>
        <v>#VALUE!</v>
      </c>
      <c r="Z122" s="145" t="str">
        <f aca="false">+IF($H122="","",Y122-20)</f>
        <v/>
      </c>
      <c r="AA122" s="146" t="str">
        <f aca="false">+IF($H122="","",ABS(X122-Z122))</f>
        <v/>
      </c>
      <c r="AC122" s="147" t="n">
        <f aca="false">+AC121+1</f>
        <v>111</v>
      </c>
      <c r="AD122" s="148" t="str">
        <f aca="false">+IF($H122="","",W122)</f>
        <v/>
      </c>
      <c r="AE122" s="145" t="str">
        <f aca="false">+IF($H122="","",Y122)</f>
        <v/>
      </c>
      <c r="AF122" s="146" t="str">
        <f aca="false">+IF($H122="","",+(ABS(AD122-AE122)))</f>
        <v/>
      </c>
      <c r="AG122" s="149" t="e">
        <f aca="false">IF('Datos de condiciones'!F114="","",'Datos de condiciones'!F114)</f>
        <v>#VALUE!</v>
      </c>
      <c r="AH122" s="135"/>
      <c r="AI122" s="147" t="n">
        <f aca="false">+AI121+1</f>
        <v>111</v>
      </c>
      <c r="AJ122" s="140"/>
      <c r="AK122" s="123" t="e">
        <f aca="false">IF('Datos de condiciones'!G114="","",'Datos de condiciones'!G114)</f>
        <v>#VALUE!</v>
      </c>
      <c r="AL122" s="150"/>
    </row>
    <row r="123" customFormat="false" ht="16.5" hidden="false" customHeight="false" outlineLevel="0" collapsed="false">
      <c r="A123" s="81" t="n">
        <f aca="false">+A122+1</f>
        <v>112</v>
      </c>
      <c r="B123" s="114" t="str">
        <f aca="false">J123</f>
        <v/>
      </c>
      <c r="C123" s="115" t="str">
        <f aca="false">IF(H123="","",H123)</f>
        <v/>
      </c>
      <c r="D123" s="116" t="str">
        <f aca="false">IF(B123="","",(IF('conversion datos'!$L$30='Patrones LACOMET'!$D$3,(VLOOKUP(B123,'BLOQUES PATRON (pulg) '!$D$5:$H$87,3,TRUE())),IF('conversion datos'!$L$30='Patrones LACOMET'!$D$4,((VLOOKUP(CALIBRACION!B123,'BLOQUES PATRON (mm)'!$D$5:$H$126,3,FALSE()))/1000),"No existe el patrón"))))</f>
        <v/>
      </c>
      <c r="E123" s="117" t="str">
        <f aca="false">IF(B123="","",(B123+D123))</f>
        <v/>
      </c>
      <c r="F123" s="118" t="str">
        <f aca="false">IF(B123="","",(IF('conversion datos'!$L$30='Patrones LACOMET'!$D$3,(VLOOKUP(B123,'BLOQUES PATRON (pulg) '!$D$5:$H$86,5,FALSE())),IF('conversion datos'!$L$30='Patrones LACOMET'!$D$4,((VLOOKUP(CALIBRACION!B123,'BLOQUES PATRON (mm)'!$D$5:$H$126,4,FALSE()))/1000000),"No existe el patrón"))))</f>
        <v/>
      </c>
      <c r="G123" s="118" t="str">
        <f aca="false">IF(D123="","",(IF('conversion datos'!$L$30='Patrones LACOMET'!$D$3,(D123*25.4),IF('conversion datos'!$L$30='Patrones LACOMET'!$D$4,D123,"No existe el patrón"))))</f>
        <v/>
      </c>
      <c r="H123" s="119" t="str">
        <f aca="false">IF(J123="","",(IF('conversion datos'!$L$30='Patrones LACOMET'!$D$3,(CALIBRACION!J123*25.4),IF('conversion datos'!$L$30='Patrones LACOMET'!$D$4,(CALIBRACION!J123),"No existe el patrón"))))</f>
        <v/>
      </c>
      <c r="I123" s="120" t="e">
        <f aca="false">IF('conversion datos'!B113="","",'conversion datos'!B113)</f>
        <v>#VALUE!</v>
      </c>
      <c r="J123" s="121" t="str">
        <f aca="false">IF('conversion datos'!C113="","",'conversion datos'!C113)</f>
        <v/>
      </c>
      <c r="K123" s="139"/>
      <c r="L123" s="154"/>
      <c r="M123" s="154"/>
      <c r="N123" s="155"/>
      <c r="O123" s="123" t="str">
        <f aca="false">IF('conversion datos'!F113="","",'conversion datos'!F113)</f>
        <v/>
      </c>
      <c r="P123" s="124" t="str">
        <f aca="false">IF($H123="","",+O123/1000)</f>
        <v/>
      </c>
      <c r="Q123" s="124" t="str">
        <f aca="false">IF($H123="","",(IF('conversion datos'!$L$30='Patrones LACOMET'!$D$3,P123*0.0254,IF('conversion datos'!$L$30='Patrones LACOMET'!$D$4,P123,"No existe el patrón"))))</f>
        <v/>
      </c>
      <c r="R123" s="124" t="str">
        <f aca="false">IF($H123="","",(IF('conversion datos'!$L$30='Patrones LACOMET'!$D$3,E123*25.4,IF('conversion datos'!$L$30='Patrones LACOMET'!$D$4,E123,"No existe el patrón"))))</f>
        <v/>
      </c>
      <c r="S123" s="124" t="str">
        <f aca="false">+IF($H123="","",((INCERTIDUMBRE!$M$8)/1000)/25.4)</f>
        <v/>
      </c>
      <c r="T123" s="124" t="str">
        <f aca="false">IF($H123="","",(+H123+Q123+S123))</f>
        <v/>
      </c>
      <c r="U123" s="125" t="str">
        <f aca="false">IF($H123="","",(T123/25.4))</f>
        <v/>
      </c>
      <c r="W123" s="142" t="e">
        <f aca="false">IF('Datos de condiciones'!D115="","",'Datos de condiciones'!D115)</f>
        <v>#VALUE!</v>
      </c>
      <c r="X123" s="143" t="str">
        <f aca="false">+IF($H123="","",(W123-20))</f>
        <v/>
      </c>
      <c r="Y123" s="144" t="e">
        <f aca="false">IF('Datos de condiciones'!E115="","",'Datos de condiciones'!E115)</f>
        <v>#VALUE!</v>
      </c>
      <c r="Z123" s="145" t="str">
        <f aca="false">+IF($H123="","",Y123-20)</f>
        <v/>
      </c>
      <c r="AA123" s="146" t="str">
        <f aca="false">+IF($H123="","",ABS(X123-Z123))</f>
        <v/>
      </c>
      <c r="AC123" s="147" t="n">
        <f aca="false">+AC122+1</f>
        <v>112</v>
      </c>
      <c r="AD123" s="148" t="str">
        <f aca="false">+IF($H123="","",W123)</f>
        <v/>
      </c>
      <c r="AE123" s="145" t="str">
        <f aca="false">+IF($H123="","",Y123)</f>
        <v/>
      </c>
      <c r="AF123" s="146" t="str">
        <f aca="false">+IF($H123="","",+(ABS(AD123-AE123)))</f>
        <v/>
      </c>
      <c r="AG123" s="149" t="e">
        <f aca="false">IF('Datos de condiciones'!F115="","",'Datos de condiciones'!F115)</f>
        <v>#VALUE!</v>
      </c>
      <c r="AH123" s="135"/>
      <c r="AI123" s="147" t="n">
        <f aca="false">+AI122+1</f>
        <v>112</v>
      </c>
      <c r="AJ123" s="140"/>
      <c r="AK123" s="123" t="e">
        <f aca="false">IF('Datos de condiciones'!G115="","",'Datos de condiciones'!G115)</f>
        <v>#VALUE!</v>
      </c>
      <c r="AL123" s="150"/>
    </row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2.75" hidden="false" customHeight="true" outlineLevel="0" collapsed="false">
      <c r="AC127" s="156" t="s">
        <v>50</v>
      </c>
      <c r="AD127" s="156"/>
      <c r="AE127" s="156"/>
      <c r="AF127" s="156"/>
      <c r="AG127" s="157" t="n">
        <f aca="false">MAX(AF12:AF123)</f>
        <v>0</v>
      </c>
      <c r="AI127" s="156" t="s">
        <v>51</v>
      </c>
      <c r="AJ127" s="156"/>
      <c r="AK127" s="156"/>
      <c r="AL127" s="158" t="e">
        <f aca="false">+ABS(MAX(AJ12:AL123))</f>
        <v>#VALUE!</v>
      </c>
    </row>
    <row r="128" customFormat="false" ht="15" hidden="false" customHeight="true" outlineLevel="0" collapsed="false">
      <c r="AC128" s="156"/>
      <c r="AD128" s="156"/>
      <c r="AE128" s="156"/>
      <c r="AF128" s="156"/>
      <c r="AG128" s="157"/>
      <c r="AI128" s="156"/>
      <c r="AJ128" s="156"/>
      <c r="AK128" s="156"/>
      <c r="AL128" s="158"/>
    </row>
    <row r="129" customFormat="false" ht="15" hidden="false" customHeight="true" outlineLevel="0" collapsed="false">
      <c r="AG129" s="159"/>
      <c r="AL129" s="160"/>
    </row>
    <row r="130" customFormat="false" ht="15" hidden="false" customHeight="true" outlineLevel="0" collapsed="false">
      <c r="AC130" s="156" t="s">
        <v>52</v>
      </c>
      <c r="AD130" s="156"/>
      <c r="AE130" s="156"/>
      <c r="AF130" s="156"/>
      <c r="AG130" s="157" t="e">
        <f aca="false">+ABS(MAX(AG12:AG123)-(MIN(AG12:AG123)))</f>
        <v>#VALUE!</v>
      </c>
      <c r="AI130" s="156" t="s">
        <v>53</v>
      </c>
      <c r="AJ130" s="156"/>
      <c r="AK130" s="156"/>
      <c r="AL130" s="158" t="e">
        <f aca="false">+ABS(MIN(AJ12:AL123))</f>
        <v>#VALUE!</v>
      </c>
    </row>
    <row r="131" customFormat="false" ht="15" hidden="false" customHeight="true" outlineLevel="0" collapsed="false">
      <c r="AC131" s="156"/>
      <c r="AD131" s="156"/>
      <c r="AE131" s="156"/>
      <c r="AF131" s="156"/>
      <c r="AG131" s="157"/>
      <c r="AI131" s="156"/>
      <c r="AJ131" s="156"/>
      <c r="AK131" s="156"/>
      <c r="AL131" s="158"/>
    </row>
    <row r="132" customFormat="false" ht="15" hidden="false" customHeight="true" outlineLevel="0" collapsed="false">
      <c r="AG132" s="159"/>
      <c r="AL132" s="159"/>
    </row>
    <row r="133" customFormat="false" ht="15" hidden="false" customHeight="true" outlineLevel="0" collapsed="false">
      <c r="AC133" s="156" t="s">
        <v>54</v>
      </c>
      <c r="AD133" s="156"/>
      <c r="AE133" s="156"/>
      <c r="AF133" s="156"/>
      <c r="AG133" s="157" t="e">
        <f aca="false">+ABS(MAX(AG12:AG123))</f>
        <v>#VALUE!</v>
      </c>
      <c r="AI133" s="156" t="s">
        <v>55</v>
      </c>
      <c r="AJ133" s="156"/>
      <c r="AK133" s="156"/>
      <c r="AL133" s="158" t="e">
        <f aca="false">+(AL127+AL130)/2</f>
        <v>#VALUE!</v>
      </c>
    </row>
    <row r="134" customFormat="false" ht="13.5" hidden="false" customHeight="false" outlineLevel="0" collapsed="false">
      <c r="AC134" s="156"/>
      <c r="AD134" s="156"/>
      <c r="AE134" s="156"/>
      <c r="AF134" s="156"/>
      <c r="AG134" s="157"/>
      <c r="AI134" s="156"/>
      <c r="AJ134" s="156"/>
      <c r="AK134" s="156"/>
      <c r="AL134" s="158"/>
    </row>
    <row r="135" customFormat="false" ht="13.5" hidden="false" customHeight="false" outlineLevel="0" collapsed="false">
      <c r="AG135" s="159"/>
      <c r="AL135" s="159"/>
    </row>
    <row r="136" customFormat="false" ht="12.75" hidden="false" customHeight="true" outlineLevel="0" collapsed="false">
      <c r="AC136" s="156" t="s">
        <v>56</v>
      </c>
      <c r="AD136" s="156"/>
      <c r="AE136" s="156"/>
      <c r="AF136" s="156"/>
      <c r="AG136" s="157" t="e">
        <f aca="false">+ABS(MIN(AG12:AG123))</f>
        <v>#VALUE!</v>
      </c>
      <c r="AI136" s="156" t="s">
        <v>57</v>
      </c>
      <c r="AJ136" s="156"/>
      <c r="AK136" s="156"/>
      <c r="AL136" s="158" t="e">
        <f aca="false">+(AL127-AL130)</f>
        <v>#VALUE!</v>
      </c>
    </row>
    <row r="137" customFormat="false" ht="13.5" hidden="false" customHeight="true" outlineLevel="0" collapsed="false">
      <c r="AC137" s="156"/>
      <c r="AD137" s="156"/>
      <c r="AE137" s="156"/>
      <c r="AF137" s="156"/>
      <c r="AG137" s="157"/>
      <c r="AI137" s="156"/>
      <c r="AJ137" s="156"/>
      <c r="AK137" s="156"/>
      <c r="AL137" s="158"/>
    </row>
    <row r="139" customFormat="false" ht="12.75" hidden="false" customHeight="true" outlineLevel="0" collapsed="false"/>
    <row r="140" customFormat="false" ht="13.5" hidden="false" customHeight="true" outlineLevel="0" collapsed="false"/>
    <row r="142" customFormat="false" ht="12.75" hidden="false" customHeight="true" outlineLevel="0" collapsed="false"/>
    <row r="143" customFormat="false" ht="13.5" hidden="false" customHeight="true" outlineLevel="0" collapsed="false"/>
    <row r="144" customFormat="false" ht="13.5" hidden="false" customHeight="true" outlineLevel="0" collapsed="false"/>
    <row r="145" customFormat="false" ht="12.75" hidden="false" customHeight="true" outlineLevel="0" collapsed="false"/>
    <row r="146" customFormat="false" ht="13.5" hidden="false" customHeight="true" outlineLevel="0" collapsed="false"/>
    <row r="147" customFormat="false" ht="12.75" hidden="false" customHeight="true" outlineLevel="0" collapsed="false"/>
    <row r="148" customFormat="false" ht="12.75" hidden="false" customHeight="true" outlineLevel="0" collapsed="false"/>
    <row r="149" customFormat="false" ht="12.75" hidden="false" customHeight="true" outlineLevel="0" collapsed="false"/>
    <row r="150" customFormat="false" ht="12.75" hidden="false" customHeight="true" outlineLevel="0" collapsed="false"/>
    <row r="151" customFormat="false" ht="12.75" hidden="false" customHeight="true" outlineLevel="0" collapsed="false"/>
    <row r="152" customFormat="false" ht="12.75" hidden="false" customHeight="true" outlineLevel="0" collapsed="false"/>
    <row r="153" customFormat="false" ht="12.75" hidden="false" customHeight="true" outlineLevel="0" collapsed="false"/>
    <row r="155" customFormat="false" ht="12.75" hidden="false" customHeight="true" outlineLevel="0" collapsed="false"/>
    <row r="156" customFormat="false" ht="13.5" hidden="false" customHeight="true" outlineLevel="0" collapsed="false"/>
    <row r="157" customFormat="false" ht="12.75" hidden="false" customHeight="true" outlineLevel="0" collapsed="false"/>
    <row r="158" customFormat="false" ht="13.5" hidden="false" customHeight="true" outlineLevel="0" collapsed="false"/>
  </sheetData>
  <mergeCells count="26">
    <mergeCell ref="B9:G9"/>
    <mergeCell ref="H9:U9"/>
    <mergeCell ref="W9:AA9"/>
    <mergeCell ref="AC9:AG9"/>
    <mergeCell ref="AI9:AL9"/>
    <mergeCell ref="I10:I11"/>
    <mergeCell ref="L10:M10"/>
    <mergeCell ref="N10:N11"/>
    <mergeCell ref="W10:X10"/>
    <mergeCell ref="Y10:AA10"/>
    <mergeCell ref="AC127:AF128"/>
    <mergeCell ref="AG127:AG128"/>
    <mergeCell ref="AI127:AK128"/>
    <mergeCell ref="AL127:AL128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  <mergeCell ref="AC136:AF137"/>
    <mergeCell ref="AG136:AG137"/>
    <mergeCell ref="AI136:AK137"/>
    <mergeCell ref="AL136:AL13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83" activeCellId="0" sqref="D83"/>
    </sheetView>
  </sheetViews>
  <sheetFormatPr defaultColWidth="9.16796875" defaultRowHeight="15.75" zeroHeight="false" outlineLevelRow="0" outlineLevelCol="0"/>
  <cols>
    <col collapsed="false" customWidth="true" hidden="false" outlineLevel="0" max="1" min="1" style="97" width="8.83"/>
    <col collapsed="false" customWidth="true" hidden="false" outlineLevel="0" max="2" min="2" style="161" width="5.33"/>
    <col collapsed="false" customWidth="true" hidden="false" outlineLevel="0" max="7" min="3" style="97" width="17.66"/>
    <col collapsed="false" customWidth="true" hidden="false" outlineLevel="0" max="8" min="8" style="162" width="16.17"/>
    <col collapsed="false" customWidth="false" hidden="false" outlineLevel="0" max="9" min="9" style="97" width="9.17"/>
    <col collapsed="false" customWidth="true" hidden="false" outlineLevel="0" max="13" min="10" style="97" width="18.67"/>
    <col collapsed="false" customWidth="false" hidden="false" outlineLevel="0" max="14" min="14" style="97" width="9.17"/>
    <col collapsed="false" customWidth="true" hidden="false" outlineLevel="0" max="15" min="15" style="97" width="9.83"/>
    <col collapsed="false" customWidth="true" hidden="false" outlineLevel="0" max="17" min="16" style="97" width="15.67"/>
    <col collapsed="false" customWidth="true" hidden="false" outlineLevel="0" max="18" min="18" style="97" width="16.67"/>
    <col collapsed="false" customWidth="true" hidden="false" outlineLevel="0" max="19" min="19" style="97" width="15.67"/>
    <col collapsed="false" customWidth="true" hidden="false" outlineLevel="0" max="22" min="20" style="97" width="20.5"/>
    <col collapsed="false" customWidth="false" hidden="false" outlineLevel="0" max="23" min="23" style="97" width="9.17"/>
    <col collapsed="false" customWidth="true" hidden="false" outlineLevel="0" max="24" min="24" style="97" width="15.67"/>
    <col collapsed="false" customWidth="false" hidden="false" outlineLevel="0" max="256" min="25" style="97" width="9.17"/>
    <col collapsed="false" customWidth="true" hidden="false" outlineLevel="0" max="257" min="257" style="97" width="4.33"/>
    <col collapsed="false" customWidth="true" hidden="false" outlineLevel="0" max="258" min="258" style="97" width="5.33"/>
    <col collapsed="false" customWidth="true" hidden="false" outlineLevel="0" max="262" min="259" style="97" width="17.66"/>
    <col collapsed="false" customWidth="true" hidden="true" outlineLevel="0" max="263" min="263" style="97" width="10.16"/>
    <col collapsed="false" customWidth="true" hidden="false" outlineLevel="0" max="264" min="264" style="97" width="16.17"/>
    <col collapsed="false" customWidth="false" hidden="false" outlineLevel="0" max="265" min="265" style="97" width="9.17"/>
    <col collapsed="false" customWidth="true" hidden="false" outlineLevel="0" max="269" min="266" style="97" width="18.67"/>
    <col collapsed="false" customWidth="false" hidden="false" outlineLevel="0" max="270" min="270" style="97" width="9.17"/>
    <col collapsed="false" customWidth="true" hidden="false" outlineLevel="0" max="271" min="271" style="97" width="9.83"/>
    <col collapsed="false" customWidth="true" hidden="false" outlineLevel="0" max="273" min="272" style="97" width="15.67"/>
    <col collapsed="false" customWidth="true" hidden="false" outlineLevel="0" max="274" min="274" style="97" width="16.67"/>
    <col collapsed="false" customWidth="true" hidden="false" outlineLevel="0" max="275" min="275" style="97" width="15.67"/>
    <col collapsed="false" customWidth="true" hidden="false" outlineLevel="0" max="278" min="276" style="97" width="20.5"/>
    <col collapsed="false" customWidth="false" hidden="false" outlineLevel="0" max="279" min="279" style="97" width="9.17"/>
    <col collapsed="false" customWidth="true" hidden="false" outlineLevel="0" max="280" min="280" style="97" width="15.67"/>
    <col collapsed="false" customWidth="false" hidden="false" outlineLevel="0" max="512" min="281" style="97" width="9.17"/>
    <col collapsed="false" customWidth="true" hidden="false" outlineLevel="0" max="513" min="513" style="97" width="4.33"/>
    <col collapsed="false" customWidth="true" hidden="false" outlineLevel="0" max="514" min="514" style="97" width="5.33"/>
    <col collapsed="false" customWidth="true" hidden="false" outlineLevel="0" max="518" min="515" style="97" width="17.66"/>
    <col collapsed="false" customWidth="true" hidden="true" outlineLevel="0" max="519" min="519" style="97" width="10.16"/>
    <col collapsed="false" customWidth="true" hidden="false" outlineLevel="0" max="520" min="520" style="97" width="16.17"/>
    <col collapsed="false" customWidth="false" hidden="false" outlineLevel="0" max="521" min="521" style="97" width="9.17"/>
    <col collapsed="false" customWidth="true" hidden="false" outlineLevel="0" max="525" min="522" style="97" width="18.67"/>
    <col collapsed="false" customWidth="false" hidden="false" outlineLevel="0" max="526" min="526" style="97" width="9.17"/>
    <col collapsed="false" customWidth="true" hidden="false" outlineLevel="0" max="527" min="527" style="97" width="9.83"/>
    <col collapsed="false" customWidth="true" hidden="false" outlineLevel="0" max="529" min="528" style="97" width="15.67"/>
    <col collapsed="false" customWidth="true" hidden="false" outlineLevel="0" max="530" min="530" style="97" width="16.67"/>
    <col collapsed="false" customWidth="true" hidden="false" outlineLevel="0" max="531" min="531" style="97" width="15.67"/>
    <col collapsed="false" customWidth="true" hidden="false" outlineLevel="0" max="534" min="532" style="97" width="20.5"/>
    <col collapsed="false" customWidth="false" hidden="false" outlineLevel="0" max="535" min="535" style="97" width="9.17"/>
    <col collapsed="false" customWidth="true" hidden="false" outlineLevel="0" max="536" min="536" style="97" width="15.67"/>
    <col collapsed="false" customWidth="false" hidden="false" outlineLevel="0" max="768" min="537" style="97" width="9.17"/>
    <col collapsed="false" customWidth="true" hidden="false" outlineLevel="0" max="769" min="769" style="97" width="4.33"/>
    <col collapsed="false" customWidth="true" hidden="false" outlineLevel="0" max="770" min="770" style="97" width="5.33"/>
    <col collapsed="false" customWidth="true" hidden="false" outlineLevel="0" max="774" min="771" style="97" width="17.66"/>
    <col collapsed="false" customWidth="true" hidden="true" outlineLevel="0" max="775" min="775" style="97" width="10.16"/>
    <col collapsed="false" customWidth="true" hidden="false" outlineLevel="0" max="776" min="776" style="97" width="16.17"/>
    <col collapsed="false" customWidth="false" hidden="false" outlineLevel="0" max="777" min="777" style="97" width="9.17"/>
    <col collapsed="false" customWidth="true" hidden="false" outlineLevel="0" max="781" min="778" style="97" width="18.67"/>
    <col collapsed="false" customWidth="false" hidden="false" outlineLevel="0" max="782" min="782" style="97" width="9.17"/>
    <col collapsed="false" customWidth="true" hidden="false" outlineLevel="0" max="783" min="783" style="97" width="9.83"/>
    <col collapsed="false" customWidth="true" hidden="false" outlineLevel="0" max="785" min="784" style="97" width="15.67"/>
    <col collapsed="false" customWidth="true" hidden="false" outlineLevel="0" max="786" min="786" style="97" width="16.67"/>
    <col collapsed="false" customWidth="true" hidden="false" outlineLevel="0" max="787" min="787" style="97" width="15.67"/>
    <col collapsed="false" customWidth="true" hidden="false" outlineLevel="0" max="790" min="788" style="97" width="20.5"/>
    <col collapsed="false" customWidth="false" hidden="false" outlineLevel="0" max="791" min="791" style="97" width="9.17"/>
    <col collapsed="false" customWidth="true" hidden="false" outlineLevel="0" max="792" min="792" style="97" width="15.67"/>
    <col collapsed="false" customWidth="false" hidden="false" outlineLevel="0" max="1024" min="793" style="97" width="9.17"/>
    <col collapsed="false" customWidth="true" hidden="false" outlineLevel="0" max="1025" min="1025" style="97" width="4.33"/>
    <col collapsed="false" customWidth="true" hidden="false" outlineLevel="0" max="1026" min="1026" style="97" width="5.33"/>
    <col collapsed="false" customWidth="true" hidden="false" outlineLevel="0" max="1030" min="1027" style="97" width="17.66"/>
    <col collapsed="false" customWidth="true" hidden="true" outlineLevel="0" max="1031" min="1031" style="97" width="10.16"/>
    <col collapsed="false" customWidth="true" hidden="false" outlineLevel="0" max="1032" min="1032" style="97" width="16.17"/>
    <col collapsed="false" customWidth="false" hidden="false" outlineLevel="0" max="1033" min="1033" style="97" width="9.17"/>
    <col collapsed="false" customWidth="true" hidden="false" outlineLevel="0" max="1037" min="1034" style="97" width="18.67"/>
    <col collapsed="false" customWidth="false" hidden="false" outlineLevel="0" max="1038" min="1038" style="97" width="9.17"/>
    <col collapsed="false" customWidth="true" hidden="false" outlineLevel="0" max="1039" min="1039" style="97" width="9.83"/>
    <col collapsed="false" customWidth="true" hidden="false" outlineLevel="0" max="1041" min="1040" style="97" width="15.67"/>
    <col collapsed="false" customWidth="true" hidden="false" outlineLevel="0" max="1042" min="1042" style="97" width="16.67"/>
    <col collapsed="false" customWidth="true" hidden="false" outlineLevel="0" max="1043" min="1043" style="97" width="15.67"/>
    <col collapsed="false" customWidth="true" hidden="false" outlineLevel="0" max="1046" min="1044" style="97" width="20.5"/>
    <col collapsed="false" customWidth="false" hidden="false" outlineLevel="0" max="1047" min="1047" style="97" width="9.17"/>
    <col collapsed="false" customWidth="true" hidden="false" outlineLevel="0" max="1048" min="1048" style="97" width="15.67"/>
    <col collapsed="false" customWidth="false" hidden="false" outlineLevel="0" max="1280" min="1049" style="97" width="9.17"/>
    <col collapsed="false" customWidth="true" hidden="false" outlineLevel="0" max="1281" min="1281" style="97" width="4.33"/>
    <col collapsed="false" customWidth="true" hidden="false" outlineLevel="0" max="1282" min="1282" style="97" width="5.33"/>
    <col collapsed="false" customWidth="true" hidden="false" outlineLevel="0" max="1286" min="1283" style="97" width="17.66"/>
    <col collapsed="false" customWidth="true" hidden="true" outlineLevel="0" max="1287" min="1287" style="97" width="10.16"/>
    <col collapsed="false" customWidth="true" hidden="false" outlineLevel="0" max="1288" min="1288" style="97" width="16.17"/>
    <col collapsed="false" customWidth="false" hidden="false" outlineLevel="0" max="1289" min="1289" style="97" width="9.17"/>
    <col collapsed="false" customWidth="true" hidden="false" outlineLevel="0" max="1293" min="1290" style="97" width="18.67"/>
    <col collapsed="false" customWidth="false" hidden="false" outlineLevel="0" max="1294" min="1294" style="97" width="9.17"/>
    <col collapsed="false" customWidth="true" hidden="false" outlineLevel="0" max="1295" min="1295" style="97" width="9.83"/>
    <col collapsed="false" customWidth="true" hidden="false" outlineLevel="0" max="1297" min="1296" style="97" width="15.67"/>
    <col collapsed="false" customWidth="true" hidden="false" outlineLevel="0" max="1298" min="1298" style="97" width="16.67"/>
    <col collapsed="false" customWidth="true" hidden="false" outlineLevel="0" max="1299" min="1299" style="97" width="15.67"/>
    <col collapsed="false" customWidth="true" hidden="false" outlineLevel="0" max="1302" min="1300" style="97" width="20.5"/>
    <col collapsed="false" customWidth="false" hidden="false" outlineLevel="0" max="1303" min="1303" style="97" width="9.17"/>
    <col collapsed="false" customWidth="true" hidden="false" outlineLevel="0" max="1304" min="1304" style="97" width="15.67"/>
    <col collapsed="false" customWidth="false" hidden="false" outlineLevel="0" max="1536" min="1305" style="97" width="9.17"/>
    <col collapsed="false" customWidth="true" hidden="false" outlineLevel="0" max="1537" min="1537" style="97" width="4.33"/>
    <col collapsed="false" customWidth="true" hidden="false" outlineLevel="0" max="1538" min="1538" style="97" width="5.33"/>
    <col collapsed="false" customWidth="true" hidden="false" outlineLevel="0" max="1542" min="1539" style="97" width="17.66"/>
    <col collapsed="false" customWidth="true" hidden="true" outlineLevel="0" max="1543" min="1543" style="97" width="10.16"/>
    <col collapsed="false" customWidth="true" hidden="false" outlineLevel="0" max="1544" min="1544" style="97" width="16.17"/>
    <col collapsed="false" customWidth="false" hidden="false" outlineLevel="0" max="1545" min="1545" style="97" width="9.17"/>
    <col collapsed="false" customWidth="true" hidden="false" outlineLevel="0" max="1549" min="1546" style="97" width="18.67"/>
    <col collapsed="false" customWidth="false" hidden="false" outlineLevel="0" max="1550" min="1550" style="97" width="9.17"/>
    <col collapsed="false" customWidth="true" hidden="false" outlineLevel="0" max="1551" min="1551" style="97" width="9.83"/>
    <col collapsed="false" customWidth="true" hidden="false" outlineLevel="0" max="1553" min="1552" style="97" width="15.67"/>
    <col collapsed="false" customWidth="true" hidden="false" outlineLevel="0" max="1554" min="1554" style="97" width="16.67"/>
    <col collapsed="false" customWidth="true" hidden="false" outlineLevel="0" max="1555" min="1555" style="97" width="15.67"/>
    <col collapsed="false" customWidth="true" hidden="false" outlineLevel="0" max="1558" min="1556" style="97" width="20.5"/>
    <col collapsed="false" customWidth="false" hidden="false" outlineLevel="0" max="1559" min="1559" style="97" width="9.17"/>
    <col collapsed="false" customWidth="true" hidden="false" outlineLevel="0" max="1560" min="1560" style="97" width="15.67"/>
    <col collapsed="false" customWidth="false" hidden="false" outlineLevel="0" max="1792" min="1561" style="97" width="9.17"/>
    <col collapsed="false" customWidth="true" hidden="false" outlineLevel="0" max="1793" min="1793" style="97" width="4.33"/>
    <col collapsed="false" customWidth="true" hidden="false" outlineLevel="0" max="1794" min="1794" style="97" width="5.33"/>
    <col collapsed="false" customWidth="true" hidden="false" outlineLevel="0" max="1798" min="1795" style="97" width="17.66"/>
    <col collapsed="false" customWidth="true" hidden="true" outlineLevel="0" max="1799" min="1799" style="97" width="10.16"/>
    <col collapsed="false" customWidth="true" hidden="false" outlineLevel="0" max="1800" min="1800" style="97" width="16.17"/>
    <col collapsed="false" customWidth="false" hidden="false" outlineLevel="0" max="1801" min="1801" style="97" width="9.17"/>
    <col collapsed="false" customWidth="true" hidden="false" outlineLevel="0" max="1805" min="1802" style="97" width="18.67"/>
    <col collapsed="false" customWidth="false" hidden="false" outlineLevel="0" max="1806" min="1806" style="97" width="9.17"/>
    <col collapsed="false" customWidth="true" hidden="false" outlineLevel="0" max="1807" min="1807" style="97" width="9.83"/>
    <col collapsed="false" customWidth="true" hidden="false" outlineLevel="0" max="1809" min="1808" style="97" width="15.67"/>
    <col collapsed="false" customWidth="true" hidden="false" outlineLevel="0" max="1810" min="1810" style="97" width="16.67"/>
    <col collapsed="false" customWidth="true" hidden="false" outlineLevel="0" max="1811" min="1811" style="97" width="15.67"/>
    <col collapsed="false" customWidth="true" hidden="false" outlineLevel="0" max="1814" min="1812" style="97" width="20.5"/>
    <col collapsed="false" customWidth="false" hidden="false" outlineLevel="0" max="1815" min="1815" style="97" width="9.17"/>
    <col collapsed="false" customWidth="true" hidden="false" outlineLevel="0" max="1816" min="1816" style="97" width="15.67"/>
    <col collapsed="false" customWidth="false" hidden="false" outlineLevel="0" max="2048" min="1817" style="97" width="9.17"/>
    <col collapsed="false" customWidth="true" hidden="false" outlineLevel="0" max="2049" min="2049" style="97" width="4.33"/>
    <col collapsed="false" customWidth="true" hidden="false" outlineLevel="0" max="2050" min="2050" style="97" width="5.33"/>
    <col collapsed="false" customWidth="true" hidden="false" outlineLevel="0" max="2054" min="2051" style="97" width="17.66"/>
    <col collapsed="false" customWidth="true" hidden="true" outlineLevel="0" max="2055" min="2055" style="97" width="10.16"/>
    <col collapsed="false" customWidth="true" hidden="false" outlineLevel="0" max="2056" min="2056" style="97" width="16.17"/>
    <col collapsed="false" customWidth="false" hidden="false" outlineLevel="0" max="2057" min="2057" style="97" width="9.17"/>
    <col collapsed="false" customWidth="true" hidden="false" outlineLevel="0" max="2061" min="2058" style="97" width="18.67"/>
    <col collapsed="false" customWidth="false" hidden="false" outlineLevel="0" max="2062" min="2062" style="97" width="9.17"/>
    <col collapsed="false" customWidth="true" hidden="false" outlineLevel="0" max="2063" min="2063" style="97" width="9.83"/>
    <col collapsed="false" customWidth="true" hidden="false" outlineLevel="0" max="2065" min="2064" style="97" width="15.67"/>
    <col collapsed="false" customWidth="true" hidden="false" outlineLevel="0" max="2066" min="2066" style="97" width="16.67"/>
    <col collapsed="false" customWidth="true" hidden="false" outlineLevel="0" max="2067" min="2067" style="97" width="15.67"/>
    <col collapsed="false" customWidth="true" hidden="false" outlineLevel="0" max="2070" min="2068" style="97" width="20.5"/>
    <col collapsed="false" customWidth="false" hidden="false" outlineLevel="0" max="2071" min="2071" style="97" width="9.17"/>
    <col collapsed="false" customWidth="true" hidden="false" outlineLevel="0" max="2072" min="2072" style="97" width="15.67"/>
    <col collapsed="false" customWidth="false" hidden="false" outlineLevel="0" max="2304" min="2073" style="97" width="9.17"/>
    <col collapsed="false" customWidth="true" hidden="false" outlineLevel="0" max="2305" min="2305" style="97" width="4.33"/>
    <col collapsed="false" customWidth="true" hidden="false" outlineLevel="0" max="2306" min="2306" style="97" width="5.33"/>
    <col collapsed="false" customWidth="true" hidden="false" outlineLevel="0" max="2310" min="2307" style="97" width="17.66"/>
    <col collapsed="false" customWidth="true" hidden="true" outlineLevel="0" max="2311" min="2311" style="97" width="10.16"/>
    <col collapsed="false" customWidth="true" hidden="false" outlineLevel="0" max="2312" min="2312" style="97" width="16.17"/>
    <col collapsed="false" customWidth="false" hidden="false" outlineLevel="0" max="2313" min="2313" style="97" width="9.17"/>
    <col collapsed="false" customWidth="true" hidden="false" outlineLevel="0" max="2317" min="2314" style="97" width="18.67"/>
    <col collapsed="false" customWidth="false" hidden="false" outlineLevel="0" max="2318" min="2318" style="97" width="9.17"/>
    <col collapsed="false" customWidth="true" hidden="false" outlineLevel="0" max="2319" min="2319" style="97" width="9.83"/>
    <col collapsed="false" customWidth="true" hidden="false" outlineLevel="0" max="2321" min="2320" style="97" width="15.67"/>
    <col collapsed="false" customWidth="true" hidden="false" outlineLevel="0" max="2322" min="2322" style="97" width="16.67"/>
    <col collapsed="false" customWidth="true" hidden="false" outlineLevel="0" max="2323" min="2323" style="97" width="15.67"/>
    <col collapsed="false" customWidth="true" hidden="false" outlineLevel="0" max="2326" min="2324" style="97" width="20.5"/>
    <col collapsed="false" customWidth="false" hidden="false" outlineLevel="0" max="2327" min="2327" style="97" width="9.17"/>
    <col collapsed="false" customWidth="true" hidden="false" outlineLevel="0" max="2328" min="2328" style="97" width="15.67"/>
    <col collapsed="false" customWidth="false" hidden="false" outlineLevel="0" max="2560" min="2329" style="97" width="9.17"/>
    <col collapsed="false" customWidth="true" hidden="false" outlineLevel="0" max="2561" min="2561" style="97" width="4.33"/>
    <col collapsed="false" customWidth="true" hidden="false" outlineLevel="0" max="2562" min="2562" style="97" width="5.33"/>
    <col collapsed="false" customWidth="true" hidden="false" outlineLevel="0" max="2566" min="2563" style="97" width="17.66"/>
    <col collapsed="false" customWidth="true" hidden="true" outlineLevel="0" max="2567" min="2567" style="97" width="10.16"/>
    <col collapsed="false" customWidth="true" hidden="false" outlineLevel="0" max="2568" min="2568" style="97" width="16.17"/>
    <col collapsed="false" customWidth="false" hidden="false" outlineLevel="0" max="2569" min="2569" style="97" width="9.17"/>
    <col collapsed="false" customWidth="true" hidden="false" outlineLevel="0" max="2573" min="2570" style="97" width="18.67"/>
    <col collapsed="false" customWidth="false" hidden="false" outlineLevel="0" max="2574" min="2574" style="97" width="9.17"/>
    <col collapsed="false" customWidth="true" hidden="false" outlineLevel="0" max="2575" min="2575" style="97" width="9.83"/>
    <col collapsed="false" customWidth="true" hidden="false" outlineLevel="0" max="2577" min="2576" style="97" width="15.67"/>
    <col collapsed="false" customWidth="true" hidden="false" outlineLevel="0" max="2578" min="2578" style="97" width="16.67"/>
    <col collapsed="false" customWidth="true" hidden="false" outlineLevel="0" max="2579" min="2579" style="97" width="15.67"/>
    <col collapsed="false" customWidth="true" hidden="false" outlineLevel="0" max="2582" min="2580" style="97" width="20.5"/>
    <col collapsed="false" customWidth="false" hidden="false" outlineLevel="0" max="2583" min="2583" style="97" width="9.17"/>
    <col collapsed="false" customWidth="true" hidden="false" outlineLevel="0" max="2584" min="2584" style="97" width="15.67"/>
    <col collapsed="false" customWidth="false" hidden="false" outlineLevel="0" max="2816" min="2585" style="97" width="9.17"/>
    <col collapsed="false" customWidth="true" hidden="false" outlineLevel="0" max="2817" min="2817" style="97" width="4.33"/>
    <col collapsed="false" customWidth="true" hidden="false" outlineLevel="0" max="2818" min="2818" style="97" width="5.33"/>
    <col collapsed="false" customWidth="true" hidden="false" outlineLevel="0" max="2822" min="2819" style="97" width="17.66"/>
    <col collapsed="false" customWidth="true" hidden="true" outlineLevel="0" max="2823" min="2823" style="97" width="10.16"/>
    <col collapsed="false" customWidth="true" hidden="false" outlineLevel="0" max="2824" min="2824" style="97" width="16.17"/>
    <col collapsed="false" customWidth="false" hidden="false" outlineLevel="0" max="2825" min="2825" style="97" width="9.17"/>
    <col collapsed="false" customWidth="true" hidden="false" outlineLevel="0" max="2829" min="2826" style="97" width="18.67"/>
    <col collapsed="false" customWidth="false" hidden="false" outlineLevel="0" max="2830" min="2830" style="97" width="9.17"/>
    <col collapsed="false" customWidth="true" hidden="false" outlineLevel="0" max="2831" min="2831" style="97" width="9.83"/>
    <col collapsed="false" customWidth="true" hidden="false" outlineLevel="0" max="2833" min="2832" style="97" width="15.67"/>
    <col collapsed="false" customWidth="true" hidden="false" outlineLevel="0" max="2834" min="2834" style="97" width="16.67"/>
    <col collapsed="false" customWidth="true" hidden="false" outlineLevel="0" max="2835" min="2835" style="97" width="15.67"/>
    <col collapsed="false" customWidth="true" hidden="false" outlineLevel="0" max="2838" min="2836" style="97" width="20.5"/>
    <col collapsed="false" customWidth="false" hidden="false" outlineLevel="0" max="2839" min="2839" style="97" width="9.17"/>
    <col collapsed="false" customWidth="true" hidden="false" outlineLevel="0" max="2840" min="2840" style="97" width="15.67"/>
    <col collapsed="false" customWidth="false" hidden="false" outlineLevel="0" max="3072" min="2841" style="97" width="9.17"/>
    <col collapsed="false" customWidth="true" hidden="false" outlineLevel="0" max="3073" min="3073" style="97" width="4.33"/>
    <col collapsed="false" customWidth="true" hidden="false" outlineLevel="0" max="3074" min="3074" style="97" width="5.33"/>
    <col collapsed="false" customWidth="true" hidden="false" outlineLevel="0" max="3078" min="3075" style="97" width="17.66"/>
    <col collapsed="false" customWidth="true" hidden="true" outlineLevel="0" max="3079" min="3079" style="97" width="10.16"/>
    <col collapsed="false" customWidth="true" hidden="false" outlineLevel="0" max="3080" min="3080" style="97" width="16.17"/>
    <col collapsed="false" customWidth="false" hidden="false" outlineLevel="0" max="3081" min="3081" style="97" width="9.17"/>
    <col collapsed="false" customWidth="true" hidden="false" outlineLevel="0" max="3085" min="3082" style="97" width="18.67"/>
    <col collapsed="false" customWidth="false" hidden="false" outlineLevel="0" max="3086" min="3086" style="97" width="9.17"/>
    <col collapsed="false" customWidth="true" hidden="false" outlineLevel="0" max="3087" min="3087" style="97" width="9.83"/>
    <col collapsed="false" customWidth="true" hidden="false" outlineLevel="0" max="3089" min="3088" style="97" width="15.67"/>
    <col collapsed="false" customWidth="true" hidden="false" outlineLevel="0" max="3090" min="3090" style="97" width="16.67"/>
    <col collapsed="false" customWidth="true" hidden="false" outlineLevel="0" max="3091" min="3091" style="97" width="15.67"/>
    <col collapsed="false" customWidth="true" hidden="false" outlineLevel="0" max="3094" min="3092" style="97" width="20.5"/>
    <col collapsed="false" customWidth="false" hidden="false" outlineLevel="0" max="3095" min="3095" style="97" width="9.17"/>
    <col collapsed="false" customWidth="true" hidden="false" outlineLevel="0" max="3096" min="3096" style="97" width="15.67"/>
    <col collapsed="false" customWidth="false" hidden="false" outlineLevel="0" max="3328" min="3097" style="97" width="9.17"/>
    <col collapsed="false" customWidth="true" hidden="false" outlineLevel="0" max="3329" min="3329" style="97" width="4.33"/>
    <col collapsed="false" customWidth="true" hidden="false" outlineLevel="0" max="3330" min="3330" style="97" width="5.33"/>
    <col collapsed="false" customWidth="true" hidden="false" outlineLevel="0" max="3334" min="3331" style="97" width="17.66"/>
    <col collapsed="false" customWidth="true" hidden="true" outlineLevel="0" max="3335" min="3335" style="97" width="10.16"/>
    <col collapsed="false" customWidth="true" hidden="false" outlineLevel="0" max="3336" min="3336" style="97" width="16.17"/>
    <col collapsed="false" customWidth="false" hidden="false" outlineLevel="0" max="3337" min="3337" style="97" width="9.17"/>
    <col collapsed="false" customWidth="true" hidden="false" outlineLevel="0" max="3341" min="3338" style="97" width="18.67"/>
    <col collapsed="false" customWidth="false" hidden="false" outlineLevel="0" max="3342" min="3342" style="97" width="9.17"/>
    <col collapsed="false" customWidth="true" hidden="false" outlineLevel="0" max="3343" min="3343" style="97" width="9.83"/>
    <col collapsed="false" customWidth="true" hidden="false" outlineLevel="0" max="3345" min="3344" style="97" width="15.67"/>
    <col collapsed="false" customWidth="true" hidden="false" outlineLevel="0" max="3346" min="3346" style="97" width="16.67"/>
    <col collapsed="false" customWidth="true" hidden="false" outlineLevel="0" max="3347" min="3347" style="97" width="15.67"/>
    <col collapsed="false" customWidth="true" hidden="false" outlineLevel="0" max="3350" min="3348" style="97" width="20.5"/>
    <col collapsed="false" customWidth="false" hidden="false" outlineLevel="0" max="3351" min="3351" style="97" width="9.17"/>
    <col collapsed="false" customWidth="true" hidden="false" outlineLevel="0" max="3352" min="3352" style="97" width="15.67"/>
    <col collapsed="false" customWidth="false" hidden="false" outlineLevel="0" max="3584" min="3353" style="97" width="9.17"/>
    <col collapsed="false" customWidth="true" hidden="false" outlineLevel="0" max="3585" min="3585" style="97" width="4.33"/>
    <col collapsed="false" customWidth="true" hidden="false" outlineLevel="0" max="3586" min="3586" style="97" width="5.33"/>
    <col collapsed="false" customWidth="true" hidden="false" outlineLevel="0" max="3590" min="3587" style="97" width="17.66"/>
    <col collapsed="false" customWidth="true" hidden="true" outlineLevel="0" max="3591" min="3591" style="97" width="10.16"/>
    <col collapsed="false" customWidth="true" hidden="false" outlineLevel="0" max="3592" min="3592" style="97" width="16.17"/>
    <col collapsed="false" customWidth="false" hidden="false" outlineLevel="0" max="3593" min="3593" style="97" width="9.17"/>
    <col collapsed="false" customWidth="true" hidden="false" outlineLevel="0" max="3597" min="3594" style="97" width="18.67"/>
    <col collapsed="false" customWidth="false" hidden="false" outlineLevel="0" max="3598" min="3598" style="97" width="9.17"/>
    <col collapsed="false" customWidth="true" hidden="false" outlineLevel="0" max="3599" min="3599" style="97" width="9.83"/>
    <col collapsed="false" customWidth="true" hidden="false" outlineLevel="0" max="3601" min="3600" style="97" width="15.67"/>
    <col collapsed="false" customWidth="true" hidden="false" outlineLevel="0" max="3602" min="3602" style="97" width="16.67"/>
    <col collapsed="false" customWidth="true" hidden="false" outlineLevel="0" max="3603" min="3603" style="97" width="15.67"/>
    <col collapsed="false" customWidth="true" hidden="false" outlineLevel="0" max="3606" min="3604" style="97" width="20.5"/>
    <col collapsed="false" customWidth="false" hidden="false" outlineLevel="0" max="3607" min="3607" style="97" width="9.17"/>
    <col collapsed="false" customWidth="true" hidden="false" outlineLevel="0" max="3608" min="3608" style="97" width="15.67"/>
    <col collapsed="false" customWidth="false" hidden="false" outlineLevel="0" max="3840" min="3609" style="97" width="9.17"/>
    <col collapsed="false" customWidth="true" hidden="false" outlineLevel="0" max="3841" min="3841" style="97" width="4.33"/>
    <col collapsed="false" customWidth="true" hidden="false" outlineLevel="0" max="3842" min="3842" style="97" width="5.33"/>
    <col collapsed="false" customWidth="true" hidden="false" outlineLevel="0" max="3846" min="3843" style="97" width="17.66"/>
    <col collapsed="false" customWidth="true" hidden="true" outlineLevel="0" max="3847" min="3847" style="97" width="10.16"/>
    <col collapsed="false" customWidth="true" hidden="false" outlineLevel="0" max="3848" min="3848" style="97" width="16.17"/>
    <col collapsed="false" customWidth="false" hidden="false" outlineLevel="0" max="3849" min="3849" style="97" width="9.17"/>
    <col collapsed="false" customWidth="true" hidden="false" outlineLevel="0" max="3853" min="3850" style="97" width="18.67"/>
    <col collapsed="false" customWidth="false" hidden="false" outlineLevel="0" max="3854" min="3854" style="97" width="9.17"/>
    <col collapsed="false" customWidth="true" hidden="false" outlineLevel="0" max="3855" min="3855" style="97" width="9.83"/>
    <col collapsed="false" customWidth="true" hidden="false" outlineLevel="0" max="3857" min="3856" style="97" width="15.67"/>
    <col collapsed="false" customWidth="true" hidden="false" outlineLevel="0" max="3858" min="3858" style="97" width="16.67"/>
    <col collapsed="false" customWidth="true" hidden="false" outlineLevel="0" max="3859" min="3859" style="97" width="15.67"/>
    <col collapsed="false" customWidth="true" hidden="false" outlineLevel="0" max="3862" min="3860" style="97" width="20.5"/>
    <col collapsed="false" customWidth="false" hidden="false" outlineLevel="0" max="3863" min="3863" style="97" width="9.17"/>
    <col collapsed="false" customWidth="true" hidden="false" outlineLevel="0" max="3864" min="3864" style="97" width="15.67"/>
    <col collapsed="false" customWidth="false" hidden="false" outlineLevel="0" max="4096" min="3865" style="97" width="9.17"/>
    <col collapsed="false" customWidth="true" hidden="false" outlineLevel="0" max="4097" min="4097" style="97" width="4.33"/>
    <col collapsed="false" customWidth="true" hidden="false" outlineLevel="0" max="4098" min="4098" style="97" width="5.33"/>
    <col collapsed="false" customWidth="true" hidden="false" outlineLevel="0" max="4102" min="4099" style="97" width="17.66"/>
    <col collapsed="false" customWidth="true" hidden="true" outlineLevel="0" max="4103" min="4103" style="97" width="10.16"/>
    <col collapsed="false" customWidth="true" hidden="false" outlineLevel="0" max="4104" min="4104" style="97" width="16.17"/>
    <col collapsed="false" customWidth="false" hidden="false" outlineLevel="0" max="4105" min="4105" style="97" width="9.17"/>
    <col collapsed="false" customWidth="true" hidden="false" outlineLevel="0" max="4109" min="4106" style="97" width="18.67"/>
    <col collapsed="false" customWidth="false" hidden="false" outlineLevel="0" max="4110" min="4110" style="97" width="9.17"/>
    <col collapsed="false" customWidth="true" hidden="false" outlineLevel="0" max="4111" min="4111" style="97" width="9.83"/>
    <col collapsed="false" customWidth="true" hidden="false" outlineLevel="0" max="4113" min="4112" style="97" width="15.67"/>
    <col collapsed="false" customWidth="true" hidden="false" outlineLevel="0" max="4114" min="4114" style="97" width="16.67"/>
    <col collapsed="false" customWidth="true" hidden="false" outlineLevel="0" max="4115" min="4115" style="97" width="15.67"/>
    <col collapsed="false" customWidth="true" hidden="false" outlineLevel="0" max="4118" min="4116" style="97" width="20.5"/>
    <col collapsed="false" customWidth="false" hidden="false" outlineLevel="0" max="4119" min="4119" style="97" width="9.17"/>
    <col collapsed="false" customWidth="true" hidden="false" outlineLevel="0" max="4120" min="4120" style="97" width="15.67"/>
    <col collapsed="false" customWidth="false" hidden="false" outlineLevel="0" max="4352" min="4121" style="97" width="9.17"/>
    <col collapsed="false" customWidth="true" hidden="false" outlineLevel="0" max="4353" min="4353" style="97" width="4.33"/>
    <col collapsed="false" customWidth="true" hidden="false" outlineLevel="0" max="4354" min="4354" style="97" width="5.33"/>
    <col collapsed="false" customWidth="true" hidden="false" outlineLevel="0" max="4358" min="4355" style="97" width="17.66"/>
    <col collapsed="false" customWidth="true" hidden="true" outlineLevel="0" max="4359" min="4359" style="97" width="10.16"/>
    <col collapsed="false" customWidth="true" hidden="false" outlineLevel="0" max="4360" min="4360" style="97" width="16.17"/>
    <col collapsed="false" customWidth="false" hidden="false" outlineLevel="0" max="4361" min="4361" style="97" width="9.17"/>
    <col collapsed="false" customWidth="true" hidden="false" outlineLevel="0" max="4365" min="4362" style="97" width="18.67"/>
    <col collapsed="false" customWidth="false" hidden="false" outlineLevel="0" max="4366" min="4366" style="97" width="9.17"/>
    <col collapsed="false" customWidth="true" hidden="false" outlineLevel="0" max="4367" min="4367" style="97" width="9.83"/>
    <col collapsed="false" customWidth="true" hidden="false" outlineLevel="0" max="4369" min="4368" style="97" width="15.67"/>
    <col collapsed="false" customWidth="true" hidden="false" outlineLevel="0" max="4370" min="4370" style="97" width="16.67"/>
    <col collapsed="false" customWidth="true" hidden="false" outlineLevel="0" max="4371" min="4371" style="97" width="15.67"/>
    <col collapsed="false" customWidth="true" hidden="false" outlineLevel="0" max="4374" min="4372" style="97" width="20.5"/>
    <col collapsed="false" customWidth="false" hidden="false" outlineLevel="0" max="4375" min="4375" style="97" width="9.17"/>
    <col collapsed="false" customWidth="true" hidden="false" outlineLevel="0" max="4376" min="4376" style="97" width="15.67"/>
    <col collapsed="false" customWidth="false" hidden="false" outlineLevel="0" max="4608" min="4377" style="97" width="9.17"/>
    <col collapsed="false" customWidth="true" hidden="false" outlineLevel="0" max="4609" min="4609" style="97" width="4.33"/>
    <col collapsed="false" customWidth="true" hidden="false" outlineLevel="0" max="4610" min="4610" style="97" width="5.33"/>
    <col collapsed="false" customWidth="true" hidden="false" outlineLevel="0" max="4614" min="4611" style="97" width="17.66"/>
    <col collapsed="false" customWidth="true" hidden="true" outlineLevel="0" max="4615" min="4615" style="97" width="10.16"/>
    <col collapsed="false" customWidth="true" hidden="false" outlineLevel="0" max="4616" min="4616" style="97" width="16.17"/>
    <col collapsed="false" customWidth="false" hidden="false" outlineLevel="0" max="4617" min="4617" style="97" width="9.17"/>
    <col collapsed="false" customWidth="true" hidden="false" outlineLevel="0" max="4621" min="4618" style="97" width="18.67"/>
    <col collapsed="false" customWidth="false" hidden="false" outlineLevel="0" max="4622" min="4622" style="97" width="9.17"/>
    <col collapsed="false" customWidth="true" hidden="false" outlineLevel="0" max="4623" min="4623" style="97" width="9.83"/>
    <col collapsed="false" customWidth="true" hidden="false" outlineLevel="0" max="4625" min="4624" style="97" width="15.67"/>
    <col collapsed="false" customWidth="true" hidden="false" outlineLevel="0" max="4626" min="4626" style="97" width="16.67"/>
    <col collapsed="false" customWidth="true" hidden="false" outlineLevel="0" max="4627" min="4627" style="97" width="15.67"/>
    <col collapsed="false" customWidth="true" hidden="false" outlineLevel="0" max="4630" min="4628" style="97" width="20.5"/>
    <col collapsed="false" customWidth="false" hidden="false" outlineLevel="0" max="4631" min="4631" style="97" width="9.17"/>
    <col collapsed="false" customWidth="true" hidden="false" outlineLevel="0" max="4632" min="4632" style="97" width="15.67"/>
    <col collapsed="false" customWidth="false" hidden="false" outlineLevel="0" max="4864" min="4633" style="97" width="9.17"/>
    <col collapsed="false" customWidth="true" hidden="false" outlineLevel="0" max="4865" min="4865" style="97" width="4.33"/>
    <col collapsed="false" customWidth="true" hidden="false" outlineLevel="0" max="4866" min="4866" style="97" width="5.33"/>
    <col collapsed="false" customWidth="true" hidden="false" outlineLevel="0" max="4870" min="4867" style="97" width="17.66"/>
    <col collapsed="false" customWidth="true" hidden="true" outlineLevel="0" max="4871" min="4871" style="97" width="10.16"/>
    <col collapsed="false" customWidth="true" hidden="false" outlineLevel="0" max="4872" min="4872" style="97" width="16.17"/>
    <col collapsed="false" customWidth="false" hidden="false" outlineLevel="0" max="4873" min="4873" style="97" width="9.17"/>
    <col collapsed="false" customWidth="true" hidden="false" outlineLevel="0" max="4877" min="4874" style="97" width="18.67"/>
    <col collapsed="false" customWidth="false" hidden="false" outlineLevel="0" max="4878" min="4878" style="97" width="9.17"/>
    <col collapsed="false" customWidth="true" hidden="false" outlineLevel="0" max="4879" min="4879" style="97" width="9.83"/>
    <col collapsed="false" customWidth="true" hidden="false" outlineLevel="0" max="4881" min="4880" style="97" width="15.67"/>
    <col collapsed="false" customWidth="true" hidden="false" outlineLevel="0" max="4882" min="4882" style="97" width="16.67"/>
    <col collapsed="false" customWidth="true" hidden="false" outlineLevel="0" max="4883" min="4883" style="97" width="15.67"/>
    <col collapsed="false" customWidth="true" hidden="false" outlineLevel="0" max="4886" min="4884" style="97" width="20.5"/>
    <col collapsed="false" customWidth="false" hidden="false" outlineLevel="0" max="4887" min="4887" style="97" width="9.17"/>
    <col collapsed="false" customWidth="true" hidden="false" outlineLevel="0" max="4888" min="4888" style="97" width="15.67"/>
    <col collapsed="false" customWidth="false" hidden="false" outlineLevel="0" max="5120" min="4889" style="97" width="9.17"/>
    <col collapsed="false" customWidth="true" hidden="false" outlineLevel="0" max="5121" min="5121" style="97" width="4.33"/>
    <col collapsed="false" customWidth="true" hidden="false" outlineLevel="0" max="5122" min="5122" style="97" width="5.33"/>
    <col collapsed="false" customWidth="true" hidden="false" outlineLevel="0" max="5126" min="5123" style="97" width="17.66"/>
    <col collapsed="false" customWidth="true" hidden="true" outlineLevel="0" max="5127" min="5127" style="97" width="10.16"/>
    <col collapsed="false" customWidth="true" hidden="false" outlineLevel="0" max="5128" min="5128" style="97" width="16.17"/>
    <col collapsed="false" customWidth="false" hidden="false" outlineLevel="0" max="5129" min="5129" style="97" width="9.17"/>
    <col collapsed="false" customWidth="true" hidden="false" outlineLevel="0" max="5133" min="5130" style="97" width="18.67"/>
    <col collapsed="false" customWidth="false" hidden="false" outlineLevel="0" max="5134" min="5134" style="97" width="9.17"/>
    <col collapsed="false" customWidth="true" hidden="false" outlineLevel="0" max="5135" min="5135" style="97" width="9.83"/>
    <col collapsed="false" customWidth="true" hidden="false" outlineLevel="0" max="5137" min="5136" style="97" width="15.67"/>
    <col collapsed="false" customWidth="true" hidden="false" outlineLevel="0" max="5138" min="5138" style="97" width="16.67"/>
    <col collapsed="false" customWidth="true" hidden="false" outlineLevel="0" max="5139" min="5139" style="97" width="15.67"/>
    <col collapsed="false" customWidth="true" hidden="false" outlineLevel="0" max="5142" min="5140" style="97" width="20.5"/>
    <col collapsed="false" customWidth="false" hidden="false" outlineLevel="0" max="5143" min="5143" style="97" width="9.17"/>
    <col collapsed="false" customWidth="true" hidden="false" outlineLevel="0" max="5144" min="5144" style="97" width="15.67"/>
    <col collapsed="false" customWidth="false" hidden="false" outlineLevel="0" max="5376" min="5145" style="97" width="9.17"/>
    <col collapsed="false" customWidth="true" hidden="false" outlineLevel="0" max="5377" min="5377" style="97" width="4.33"/>
    <col collapsed="false" customWidth="true" hidden="false" outlineLevel="0" max="5378" min="5378" style="97" width="5.33"/>
    <col collapsed="false" customWidth="true" hidden="false" outlineLevel="0" max="5382" min="5379" style="97" width="17.66"/>
    <col collapsed="false" customWidth="true" hidden="true" outlineLevel="0" max="5383" min="5383" style="97" width="10.16"/>
    <col collapsed="false" customWidth="true" hidden="false" outlineLevel="0" max="5384" min="5384" style="97" width="16.17"/>
    <col collapsed="false" customWidth="false" hidden="false" outlineLevel="0" max="5385" min="5385" style="97" width="9.17"/>
    <col collapsed="false" customWidth="true" hidden="false" outlineLevel="0" max="5389" min="5386" style="97" width="18.67"/>
    <col collapsed="false" customWidth="false" hidden="false" outlineLevel="0" max="5390" min="5390" style="97" width="9.17"/>
    <col collapsed="false" customWidth="true" hidden="false" outlineLevel="0" max="5391" min="5391" style="97" width="9.83"/>
    <col collapsed="false" customWidth="true" hidden="false" outlineLevel="0" max="5393" min="5392" style="97" width="15.67"/>
    <col collapsed="false" customWidth="true" hidden="false" outlineLevel="0" max="5394" min="5394" style="97" width="16.67"/>
    <col collapsed="false" customWidth="true" hidden="false" outlineLevel="0" max="5395" min="5395" style="97" width="15.67"/>
    <col collapsed="false" customWidth="true" hidden="false" outlineLevel="0" max="5398" min="5396" style="97" width="20.5"/>
    <col collapsed="false" customWidth="false" hidden="false" outlineLevel="0" max="5399" min="5399" style="97" width="9.17"/>
    <col collapsed="false" customWidth="true" hidden="false" outlineLevel="0" max="5400" min="5400" style="97" width="15.67"/>
    <col collapsed="false" customWidth="false" hidden="false" outlineLevel="0" max="5632" min="5401" style="97" width="9.17"/>
    <col collapsed="false" customWidth="true" hidden="false" outlineLevel="0" max="5633" min="5633" style="97" width="4.33"/>
    <col collapsed="false" customWidth="true" hidden="false" outlineLevel="0" max="5634" min="5634" style="97" width="5.33"/>
    <col collapsed="false" customWidth="true" hidden="false" outlineLevel="0" max="5638" min="5635" style="97" width="17.66"/>
    <col collapsed="false" customWidth="true" hidden="true" outlineLevel="0" max="5639" min="5639" style="97" width="10.16"/>
    <col collapsed="false" customWidth="true" hidden="false" outlineLevel="0" max="5640" min="5640" style="97" width="16.17"/>
    <col collapsed="false" customWidth="false" hidden="false" outlineLevel="0" max="5641" min="5641" style="97" width="9.17"/>
    <col collapsed="false" customWidth="true" hidden="false" outlineLevel="0" max="5645" min="5642" style="97" width="18.67"/>
    <col collapsed="false" customWidth="false" hidden="false" outlineLevel="0" max="5646" min="5646" style="97" width="9.17"/>
    <col collapsed="false" customWidth="true" hidden="false" outlineLevel="0" max="5647" min="5647" style="97" width="9.83"/>
    <col collapsed="false" customWidth="true" hidden="false" outlineLevel="0" max="5649" min="5648" style="97" width="15.67"/>
    <col collapsed="false" customWidth="true" hidden="false" outlineLevel="0" max="5650" min="5650" style="97" width="16.67"/>
    <col collapsed="false" customWidth="true" hidden="false" outlineLevel="0" max="5651" min="5651" style="97" width="15.67"/>
    <col collapsed="false" customWidth="true" hidden="false" outlineLevel="0" max="5654" min="5652" style="97" width="20.5"/>
    <col collapsed="false" customWidth="false" hidden="false" outlineLevel="0" max="5655" min="5655" style="97" width="9.17"/>
    <col collapsed="false" customWidth="true" hidden="false" outlineLevel="0" max="5656" min="5656" style="97" width="15.67"/>
    <col collapsed="false" customWidth="false" hidden="false" outlineLevel="0" max="5888" min="5657" style="97" width="9.17"/>
    <col collapsed="false" customWidth="true" hidden="false" outlineLevel="0" max="5889" min="5889" style="97" width="4.33"/>
    <col collapsed="false" customWidth="true" hidden="false" outlineLevel="0" max="5890" min="5890" style="97" width="5.33"/>
    <col collapsed="false" customWidth="true" hidden="false" outlineLevel="0" max="5894" min="5891" style="97" width="17.66"/>
    <col collapsed="false" customWidth="true" hidden="true" outlineLevel="0" max="5895" min="5895" style="97" width="10.16"/>
    <col collapsed="false" customWidth="true" hidden="false" outlineLevel="0" max="5896" min="5896" style="97" width="16.17"/>
    <col collapsed="false" customWidth="false" hidden="false" outlineLevel="0" max="5897" min="5897" style="97" width="9.17"/>
    <col collapsed="false" customWidth="true" hidden="false" outlineLevel="0" max="5901" min="5898" style="97" width="18.67"/>
    <col collapsed="false" customWidth="false" hidden="false" outlineLevel="0" max="5902" min="5902" style="97" width="9.17"/>
    <col collapsed="false" customWidth="true" hidden="false" outlineLevel="0" max="5903" min="5903" style="97" width="9.83"/>
    <col collapsed="false" customWidth="true" hidden="false" outlineLevel="0" max="5905" min="5904" style="97" width="15.67"/>
    <col collapsed="false" customWidth="true" hidden="false" outlineLevel="0" max="5906" min="5906" style="97" width="16.67"/>
    <col collapsed="false" customWidth="true" hidden="false" outlineLevel="0" max="5907" min="5907" style="97" width="15.67"/>
    <col collapsed="false" customWidth="true" hidden="false" outlineLevel="0" max="5910" min="5908" style="97" width="20.5"/>
    <col collapsed="false" customWidth="false" hidden="false" outlineLevel="0" max="5911" min="5911" style="97" width="9.17"/>
    <col collapsed="false" customWidth="true" hidden="false" outlineLevel="0" max="5912" min="5912" style="97" width="15.67"/>
    <col collapsed="false" customWidth="false" hidden="false" outlineLevel="0" max="6144" min="5913" style="97" width="9.17"/>
    <col collapsed="false" customWidth="true" hidden="false" outlineLevel="0" max="6145" min="6145" style="97" width="4.33"/>
    <col collapsed="false" customWidth="true" hidden="false" outlineLevel="0" max="6146" min="6146" style="97" width="5.33"/>
    <col collapsed="false" customWidth="true" hidden="false" outlineLevel="0" max="6150" min="6147" style="97" width="17.66"/>
    <col collapsed="false" customWidth="true" hidden="true" outlineLevel="0" max="6151" min="6151" style="97" width="10.16"/>
    <col collapsed="false" customWidth="true" hidden="false" outlineLevel="0" max="6152" min="6152" style="97" width="16.17"/>
    <col collapsed="false" customWidth="false" hidden="false" outlineLevel="0" max="6153" min="6153" style="97" width="9.17"/>
    <col collapsed="false" customWidth="true" hidden="false" outlineLevel="0" max="6157" min="6154" style="97" width="18.67"/>
    <col collapsed="false" customWidth="false" hidden="false" outlineLevel="0" max="6158" min="6158" style="97" width="9.17"/>
    <col collapsed="false" customWidth="true" hidden="false" outlineLevel="0" max="6159" min="6159" style="97" width="9.83"/>
    <col collapsed="false" customWidth="true" hidden="false" outlineLevel="0" max="6161" min="6160" style="97" width="15.67"/>
    <col collapsed="false" customWidth="true" hidden="false" outlineLevel="0" max="6162" min="6162" style="97" width="16.67"/>
    <col collapsed="false" customWidth="true" hidden="false" outlineLevel="0" max="6163" min="6163" style="97" width="15.67"/>
    <col collapsed="false" customWidth="true" hidden="false" outlineLevel="0" max="6166" min="6164" style="97" width="20.5"/>
    <col collapsed="false" customWidth="false" hidden="false" outlineLevel="0" max="6167" min="6167" style="97" width="9.17"/>
    <col collapsed="false" customWidth="true" hidden="false" outlineLevel="0" max="6168" min="6168" style="97" width="15.67"/>
    <col collapsed="false" customWidth="false" hidden="false" outlineLevel="0" max="6400" min="6169" style="97" width="9.17"/>
    <col collapsed="false" customWidth="true" hidden="false" outlineLevel="0" max="6401" min="6401" style="97" width="4.33"/>
    <col collapsed="false" customWidth="true" hidden="false" outlineLevel="0" max="6402" min="6402" style="97" width="5.33"/>
    <col collapsed="false" customWidth="true" hidden="false" outlineLevel="0" max="6406" min="6403" style="97" width="17.66"/>
    <col collapsed="false" customWidth="true" hidden="true" outlineLevel="0" max="6407" min="6407" style="97" width="10.16"/>
    <col collapsed="false" customWidth="true" hidden="false" outlineLevel="0" max="6408" min="6408" style="97" width="16.17"/>
    <col collapsed="false" customWidth="false" hidden="false" outlineLevel="0" max="6409" min="6409" style="97" width="9.17"/>
    <col collapsed="false" customWidth="true" hidden="false" outlineLevel="0" max="6413" min="6410" style="97" width="18.67"/>
    <col collapsed="false" customWidth="false" hidden="false" outlineLevel="0" max="6414" min="6414" style="97" width="9.17"/>
    <col collapsed="false" customWidth="true" hidden="false" outlineLevel="0" max="6415" min="6415" style="97" width="9.83"/>
    <col collapsed="false" customWidth="true" hidden="false" outlineLevel="0" max="6417" min="6416" style="97" width="15.67"/>
    <col collapsed="false" customWidth="true" hidden="false" outlineLevel="0" max="6418" min="6418" style="97" width="16.67"/>
    <col collapsed="false" customWidth="true" hidden="false" outlineLevel="0" max="6419" min="6419" style="97" width="15.67"/>
    <col collapsed="false" customWidth="true" hidden="false" outlineLevel="0" max="6422" min="6420" style="97" width="20.5"/>
    <col collapsed="false" customWidth="false" hidden="false" outlineLevel="0" max="6423" min="6423" style="97" width="9.17"/>
    <col collapsed="false" customWidth="true" hidden="false" outlineLevel="0" max="6424" min="6424" style="97" width="15.67"/>
    <col collapsed="false" customWidth="false" hidden="false" outlineLevel="0" max="6656" min="6425" style="97" width="9.17"/>
    <col collapsed="false" customWidth="true" hidden="false" outlineLevel="0" max="6657" min="6657" style="97" width="4.33"/>
    <col collapsed="false" customWidth="true" hidden="false" outlineLevel="0" max="6658" min="6658" style="97" width="5.33"/>
    <col collapsed="false" customWidth="true" hidden="false" outlineLevel="0" max="6662" min="6659" style="97" width="17.66"/>
    <col collapsed="false" customWidth="true" hidden="true" outlineLevel="0" max="6663" min="6663" style="97" width="10.16"/>
    <col collapsed="false" customWidth="true" hidden="false" outlineLevel="0" max="6664" min="6664" style="97" width="16.17"/>
    <col collapsed="false" customWidth="false" hidden="false" outlineLevel="0" max="6665" min="6665" style="97" width="9.17"/>
    <col collapsed="false" customWidth="true" hidden="false" outlineLevel="0" max="6669" min="6666" style="97" width="18.67"/>
    <col collapsed="false" customWidth="false" hidden="false" outlineLevel="0" max="6670" min="6670" style="97" width="9.17"/>
    <col collapsed="false" customWidth="true" hidden="false" outlineLevel="0" max="6671" min="6671" style="97" width="9.83"/>
    <col collapsed="false" customWidth="true" hidden="false" outlineLevel="0" max="6673" min="6672" style="97" width="15.67"/>
    <col collapsed="false" customWidth="true" hidden="false" outlineLevel="0" max="6674" min="6674" style="97" width="16.67"/>
    <col collapsed="false" customWidth="true" hidden="false" outlineLevel="0" max="6675" min="6675" style="97" width="15.67"/>
    <col collapsed="false" customWidth="true" hidden="false" outlineLevel="0" max="6678" min="6676" style="97" width="20.5"/>
    <col collapsed="false" customWidth="false" hidden="false" outlineLevel="0" max="6679" min="6679" style="97" width="9.17"/>
    <col collapsed="false" customWidth="true" hidden="false" outlineLevel="0" max="6680" min="6680" style="97" width="15.67"/>
    <col collapsed="false" customWidth="false" hidden="false" outlineLevel="0" max="6912" min="6681" style="97" width="9.17"/>
    <col collapsed="false" customWidth="true" hidden="false" outlineLevel="0" max="6913" min="6913" style="97" width="4.33"/>
    <col collapsed="false" customWidth="true" hidden="false" outlineLevel="0" max="6914" min="6914" style="97" width="5.33"/>
    <col collapsed="false" customWidth="true" hidden="false" outlineLevel="0" max="6918" min="6915" style="97" width="17.66"/>
    <col collapsed="false" customWidth="true" hidden="true" outlineLevel="0" max="6919" min="6919" style="97" width="10.16"/>
    <col collapsed="false" customWidth="true" hidden="false" outlineLevel="0" max="6920" min="6920" style="97" width="16.17"/>
    <col collapsed="false" customWidth="false" hidden="false" outlineLevel="0" max="6921" min="6921" style="97" width="9.17"/>
    <col collapsed="false" customWidth="true" hidden="false" outlineLevel="0" max="6925" min="6922" style="97" width="18.67"/>
    <col collapsed="false" customWidth="false" hidden="false" outlineLevel="0" max="6926" min="6926" style="97" width="9.17"/>
    <col collapsed="false" customWidth="true" hidden="false" outlineLevel="0" max="6927" min="6927" style="97" width="9.83"/>
    <col collapsed="false" customWidth="true" hidden="false" outlineLevel="0" max="6929" min="6928" style="97" width="15.67"/>
    <col collapsed="false" customWidth="true" hidden="false" outlineLevel="0" max="6930" min="6930" style="97" width="16.67"/>
    <col collapsed="false" customWidth="true" hidden="false" outlineLevel="0" max="6931" min="6931" style="97" width="15.67"/>
    <col collapsed="false" customWidth="true" hidden="false" outlineLevel="0" max="6934" min="6932" style="97" width="20.5"/>
    <col collapsed="false" customWidth="false" hidden="false" outlineLevel="0" max="6935" min="6935" style="97" width="9.17"/>
    <col collapsed="false" customWidth="true" hidden="false" outlineLevel="0" max="6936" min="6936" style="97" width="15.67"/>
    <col collapsed="false" customWidth="false" hidden="false" outlineLevel="0" max="7168" min="6937" style="97" width="9.17"/>
    <col collapsed="false" customWidth="true" hidden="false" outlineLevel="0" max="7169" min="7169" style="97" width="4.33"/>
    <col collapsed="false" customWidth="true" hidden="false" outlineLevel="0" max="7170" min="7170" style="97" width="5.33"/>
    <col collapsed="false" customWidth="true" hidden="false" outlineLevel="0" max="7174" min="7171" style="97" width="17.66"/>
    <col collapsed="false" customWidth="true" hidden="true" outlineLevel="0" max="7175" min="7175" style="97" width="10.16"/>
    <col collapsed="false" customWidth="true" hidden="false" outlineLevel="0" max="7176" min="7176" style="97" width="16.17"/>
    <col collapsed="false" customWidth="false" hidden="false" outlineLevel="0" max="7177" min="7177" style="97" width="9.17"/>
    <col collapsed="false" customWidth="true" hidden="false" outlineLevel="0" max="7181" min="7178" style="97" width="18.67"/>
    <col collapsed="false" customWidth="false" hidden="false" outlineLevel="0" max="7182" min="7182" style="97" width="9.17"/>
    <col collapsed="false" customWidth="true" hidden="false" outlineLevel="0" max="7183" min="7183" style="97" width="9.83"/>
    <col collapsed="false" customWidth="true" hidden="false" outlineLevel="0" max="7185" min="7184" style="97" width="15.67"/>
    <col collapsed="false" customWidth="true" hidden="false" outlineLevel="0" max="7186" min="7186" style="97" width="16.67"/>
    <col collapsed="false" customWidth="true" hidden="false" outlineLevel="0" max="7187" min="7187" style="97" width="15.67"/>
    <col collapsed="false" customWidth="true" hidden="false" outlineLevel="0" max="7190" min="7188" style="97" width="20.5"/>
    <col collapsed="false" customWidth="false" hidden="false" outlineLevel="0" max="7191" min="7191" style="97" width="9.17"/>
    <col collapsed="false" customWidth="true" hidden="false" outlineLevel="0" max="7192" min="7192" style="97" width="15.67"/>
    <col collapsed="false" customWidth="false" hidden="false" outlineLevel="0" max="7424" min="7193" style="97" width="9.17"/>
    <col collapsed="false" customWidth="true" hidden="false" outlineLevel="0" max="7425" min="7425" style="97" width="4.33"/>
    <col collapsed="false" customWidth="true" hidden="false" outlineLevel="0" max="7426" min="7426" style="97" width="5.33"/>
    <col collapsed="false" customWidth="true" hidden="false" outlineLevel="0" max="7430" min="7427" style="97" width="17.66"/>
    <col collapsed="false" customWidth="true" hidden="true" outlineLevel="0" max="7431" min="7431" style="97" width="10.16"/>
    <col collapsed="false" customWidth="true" hidden="false" outlineLevel="0" max="7432" min="7432" style="97" width="16.17"/>
    <col collapsed="false" customWidth="false" hidden="false" outlineLevel="0" max="7433" min="7433" style="97" width="9.17"/>
    <col collapsed="false" customWidth="true" hidden="false" outlineLevel="0" max="7437" min="7434" style="97" width="18.67"/>
    <col collapsed="false" customWidth="false" hidden="false" outlineLevel="0" max="7438" min="7438" style="97" width="9.17"/>
    <col collapsed="false" customWidth="true" hidden="false" outlineLevel="0" max="7439" min="7439" style="97" width="9.83"/>
    <col collapsed="false" customWidth="true" hidden="false" outlineLevel="0" max="7441" min="7440" style="97" width="15.67"/>
    <col collapsed="false" customWidth="true" hidden="false" outlineLevel="0" max="7442" min="7442" style="97" width="16.67"/>
    <col collapsed="false" customWidth="true" hidden="false" outlineLevel="0" max="7443" min="7443" style="97" width="15.67"/>
    <col collapsed="false" customWidth="true" hidden="false" outlineLevel="0" max="7446" min="7444" style="97" width="20.5"/>
    <col collapsed="false" customWidth="false" hidden="false" outlineLevel="0" max="7447" min="7447" style="97" width="9.17"/>
    <col collapsed="false" customWidth="true" hidden="false" outlineLevel="0" max="7448" min="7448" style="97" width="15.67"/>
    <col collapsed="false" customWidth="false" hidden="false" outlineLevel="0" max="7680" min="7449" style="97" width="9.17"/>
    <col collapsed="false" customWidth="true" hidden="false" outlineLevel="0" max="7681" min="7681" style="97" width="4.33"/>
    <col collapsed="false" customWidth="true" hidden="false" outlineLevel="0" max="7682" min="7682" style="97" width="5.33"/>
    <col collapsed="false" customWidth="true" hidden="false" outlineLevel="0" max="7686" min="7683" style="97" width="17.66"/>
    <col collapsed="false" customWidth="true" hidden="true" outlineLevel="0" max="7687" min="7687" style="97" width="10.16"/>
    <col collapsed="false" customWidth="true" hidden="false" outlineLevel="0" max="7688" min="7688" style="97" width="16.17"/>
    <col collapsed="false" customWidth="false" hidden="false" outlineLevel="0" max="7689" min="7689" style="97" width="9.17"/>
    <col collapsed="false" customWidth="true" hidden="false" outlineLevel="0" max="7693" min="7690" style="97" width="18.67"/>
    <col collapsed="false" customWidth="false" hidden="false" outlineLevel="0" max="7694" min="7694" style="97" width="9.17"/>
    <col collapsed="false" customWidth="true" hidden="false" outlineLevel="0" max="7695" min="7695" style="97" width="9.83"/>
    <col collapsed="false" customWidth="true" hidden="false" outlineLevel="0" max="7697" min="7696" style="97" width="15.67"/>
    <col collapsed="false" customWidth="true" hidden="false" outlineLevel="0" max="7698" min="7698" style="97" width="16.67"/>
    <col collapsed="false" customWidth="true" hidden="false" outlineLevel="0" max="7699" min="7699" style="97" width="15.67"/>
    <col collapsed="false" customWidth="true" hidden="false" outlineLevel="0" max="7702" min="7700" style="97" width="20.5"/>
    <col collapsed="false" customWidth="false" hidden="false" outlineLevel="0" max="7703" min="7703" style="97" width="9.17"/>
    <col collapsed="false" customWidth="true" hidden="false" outlineLevel="0" max="7704" min="7704" style="97" width="15.67"/>
    <col collapsed="false" customWidth="false" hidden="false" outlineLevel="0" max="7936" min="7705" style="97" width="9.17"/>
    <col collapsed="false" customWidth="true" hidden="false" outlineLevel="0" max="7937" min="7937" style="97" width="4.33"/>
    <col collapsed="false" customWidth="true" hidden="false" outlineLevel="0" max="7938" min="7938" style="97" width="5.33"/>
    <col collapsed="false" customWidth="true" hidden="false" outlineLevel="0" max="7942" min="7939" style="97" width="17.66"/>
    <col collapsed="false" customWidth="true" hidden="true" outlineLevel="0" max="7943" min="7943" style="97" width="10.16"/>
    <col collapsed="false" customWidth="true" hidden="false" outlineLevel="0" max="7944" min="7944" style="97" width="16.17"/>
    <col collapsed="false" customWidth="false" hidden="false" outlineLevel="0" max="7945" min="7945" style="97" width="9.17"/>
    <col collapsed="false" customWidth="true" hidden="false" outlineLevel="0" max="7949" min="7946" style="97" width="18.67"/>
    <col collapsed="false" customWidth="false" hidden="false" outlineLevel="0" max="7950" min="7950" style="97" width="9.17"/>
    <col collapsed="false" customWidth="true" hidden="false" outlineLevel="0" max="7951" min="7951" style="97" width="9.83"/>
    <col collapsed="false" customWidth="true" hidden="false" outlineLevel="0" max="7953" min="7952" style="97" width="15.67"/>
    <col collapsed="false" customWidth="true" hidden="false" outlineLevel="0" max="7954" min="7954" style="97" width="16.67"/>
    <col collapsed="false" customWidth="true" hidden="false" outlineLevel="0" max="7955" min="7955" style="97" width="15.67"/>
    <col collapsed="false" customWidth="true" hidden="false" outlineLevel="0" max="7958" min="7956" style="97" width="20.5"/>
    <col collapsed="false" customWidth="false" hidden="false" outlineLevel="0" max="7959" min="7959" style="97" width="9.17"/>
    <col collapsed="false" customWidth="true" hidden="false" outlineLevel="0" max="7960" min="7960" style="97" width="15.67"/>
    <col collapsed="false" customWidth="false" hidden="false" outlineLevel="0" max="8192" min="7961" style="97" width="9.17"/>
    <col collapsed="false" customWidth="true" hidden="false" outlineLevel="0" max="8193" min="8193" style="97" width="4.33"/>
    <col collapsed="false" customWidth="true" hidden="false" outlineLevel="0" max="8194" min="8194" style="97" width="5.33"/>
    <col collapsed="false" customWidth="true" hidden="false" outlineLevel="0" max="8198" min="8195" style="97" width="17.66"/>
    <col collapsed="false" customWidth="true" hidden="true" outlineLevel="0" max="8199" min="8199" style="97" width="10.16"/>
    <col collapsed="false" customWidth="true" hidden="false" outlineLevel="0" max="8200" min="8200" style="97" width="16.17"/>
    <col collapsed="false" customWidth="false" hidden="false" outlineLevel="0" max="8201" min="8201" style="97" width="9.17"/>
    <col collapsed="false" customWidth="true" hidden="false" outlineLevel="0" max="8205" min="8202" style="97" width="18.67"/>
    <col collapsed="false" customWidth="false" hidden="false" outlineLevel="0" max="8206" min="8206" style="97" width="9.17"/>
    <col collapsed="false" customWidth="true" hidden="false" outlineLevel="0" max="8207" min="8207" style="97" width="9.83"/>
    <col collapsed="false" customWidth="true" hidden="false" outlineLevel="0" max="8209" min="8208" style="97" width="15.67"/>
    <col collapsed="false" customWidth="true" hidden="false" outlineLevel="0" max="8210" min="8210" style="97" width="16.67"/>
    <col collapsed="false" customWidth="true" hidden="false" outlineLevel="0" max="8211" min="8211" style="97" width="15.67"/>
    <col collapsed="false" customWidth="true" hidden="false" outlineLevel="0" max="8214" min="8212" style="97" width="20.5"/>
    <col collapsed="false" customWidth="false" hidden="false" outlineLevel="0" max="8215" min="8215" style="97" width="9.17"/>
    <col collapsed="false" customWidth="true" hidden="false" outlineLevel="0" max="8216" min="8216" style="97" width="15.67"/>
    <col collapsed="false" customWidth="false" hidden="false" outlineLevel="0" max="8448" min="8217" style="97" width="9.17"/>
    <col collapsed="false" customWidth="true" hidden="false" outlineLevel="0" max="8449" min="8449" style="97" width="4.33"/>
    <col collapsed="false" customWidth="true" hidden="false" outlineLevel="0" max="8450" min="8450" style="97" width="5.33"/>
    <col collapsed="false" customWidth="true" hidden="false" outlineLevel="0" max="8454" min="8451" style="97" width="17.66"/>
    <col collapsed="false" customWidth="true" hidden="true" outlineLevel="0" max="8455" min="8455" style="97" width="10.16"/>
    <col collapsed="false" customWidth="true" hidden="false" outlineLevel="0" max="8456" min="8456" style="97" width="16.17"/>
    <col collapsed="false" customWidth="false" hidden="false" outlineLevel="0" max="8457" min="8457" style="97" width="9.17"/>
    <col collapsed="false" customWidth="true" hidden="false" outlineLevel="0" max="8461" min="8458" style="97" width="18.67"/>
    <col collapsed="false" customWidth="false" hidden="false" outlineLevel="0" max="8462" min="8462" style="97" width="9.17"/>
    <col collapsed="false" customWidth="true" hidden="false" outlineLevel="0" max="8463" min="8463" style="97" width="9.83"/>
    <col collapsed="false" customWidth="true" hidden="false" outlineLevel="0" max="8465" min="8464" style="97" width="15.67"/>
    <col collapsed="false" customWidth="true" hidden="false" outlineLevel="0" max="8466" min="8466" style="97" width="16.67"/>
    <col collapsed="false" customWidth="true" hidden="false" outlineLevel="0" max="8467" min="8467" style="97" width="15.67"/>
    <col collapsed="false" customWidth="true" hidden="false" outlineLevel="0" max="8470" min="8468" style="97" width="20.5"/>
    <col collapsed="false" customWidth="false" hidden="false" outlineLevel="0" max="8471" min="8471" style="97" width="9.17"/>
    <col collapsed="false" customWidth="true" hidden="false" outlineLevel="0" max="8472" min="8472" style="97" width="15.67"/>
    <col collapsed="false" customWidth="false" hidden="false" outlineLevel="0" max="8704" min="8473" style="97" width="9.17"/>
    <col collapsed="false" customWidth="true" hidden="false" outlineLevel="0" max="8705" min="8705" style="97" width="4.33"/>
    <col collapsed="false" customWidth="true" hidden="false" outlineLevel="0" max="8706" min="8706" style="97" width="5.33"/>
    <col collapsed="false" customWidth="true" hidden="false" outlineLevel="0" max="8710" min="8707" style="97" width="17.66"/>
    <col collapsed="false" customWidth="true" hidden="true" outlineLevel="0" max="8711" min="8711" style="97" width="10.16"/>
    <col collapsed="false" customWidth="true" hidden="false" outlineLevel="0" max="8712" min="8712" style="97" width="16.17"/>
    <col collapsed="false" customWidth="false" hidden="false" outlineLevel="0" max="8713" min="8713" style="97" width="9.17"/>
    <col collapsed="false" customWidth="true" hidden="false" outlineLevel="0" max="8717" min="8714" style="97" width="18.67"/>
    <col collapsed="false" customWidth="false" hidden="false" outlineLevel="0" max="8718" min="8718" style="97" width="9.17"/>
    <col collapsed="false" customWidth="true" hidden="false" outlineLevel="0" max="8719" min="8719" style="97" width="9.83"/>
    <col collapsed="false" customWidth="true" hidden="false" outlineLevel="0" max="8721" min="8720" style="97" width="15.67"/>
    <col collapsed="false" customWidth="true" hidden="false" outlineLevel="0" max="8722" min="8722" style="97" width="16.67"/>
    <col collapsed="false" customWidth="true" hidden="false" outlineLevel="0" max="8723" min="8723" style="97" width="15.67"/>
    <col collapsed="false" customWidth="true" hidden="false" outlineLevel="0" max="8726" min="8724" style="97" width="20.5"/>
    <col collapsed="false" customWidth="false" hidden="false" outlineLevel="0" max="8727" min="8727" style="97" width="9.17"/>
    <col collapsed="false" customWidth="true" hidden="false" outlineLevel="0" max="8728" min="8728" style="97" width="15.67"/>
    <col collapsed="false" customWidth="false" hidden="false" outlineLevel="0" max="8960" min="8729" style="97" width="9.17"/>
    <col collapsed="false" customWidth="true" hidden="false" outlineLevel="0" max="8961" min="8961" style="97" width="4.33"/>
    <col collapsed="false" customWidth="true" hidden="false" outlineLevel="0" max="8962" min="8962" style="97" width="5.33"/>
    <col collapsed="false" customWidth="true" hidden="false" outlineLevel="0" max="8966" min="8963" style="97" width="17.66"/>
    <col collapsed="false" customWidth="true" hidden="true" outlineLevel="0" max="8967" min="8967" style="97" width="10.16"/>
    <col collapsed="false" customWidth="true" hidden="false" outlineLevel="0" max="8968" min="8968" style="97" width="16.17"/>
    <col collapsed="false" customWidth="false" hidden="false" outlineLevel="0" max="8969" min="8969" style="97" width="9.17"/>
    <col collapsed="false" customWidth="true" hidden="false" outlineLevel="0" max="8973" min="8970" style="97" width="18.67"/>
    <col collapsed="false" customWidth="false" hidden="false" outlineLevel="0" max="8974" min="8974" style="97" width="9.17"/>
    <col collapsed="false" customWidth="true" hidden="false" outlineLevel="0" max="8975" min="8975" style="97" width="9.83"/>
    <col collapsed="false" customWidth="true" hidden="false" outlineLevel="0" max="8977" min="8976" style="97" width="15.67"/>
    <col collapsed="false" customWidth="true" hidden="false" outlineLevel="0" max="8978" min="8978" style="97" width="16.67"/>
    <col collapsed="false" customWidth="true" hidden="false" outlineLevel="0" max="8979" min="8979" style="97" width="15.67"/>
    <col collapsed="false" customWidth="true" hidden="false" outlineLevel="0" max="8982" min="8980" style="97" width="20.5"/>
    <col collapsed="false" customWidth="false" hidden="false" outlineLevel="0" max="8983" min="8983" style="97" width="9.17"/>
    <col collapsed="false" customWidth="true" hidden="false" outlineLevel="0" max="8984" min="8984" style="97" width="15.67"/>
    <col collapsed="false" customWidth="false" hidden="false" outlineLevel="0" max="9216" min="8985" style="97" width="9.17"/>
    <col collapsed="false" customWidth="true" hidden="false" outlineLevel="0" max="9217" min="9217" style="97" width="4.33"/>
    <col collapsed="false" customWidth="true" hidden="false" outlineLevel="0" max="9218" min="9218" style="97" width="5.33"/>
    <col collapsed="false" customWidth="true" hidden="false" outlineLevel="0" max="9222" min="9219" style="97" width="17.66"/>
    <col collapsed="false" customWidth="true" hidden="true" outlineLevel="0" max="9223" min="9223" style="97" width="10.16"/>
    <col collapsed="false" customWidth="true" hidden="false" outlineLevel="0" max="9224" min="9224" style="97" width="16.17"/>
    <col collapsed="false" customWidth="false" hidden="false" outlineLevel="0" max="9225" min="9225" style="97" width="9.17"/>
    <col collapsed="false" customWidth="true" hidden="false" outlineLevel="0" max="9229" min="9226" style="97" width="18.67"/>
    <col collapsed="false" customWidth="false" hidden="false" outlineLevel="0" max="9230" min="9230" style="97" width="9.17"/>
    <col collapsed="false" customWidth="true" hidden="false" outlineLevel="0" max="9231" min="9231" style="97" width="9.83"/>
    <col collapsed="false" customWidth="true" hidden="false" outlineLevel="0" max="9233" min="9232" style="97" width="15.67"/>
    <col collapsed="false" customWidth="true" hidden="false" outlineLevel="0" max="9234" min="9234" style="97" width="16.67"/>
    <col collapsed="false" customWidth="true" hidden="false" outlineLevel="0" max="9235" min="9235" style="97" width="15.67"/>
    <col collapsed="false" customWidth="true" hidden="false" outlineLevel="0" max="9238" min="9236" style="97" width="20.5"/>
    <col collapsed="false" customWidth="false" hidden="false" outlineLevel="0" max="9239" min="9239" style="97" width="9.17"/>
    <col collapsed="false" customWidth="true" hidden="false" outlineLevel="0" max="9240" min="9240" style="97" width="15.67"/>
    <col collapsed="false" customWidth="false" hidden="false" outlineLevel="0" max="9472" min="9241" style="97" width="9.17"/>
    <col collapsed="false" customWidth="true" hidden="false" outlineLevel="0" max="9473" min="9473" style="97" width="4.33"/>
    <col collapsed="false" customWidth="true" hidden="false" outlineLevel="0" max="9474" min="9474" style="97" width="5.33"/>
    <col collapsed="false" customWidth="true" hidden="false" outlineLevel="0" max="9478" min="9475" style="97" width="17.66"/>
    <col collapsed="false" customWidth="true" hidden="true" outlineLevel="0" max="9479" min="9479" style="97" width="10.16"/>
    <col collapsed="false" customWidth="true" hidden="false" outlineLevel="0" max="9480" min="9480" style="97" width="16.17"/>
    <col collapsed="false" customWidth="false" hidden="false" outlineLevel="0" max="9481" min="9481" style="97" width="9.17"/>
    <col collapsed="false" customWidth="true" hidden="false" outlineLevel="0" max="9485" min="9482" style="97" width="18.67"/>
    <col collapsed="false" customWidth="false" hidden="false" outlineLevel="0" max="9486" min="9486" style="97" width="9.17"/>
    <col collapsed="false" customWidth="true" hidden="false" outlineLevel="0" max="9487" min="9487" style="97" width="9.83"/>
    <col collapsed="false" customWidth="true" hidden="false" outlineLevel="0" max="9489" min="9488" style="97" width="15.67"/>
    <col collapsed="false" customWidth="true" hidden="false" outlineLevel="0" max="9490" min="9490" style="97" width="16.67"/>
    <col collapsed="false" customWidth="true" hidden="false" outlineLevel="0" max="9491" min="9491" style="97" width="15.67"/>
    <col collapsed="false" customWidth="true" hidden="false" outlineLevel="0" max="9494" min="9492" style="97" width="20.5"/>
    <col collapsed="false" customWidth="false" hidden="false" outlineLevel="0" max="9495" min="9495" style="97" width="9.17"/>
    <col collapsed="false" customWidth="true" hidden="false" outlineLevel="0" max="9496" min="9496" style="97" width="15.67"/>
    <col collapsed="false" customWidth="false" hidden="false" outlineLevel="0" max="9728" min="9497" style="97" width="9.17"/>
    <col collapsed="false" customWidth="true" hidden="false" outlineLevel="0" max="9729" min="9729" style="97" width="4.33"/>
    <col collapsed="false" customWidth="true" hidden="false" outlineLevel="0" max="9730" min="9730" style="97" width="5.33"/>
    <col collapsed="false" customWidth="true" hidden="false" outlineLevel="0" max="9734" min="9731" style="97" width="17.66"/>
    <col collapsed="false" customWidth="true" hidden="true" outlineLevel="0" max="9735" min="9735" style="97" width="10.16"/>
    <col collapsed="false" customWidth="true" hidden="false" outlineLevel="0" max="9736" min="9736" style="97" width="16.17"/>
    <col collapsed="false" customWidth="false" hidden="false" outlineLevel="0" max="9737" min="9737" style="97" width="9.17"/>
    <col collapsed="false" customWidth="true" hidden="false" outlineLevel="0" max="9741" min="9738" style="97" width="18.67"/>
    <col collapsed="false" customWidth="false" hidden="false" outlineLevel="0" max="9742" min="9742" style="97" width="9.17"/>
    <col collapsed="false" customWidth="true" hidden="false" outlineLevel="0" max="9743" min="9743" style="97" width="9.83"/>
    <col collapsed="false" customWidth="true" hidden="false" outlineLevel="0" max="9745" min="9744" style="97" width="15.67"/>
    <col collapsed="false" customWidth="true" hidden="false" outlineLevel="0" max="9746" min="9746" style="97" width="16.67"/>
    <col collapsed="false" customWidth="true" hidden="false" outlineLevel="0" max="9747" min="9747" style="97" width="15.67"/>
    <col collapsed="false" customWidth="true" hidden="false" outlineLevel="0" max="9750" min="9748" style="97" width="20.5"/>
    <col collapsed="false" customWidth="false" hidden="false" outlineLevel="0" max="9751" min="9751" style="97" width="9.17"/>
    <col collapsed="false" customWidth="true" hidden="false" outlineLevel="0" max="9752" min="9752" style="97" width="15.67"/>
    <col collapsed="false" customWidth="false" hidden="false" outlineLevel="0" max="9984" min="9753" style="97" width="9.17"/>
    <col collapsed="false" customWidth="true" hidden="false" outlineLevel="0" max="9985" min="9985" style="97" width="4.33"/>
    <col collapsed="false" customWidth="true" hidden="false" outlineLevel="0" max="9986" min="9986" style="97" width="5.33"/>
    <col collapsed="false" customWidth="true" hidden="false" outlineLevel="0" max="9990" min="9987" style="97" width="17.66"/>
    <col collapsed="false" customWidth="true" hidden="true" outlineLevel="0" max="9991" min="9991" style="97" width="10.16"/>
    <col collapsed="false" customWidth="true" hidden="false" outlineLevel="0" max="9992" min="9992" style="97" width="16.17"/>
    <col collapsed="false" customWidth="false" hidden="false" outlineLevel="0" max="9993" min="9993" style="97" width="9.17"/>
    <col collapsed="false" customWidth="true" hidden="false" outlineLevel="0" max="9997" min="9994" style="97" width="18.67"/>
    <col collapsed="false" customWidth="false" hidden="false" outlineLevel="0" max="9998" min="9998" style="97" width="9.17"/>
    <col collapsed="false" customWidth="true" hidden="false" outlineLevel="0" max="9999" min="9999" style="97" width="9.83"/>
    <col collapsed="false" customWidth="true" hidden="false" outlineLevel="0" max="10001" min="10000" style="97" width="15.67"/>
    <col collapsed="false" customWidth="true" hidden="false" outlineLevel="0" max="10002" min="10002" style="97" width="16.67"/>
    <col collapsed="false" customWidth="true" hidden="false" outlineLevel="0" max="10003" min="10003" style="97" width="15.67"/>
    <col collapsed="false" customWidth="true" hidden="false" outlineLevel="0" max="10006" min="10004" style="97" width="20.5"/>
    <col collapsed="false" customWidth="false" hidden="false" outlineLevel="0" max="10007" min="10007" style="97" width="9.17"/>
    <col collapsed="false" customWidth="true" hidden="false" outlineLevel="0" max="10008" min="10008" style="97" width="15.67"/>
    <col collapsed="false" customWidth="false" hidden="false" outlineLevel="0" max="10240" min="10009" style="97" width="9.17"/>
    <col collapsed="false" customWidth="true" hidden="false" outlineLevel="0" max="10241" min="10241" style="97" width="4.33"/>
    <col collapsed="false" customWidth="true" hidden="false" outlineLevel="0" max="10242" min="10242" style="97" width="5.33"/>
    <col collapsed="false" customWidth="true" hidden="false" outlineLevel="0" max="10246" min="10243" style="97" width="17.66"/>
    <col collapsed="false" customWidth="true" hidden="true" outlineLevel="0" max="10247" min="10247" style="97" width="10.16"/>
    <col collapsed="false" customWidth="true" hidden="false" outlineLevel="0" max="10248" min="10248" style="97" width="16.17"/>
    <col collapsed="false" customWidth="false" hidden="false" outlineLevel="0" max="10249" min="10249" style="97" width="9.17"/>
    <col collapsed="false" customWidth="true" hidden="false" outlineLevel="0" max="10253" min="10250" style="97" width="18.67"/>
    <col collapsed="false" customWidth="false" hidden="false" outlineLevel="0" max="10254" min="10254" style="97" width="9.17"/>
    <col collapsed="false" customWidth="true" hidden="false" outlineLevel="0" max="10255" min="10255" style="97" width="9.83"/>
    <col collapsed="false" customWidth="true" hidden="false" outlineLevel="0" max="10257" min="10256" style="97" width="15.67"/>
    <col collapsed="false" customWidth="true" hidden="false" outlineLevel="0" max="10258" min="10258" style="97" width="16.67"/>
    <col collapsed="false" customWidth="true" hidden="false" outlineLevel="0" max="10259" min="10259" style="97" width="15.67"/>
    <col collapsed="false" customWidth="true" hidden="false" outlineLevel="0" max="10262" min="10260" style="97" width="20.5"/>
    <col collapsed="false" customWidth="false" hidden="false" outlineLevel="0" max="10263" min="10263" style="97" width="9.17"/>
    <col collapsed="false" customWidth="true" hidden="false" outlineLevel="0" max="10264" min="10264" style="97" width="15.67"/>
    <col collapsed="false" customWidth="false" hidden="false" outlineLevel="0" max="10496" min="10265" style="97" width="9.17"/>
    <col collapsed="false" customWidth="true" hidden="false" outlineLevel="0" max="10497" min="10497" style="97" width="4.33"/>
    <col collapsed="false" customWidth="true" hidden="false" outlineLevel="0" max="10498" min="10498" style="97" width="5.33"/>
    <col collapsed="false" customWidth="true" hidden="false" outlineLevel="0" max="10502" min="10499" style="97" width="17.66"/>
    <col collapsed="false" customWidth="true" hidden="true" outlineLevel="0" max="10503" min="10503" style="97" width="10.16"/>
    <col collapsed="false" customWidth="true" hidden="false" outlineLevel="0" max="10504" min="10504" style="97" width="16.17"/>
    <col collapsed="false" customWidth="false" hidden="false" outlineLevel="0" max="10505" min="10505" style="97" width="9.17"/>
    <col collapsed="false" customWidth="true" hidden="false" outlineLevel="0" max="10509" min="10506" style="97" width="18.67"/>
    <col collapsed="false" customWidth="false" hidden="false" outlineLevel="0" max="10510" min="10510" style="97" width="9.17"/>
    <col collapsed="false" customWidth="true" hidden="false" outlineLevel="0" max="10511" min="10511" style="97" width="9.83"/>
    <col collapsed="false" customWidth="true" hidden="false" outlineLevel="0" max="10513" min="10512" style="97" width="15.67"/>
    <col collapsed="false" customWidth="true" hidden="false" outlineLevel="0" max="10514" min="10514" style="97" width="16.67"/>
    <col collapsed="false" customWidth="true" hidden="false" outlineLevel="0" max="10515" min="10515" style="97" width="15.67"/>
    <col collapsed="false" customWidth="true" hidden="false" outlineLevel="0" max="10518" min="10516" style="97" width="20.5"/>
    <col collapsed="false" customWidth="false" hidden="false" outlineLevel="0" max="10519" min="10519" style="97" width="9.17"/>
    <col collapsed="false" customWidth="true" hidden="false" outlineLevel="0" max="10520" min="10520" style="97" width="15.67"/>
    <col collapsed="false" customWidth="false" hidden="false" outlineLevel="0" max="10752" min="10521" style="97" width="9.17"/>
    <col collapsed="false" customWidth="true" hidden="false" outlineLevel="0" max="10753" min="10753" style="97" width="4.33"/>
    <col collapsed="false" customWidth="true" hidden="false" outlineLevel="0" max="10754" min="10754" style="97" width="5.33"/>
    <col collapsed="false" customWidth="true" hidden="false" outlineLevel="0" max="10758" min="10755" style="97" width="17.66"/>
    <col collapsed="false" customWidth="true" hidden="true" outlineLevel="0" max="10759" min="10759" style="97" width="10.16"/>
    <col collapsed="false" customWidth="true" hidden="false" outlineLevel="0" max="10760" min="10760" style="97" width="16.17"/>
    <col collapsed="false" customWidth="false" hidden="false" outlineLevel="0" max="10761" min="10761" style="97" width="9.17"/>
    <col collapsed="false" customWidth="true" hidden="false" outlineLevel="0" max="10765" min="10762" style="97" width="18.67"/>
    <col collapsed="false" customWidth="false" hidden="false" outlineLevel="0" max="10766" min="10766" style="97" width="9.17"/>
    <col collapsed="false" customWidth="true" hidden="false" outlineLevel="0" max="10767" min="10767" style="97" width="9.83"/>
    <col collapsed="false" customWidth="true" hidden="false" outlineLevel="0" max="10769" min="10768" style="97" width="15.67"/>
    <col collapsed="false" customWidth="true" hidden="false" outlineLevel="0" max="10770" min="10770" style="97" width="16.67"/>
    <col collapsed="false" customWidth="true" hidden="false" outlineLevel="0" max="10771" min="10771" style="97" width="15.67"/>
    <col collapsed="false" customWidth="true" hidden="false" outlineLevel="0" max="10774" min="10772" style="97" width="20.5"/>
    <col collapsed="false" customWidth="false" hidden="false" outlineLevel="0" max="10775" min="10775" style="97" width="9.17"/>
    <col collapsed="false" customWidth="true" hidden="false" outlineLevel="0" max="10776" min="10776" style="97" width="15.67"/>
    <col collapsed="false" customWidth="false" hidden="false" outlineLevel="0" max="11008" min="10777" style="97" width="9.17"/>
    <col collapsed="false" customWidth="true" hidden="false" outlineLevel="0" max="11009" min="11009" style="97" width="4.33"/>
    <col collapsed="false" customWidth="true" hidden="false" outlineLevel="0" max="11010" min="11010" style="97" width="5.33"/>
    <col collapsed="false" customWidth="true" hidden="false" outlineLevel="0" max="11014" min="11011" style="97" width="17.66"/>
    <col collapsed="false" customWidth="true" hidden="true" outlineLevel="0" max="11015" min="11015" style="97" width="10.16"/>
    <col collapsed="false" customWidth="true" hidden="false" outlineLevel="0" max="11016" min="11016" style="97" width="16.17"/>
    <col collapsed="false" customWidth="false" hidden="false" outlineLevel="0" max="11017" min="11017" style="97" width="9.17"/>
    <col collapsed="false" customWidth="true" hidden="false" outlineLevel="0" max="11021" min="11018" style="97" width="18.67"/>
    <col collapsed="false" customWidth="false" hidden="false" outlineLevel="0" max="11022" min="11022" style="97" width="9.17"/>
    <col collapsed="false" customWidth="true" hidden="false" outlineLevel="0" max="11023" min="11023" style="97" width="9.83"/>
    <col collapsed="false" customWidth="true" hidden="false" outlineLevel="0" max="11025" min="11024" style="97" width="15.67"/>
    <col collapsed="false" customWidth="true" hidden="false" outlineLevel="0" max="11026" min="11026" style="97" width="16.67"/>
    <col collapsed="false" customWidth="true" hidden="false" outlineLevel="0" max="11027" min="11027" style="97" width="15.67"/>
    <col collapsed="false" customWidth="true" hidden="false" outlineLevel="0" max="11030" min="11028" style="97" width="20.5"/>
    <col collapsed="false" customWidth="false" hidden="false" outlineLevel="0" max="11031" min="11031" style="97" width="9.17"/>
    <col collapsed="false" customWidth="true" hidden="false" outlineLevel="0" max="11032" min="11032" style="97" width="15.67"/>
    <col collapsed="false" customWidth="false" hidden="false" outlineLevel="0" max="11264" min="11033" style="97" width="9.17"/>
    <col collapsed="false" customWidth="true" hidden="false" outlineLevel="0" max="11265" min="11265" style="97" width="4.33"/>
    <col collapsed="false" customWidth="true" hidden="false" outlineLevel="0" max="11266" min="11266" style="97" width="5.33"/>
    <col collapsed="false" customWidth="true" hidden="false" outlineLevel="0" max="11270" min="11267" style="97" width="17.66"/>
    <col collapsed="false" customWidth="true" hidden="true" outlineLevel="0" max="11271" min="11271" style="97" width="10.16"/>
    <col collapsed="false" customWidth="true" hidden="false" outlineLevel="0" max="11272" min="11272" style="97" width="16.17"/>
    <col collapsed="false" customWidth="false" hidden="false" outlineLevel="0" max="11273" min="11273" style="97" width="9.17"/>
    <col collapsed="false" customWidth="true" hidden="false" outlineLevel="0" max="11277" min="11274" style="97" width="18.67"/>
    <col collapsed="false" customWidth="false" hidden="false" outlineLevel="0" max="11278" min="11278" style="97" width="9.17"/>
    <col collapsed="false" customWidth="true" hidden="false" outlineLevel="0" max="11279" min="11279" style="97" width="9.83"/>
    <col collapsed="false" customWidth="true" hidden="false" outlineLevel="0" max="11281" min="11280" style="97" width="15.67"/>
    <col collapsed="false" customWidth="true" hidden="false" outlineLevel="0" max="11282" min="11282" style="97" width="16.67"/>
    <col collapsed="false" customWidth="true" hidden="false" outlineLevel="0" max="11283" min="11283" style="97" width="15.67"/>
    <col collapsed="false" customWidth="true" hidden="false" outlineLevel="0" max="11286" min="11284" style="97" width="20.5"/>
    <col collapsed="false" customWidth="false" hidden="false" outlineLevel="0" max="11287" min="11287" style="97" width="9.17"/>
    <col collapsed="false" customWidth="true" hidden="false" outlineLevel="0" max="11288" min="11288" style="97" width="15.67"/>
    <col collapsed="false" customWidth="false" hidden="false" outlineLevel="0" max="11520" min="11289" style="97" width="9.17"/>
    <col collapsed="false" customWidth="true" hidden="false" outlineLevel="0" max="11521" min="11521" style="97" width="4.33"/>
    <col collapsed="false" customWidth="true" hidden="false" outlineLevel="0" max="11522" min="11522" style="97" width="5.33"/>
    <col collapsed="false" customWidth="true" hidden="false" outlineLevel="0" max="11526" min="11523" style="97" width="17.66"/>
    <col collapsed="false" customWidth="true" hidden="true" outlineLevel="0" max="11527" min="11527" style="97" width="10.16"/>
    <col collapsed="false" customWidth="true" hidden="false" outlineLevel="0" max="11528" min="11528" style="97" width="16.17"/>
    <col collapsed="false" customWidth="false" hidden="false" outlineLevel="0" max="11529" min="11529" style="97" width="9.17"/>
    <col collapsed="false" customWidth="true" hidden="false" outlineLevel="0" max="11533" min="11530" style="97" width="18.67"/>
    <col collapsed="false" customWidth="false" hidden="false" outlineLevel="0" max="11534" min="11534" style="97" width="9.17"/>
    <col collapsed="false" customWidth="true" hidden="false" outlineLevel="0" max="11535" min="11535" style="97" width="9.83"/>
    <col collapsed="false" customWidth="true" hidden="false" outlineLevel="0" max="11537" min="11536" style="97" width="15.67"/>
    <col collapsed="false" customWidth="true" hidden="false" outlineLevel="0" max="11538" min="11538" style="97" width="16.67"/>
    <col collapsed="false" customWidth="true" hidden="false" outlineLevel="0" max="11539" min="11539" style="97" width="15.67"/>
    <col collapsed="false" customWidth="true" hidden="false" outlineLevel="0" max="11542" min="11540" style="97" width="20.5"/>
    <col collapsed="false" customWidth="false" hidden="false" outlineLevel="0" max="11543" min="11543" style="97" width="9.17"/>
    <col collapsed="false" customWidth="true" hidden="false" outlineLevel="0" max="11544" min="11544" style="97" width="15.67"/>
    <col collapsed="false" customWidth="false" hidden="false" outlineLevel="0" max="11776" min="11545" style="97" width="9.17"/>
    <col collapsed="false" customWidth="true" hidden="false" outlineLevel="0" max="11777" min="11777" style="97" width="4.33"/>
    <col collapsed="false" customWidth="true" hidden="false" outlineLevel="0" max="11778" min="11778" style="97" width="5.33"/>
    <col collapsed="false" customWidth="true" hidden="false" outlineLevel="0" max="11782" min="11779" style="97" width="17.66"/>
    <col collapsed="false" customWidth="true" hidden="true" outlineLevel="0" max="11783" min="11783" style="97" width="10.16"/>
    <col collapsed="false" customWidth="true" hidden="false" outlineLevel="0" max="11784" min="11784" style="97" width="16.17"/>
    <col collapsed="false" customWidth="false" hidden="false" outlineLevel="0" max="11785" min="11785" style="97" width="9.17"/>
    <col collapsed="false" customWidth="true" hidden="false" outlineLevel="0" max="11789" min="11786" style="97" width="18.67"/>
    <col collapsed="false" customWidth="false" hidden="false" outlineLevel="0" max="11790" min="11790" style="97" width="9.17"/>
    <col collapsed="false" customWidth="true" hidden="false" outlineLevel="0" max="11791" min="11791" style="97" width="9.83"/>
    <col collapsed="false" customWidth="true" hidden="false" outlineLevel="0" max="11793" min="11792" style="97" width="15.67"/>
    <col collapsed="false" customWidth="true" hidden="false" outlineLevel="0" max="11794" min="11794" style="97" width="16.67"/>
    <col collapsed="false" customWidth="true" hidden="false" outlineLevel="0" max="11795" min="11795" style="97" width="15.67"/>
    <col collapsed="false" customWidth="true" hidden="false" outlineLevel="0" max="11798" min="11796" style="97" width="20.5"/>
    <col collapsed="false" customWidth="false" hidden="false" outlineLevel="0" max="11799" min="11799" style="97" width="9.17"/>
    <col collapsed="false" customWidth="true" hidden="false" outlineLevel="0" max="11800" min="11800" style="97" width="15.67"/>
    <col collapsed="false" customWidth="false" hidden="false" outlineLevel="0" max="12032" min="11801" style="97" width="9.17"/>
    <col collapsed="false" customWidth="true" hidden="false" outlineLevel="0" max="12033" min="12033" style="97" width="4.33"/>
    <col collapsed="false" customWidth="true" hidden="false" outlineLevel="0" max="12034" min="12034" style="97" width="5.33"/>
    <col collapsed="false" customWidth="true" hidden="false" outlineLevel="0" max="12038" min="12035" style="97" width="17.66"/>
    <col collapsed="false" customWidth="true" hidden="true" outlineLevel="0" max="12039" min="12039" style="97" width="10.16"/>
    <col collapsed="false" customWidth="true" hidden="false" outlineLevel="0" max="12040" min="12040" style="97" width="16.17"/>
    <col collapsed="false" customWidth="false" hidden="false" outlineLevel="0" max="12041" min="12041" style="97" width="9.17"/>
    <col collapsed="false" customWidth="true" hidden="false" outlineLevel="0" max="12045" min="12042" style="97" width="18.67"/>
    <col collapsed="false" customWidth="false" hidden="false" outlineLevel="0" max="12046" min="12046" style="97" width="9.17"/>
    <col collapsed="false" customWidth="true" hidden="false" outlineLevel="0" max="12047" min="12047" style="97" width="9.83"/>
    <col collapsed="false" customWidth="true" hidden="false" outlineLevel="0" max="12049" min="12048" style="97" width="15.67"/>
    <col collapsed="false" customWidth="true" hidden="false" outlineLevel="0" max="12050" min="12050" style="97" width="16.67"/>
    <col collapsed="false" customWidth="true" hidden="false" outlineLevel="0" max="12051" min="12051" style="97" width="15.67"/>
    <col collapsed="false" customWidth="true" hidden="false" outlineLevel="0" max="12054" min="12052" style="97" width="20.5"/>
    <col collapsed="false" customWidth="false" hidden="false" outlineLevel="0" max="12055" min="12055" style="97" width="9.17"/>
    <col collapsed="false" customWidth="true" hidden="false" outlineLevel="0" max="12056" min="12056" style="97" width="15.67"/>
    <col collapsed="false" customWidth="false" hidden="false" outlineLevel="0" max="12288" min="12057" style="97" width="9.17"/>
    <col collapsed="false" customWidth="true" hidden="false" outlineLevel="0" max="12289" min="12289" style="97" width="4.33"/>
    <col collapsed="false" customWidth="true" hidden="false" outlineLevel="0" max="12290" min="12290" style="97" width="5.33"/>
    <col collapsed="false" customWidth="true" hidden="false" outlineLevel="0" max="12294" min="12291" style="97" width="17.66"/>
    <col collapsed="false" customWidth="true" hidden="true" outlineLevel="0" max="12295" min="12295" style="97" width="10.16"/>
    <col collapsed="false" customWidth="true" hidden="false" outlineLevel="0" max="12296" min="12296" style="97" width="16.17"/>
    <col collapsed="false" customWidth="false" hidden="false" outlineLevel="0" max="12297" min="12297" style="97" width="9.17"/>
    <col collapsed="false" customWidth="true" hidden="false" outlineLevel="0" max="12301" min="12298" style="97" width="18.67"/>
    <col collapsed="false" customWidth="false" hidden="false" outlineLevel="0" max="12302" min="12302" style="97" width="9.17"/>
    <col collapsed="false" customWidth="true" hidden="false" outlineLevel="0" max="12303" min="12303" style="97" width="9.83"/>
    <col collapsed="false" customWidth="true" hidden="false" outlineLevel="0" max="12305" min="12304" style="97" width="15.67"/>
    <col collapsed="false" customWidth="true" hidden="false" outlineLevel="0" max="12306" min="12306" style="97" width="16.67"/>
    <col collapsed="false" customWidth="true" hidden="false" outlineLevel="0" max="12307" min="12307" style="97" width="15.67"/>
    <col collapsed="false" customWidth="true" hidden="false" outlineLevel="0" max="12310" min="12308" style="97" width="20.5"/>
    <col collapsed="false" customWidth="false" hidden="false" outlineLevel="0" max="12311" min="12311" style="97" width="9.17"/>
    <col collapsed="false" customWidth="true" hidden="false" outlineLevel="0" max="12312" min="12312" style="97" width="15.67"/>
    <col collapsed="false" customWidth="false" hidden="false" outlineLevel="0" max="12544" min="12313" style="97" width="9.17"/>
    <col collapsed="false" customWidth="true" hidden="false" outlineLevel="0" max="12545" min="12545" style="97" width="4.33"/>
    <col collapsed="false" customWidth="true" hidden="false" outlineLevel="0" max="12546" min="12546" style="97" width="5.33"/>
    <col collapsed="false" customWidth="true" hidden="false" outlineLevel="0" max="12550" min="12547" style="97" width="17.66"/>
    <col collapsed="false" customWidth="true" hidden="true" outlineLevel="0" max="12551" min="12551" style="97" width="10.16"/>
    <col collapsed="false" customWidth="true" hidden="false" outlineLevel="0" max="12552" min="12552" style="97" width="16.17"/>
    <col collapsed="false" customWidth="false" hidden="false" outlineLevel="0" max="12553" min="12553" style="97" width="9.17"/>
    <col collapsed="false" customWidth="true" hidden="false" outlineLevel="0" max="12557" min="12554" style="97" width="18.67"/>
    <col collapsed="false" customWidth="false" hidden="false" outlineLevel="0" max="12558" min="12558" style="97" width="9.17"/>
    <col collapsed="false" customWidth="true" hidden="false" outlineLevel="0" max="12559" min="12559" style="97" width="9.83"/>
    <col collapsed="false" customWidth="true" hidden="false" outlineLevel="0" max="12561" min="12560" style="97" width="15.67"/>
    <col collapsed="false" customWidth="true" hidden="false" outlineLevel="0" max="12562" min="12562" style="97" width="16.67"/>
    <col collapsed="false" customWidth="true" hidden="false" outlineLevel="0" max="12563" min="12563" style="97" width="15.67"/>
    <col collapsed="false" customWidth="true" hidden="false" outlineLevel="0" max="12566" min="12564" style="97" width="20.5"/>
    <col collapsed="false" customWidth="false" hidden="false" outlineLevel="0" max="12567" min="12567" style="97" width="9.17"/>
    <col collapsed="false" customWidth="true" hidden="false" outlineLevel="0" max="12568" min="12568" style="97" width="15.67"/>
    <col collapsed="false" customWidth="false" hidden="false" outlineLevel="0" max="12800" min="12569" style="97" width="9.17"/>
    <col collapsed="false" customWidth="true" hidden="false" outlineLevel="0" max="12801" min="12801" style="97" width="4.33"/>
    <col collapsed="false" customWidth="true" hidden="false" outlineLevel="0" max="12802" min="12802" style="97" width="5.33"/>
    <col collapsed="false" customWidth="true" hidden="false" outlineLevel="0" max="12806" min="12803" style="97" width="17.66"/>
    <col collapsed="false" customWidth="true" hidden="true" outlineLevel="0" max="12807" min="12807" style="97" width="10.16"/>
    <col collapsed="false" customWidth="true" hidden="false" outlineLevel="0" max="12808" min="12808" style="97" width="16.17"/>
    <col collapsed="false" customWidth="false" hidden="false" outlineLevel="0" max="12809" min="12809" style="97" width="9.17"/>
    <col collapsed="false" customWidth="true" hidden="false" outlineLevel="0" max="12813" min="12810" style="97" width="18.67"/>
    <col collapsed="false" customWidth="false" hidden="false" outlineLevel="0" max="12814" min="12814" style="97" width="9.17"/>
    <col collapsed="false" customWidth="true" hidden="false" outlineLevel="0" max="12815" min="12815" style="97" width="9.83"/>
    <col collapsed="false" customWidth="true" hidden="false" outlineLevel="0" max="12817" min="12816" style="97" width="15.67"/>
    <col collapsed="false" customWidth="true" hidden="false" outlineLevel="0" max="12818" min="12818" style="97" width="16.67"/>
    <col collapsed="false" customWidth="true" hidden="false" outlineLevel="0" max="12819" min="12819" style="97" width="15.67"/>
    <col collapsed="false" customWidth="true" hidden="false" outlineLevel="0" max="12822" min="12820" style="97" width="20.5"/>
    <col collapsed="false" customWidth="false" hidden="false" outlineLevel="0" max="12823" min="12823" style="97" width="9.17"/>
    <col collapsed="false" customWidth="true" hidden="false" outlineLevel="0" max="12824" min="12824" style="97" width="15.67"/>
    <col collapsed="false" customWidth="false" hidden="false" outlineLevel="0" max="13056" min="12825" style="97" width="9.17"/>
    <col collapsed="false" customWidth="true" hidden="false" outlineLevel="0" max="13057" min="13057" style="97" width="4.33"/>
    <col collapsed="false" customWidth="true" hidden="false" outlineLevel="0" max="13058" min="13058" style="97" width="5.33"/>
    <col collapsed="false" customWidth="true" hidden="false" outlineLevel="0" max="13062" min="13059" style="97" width="17.66"/>
    <col collapsed="false" customWidth="true" hidden="true" outlineLevel="0" max="13063" min="13063" style="97" width="10.16"/>
    <col collapsed="false" customWidth="true" hidden="false" outlineLevel="0" max="13064" min="13064" style="97" width="16.17"/>
    <col collapsed="false" customWidth="false" hidden="false" outlineLevel="0" max="13065" min="13065" style="97" width="9.17"/>
    <col collapsed="false" customWidth="true" hidden="false" outlineLevel="0" max="13069" min="13066" style="97" width="18.67"/>
    <col collapsed="false" customWidth="false" hidden="false" outlineLevel="0" max="13070" min="13070" style="97" width="9.17"/>
    <col collapsed="false" customWidth="true" hidden="false" outlineLevel="0" max="13071" min="13071" style="97" width="9.83"/>
    <col collapsed="false" customWidth="true" hidden="false" outlineLevel="0" max="13073" min="13072" style="97" width="15.67"/>
    <col collapsed="false" customWidth="true" hidden="false" outlineLevel="0" max="13074" min="13074" style="97" width="16.67"/>
    <col collapsed="false" customWidth="true" hidden="false" outlineLevel="0" max="13075" min="13075" style="97" width="15.67"/>
    <col collapsed="false" customWidth="true" hidden="false" outlineLevel="0" max="13078" min="13076" style="97" width="20.5"/>
    <col collapsed="false" customWidth="false" hidden="false" outlineLevel="0" max="13079" min="13079" style="97" width="9.17"/>
    <col collapsed="false" customWidth="true" hidden="false" outlineLevel="0" max="13080" min="13080" style="97" width="15.67"/>
    <col collapsed="false" customWidth="false" hidden="false" outlineLevel="0" max="13312" min="13081" style="97" width="9.17"/>
    <col collapsed="false" customWidth="true" hidden="false" outlineLevel="0" max="13313" min="13313" style="97" width="4.33"/>
    <col collapsed="false" customWidth="true" hidden="false" outlineLevel="0" max="13314" min="13314" style="97" width="5.33"/>
    <col collapsed="false" customWidth="true" hidden="false" outlineLevel="0" max="13318" min="13315" style="97" width="17.66"/>
    <col collapsed="false" customWidth="true" hidden="true" outlineLevel="0" max="13319" min="13319" style="97" width="10.16"/>
    <col collapsed="false" customWidth="true" hidden="false" outlineLevel="0" max="13320" min="13320" style="97" width="16.17"/>
    <col collapsed="false" customWidth="false" hidden="false" outlineLevel="0" max="13321" min="13321" style="97" width="9.17"/>
    <col collapsed="false" customWidth="true" hidden="false" outlineLevel="0" max="13325" min="13322" style="97" width="18.67"/>
    <col collapsed="false" customWidth="false" hidden="false" outlineLevel="0" max="13326" min="13326" style="97" width="9.17"/>
    <col collapsed="false" customWidth="true" hidden="false" outlineLevel="0" max="13327" min="13327" style="97" width="9.83"/>
    <col collapsed="false" customWidth="true" hidden="false" outlineLevel="0" max="13329" min="13328" style="97" width="15.67"/>
    <col collapsed="false" customWidth="true" hidden="false" outlineLevel="0" max="13330" min="13330" style="97" width="16.67"/>
    <col collapsed="false" customWidth="true" hidden="false" outlineLevel="0" max="13331" min="13331" style="97" width="15.67"/>
    <col collapsed="false" customWidth="true" hidden="false" outlineLevel="0" max="13334" min="13332" style="97" width="20.5"/>
    <col collapsed="false" customWidth="false" hidden="false" outlineLevel="0" max="13335" min="13335" style="97" width="9.17"/>
    <col collapsed="false" customWidth="true" hidden="false" outlineLevel="0" max="13336" min="13336" style="97" width="15.67"/>
    <col collapsed="false" customWidth="false" hidden="false" outlineLevel="0" max="13568" min="13337" style="97" width="9.17"/>
    <col collapsed="false" customWidth="true" hidden="false" outlineLevel="0" max="13569" min="13569" style="97" width="4.33"/>
    <col collapsed="false" customWidth="true" hidden="false" outlineLevel="0" max="13570" min="13570" style="97" width="5.33"/>
    <col collapsed="false" customWidth="true" hidden="false" outlineLevel="0" max="13574" min="13571" style="97" width="17.66"/>
    <col collapsed="false" customWidth="true" hidden="true" outlineLevel="0" max="13575" min="13575" style="97" width="10.16"/>
    <col collapsed="false" customWidth="true" hidden="false" outlineLevel="0" max="13576" min="13576" style="97" width="16.17"/>
    <col collapsed="false" customWidth="false" hidden="false" outlineLevel="0" max="13577" min="13577" style="97" width="9.17"/>
    <col collapsed="false" customWidth="true" hidden="false" outlineLevel="0" max="13581" min="13578" style="97" width="18.67"/>
    <col collapsed="false" customWidth="false" hidden="false" outlineLevel="0" max="13582" min="13582" style="97" width="9.17"/>
    <col collapsed="false" customWidth="true" hidden="false" outlineLevel="0" max="13583" min="13583" style="97" width="9.83"/>
    <col collapsed="false" customWidth="true" hidden="false" outlineLevel="0" max="13585" min="13584" style="97" width="15.67"/>
    <col collapsed="false" customWidth="true" hidden="false" outlineLevel="0" max="13586" min="13586" style="97" width="16.67"/>
    <col collapsed="false" customWidth="true" hidden="false" outlineLevel="0" max="13587" min="13587" style="97" width="15.67"/>
    <col collapsed="false" customWidth="true" hidden="false" outlineLevel="0" max="13590" min="13588" style="97" width="20.5"/>
    <col collapsed="false" customWidth="false" hidden="false" outlineLevel="0" max="13591" min="13591" style="97" width="9.17"/>
    <col collapsed="false" customWidth="true" hidden="false" outlineLevel="0" max="13592" min="13592" style="97" width="15.67"/>
    <col collapsed="false" customWidth="false" hidden="false" outlineLevel="0" max="13824" min="13593" style="97" width="9.17"/>
    <col collapsed="false" customWidth="true" hidden="false" outlineLevel="0" max="13825" min="13825" style="97" width="4.33"/>
    <col collapsed="false" customWidth="true" hidden="false" outlineLevel="0" max="13826" min="13826" style="97" width="5.33"/>
    <col collapsed="false" customWidth="true" hidden="false" outlineLevel="0" max="13830" min="13827" style="97" width="17.66"/>
    <col collapsed="false" customWidth="true" hidden="true" outlineLevel="0" max="13831" min="13831" style="97" width="10.16"/>
    <col collapsed="false" customWidth="true" hidden="false" outlineLevel="0" max="13832" min="13832" style="97" width="16.17"/>
    <col collapsed="false" customWidth="false" hidden="false" outlineLevel="0" max="13833" min="13833" style="97" width="9.17"/>
    <col collapsed="false" customWidth="true" hidden="false" outlineLevel="0" max="13837" min="13834" style="97" width="18.67"/>
    <col collapsed="false" customWidth="false" hidden="false" outlineLevel="0" max="13838" min="13838" style="97" width="9.17"/>
    <col collapsed="false" customWidth="true" hidden="false" outlineLevel="0" max="13839" min="13839" style="97" width="9.83"/>
    <col collapsed="false" customWidth="true" hidden="false" outlineLevel="0" max="13841" min="13840" style="97" width="15.67"/>
    <col collapsed="false" customWidth="true" hidden="false" outlineLevel="0" max="13842" min="13842" style="97" width="16.67"/>
    <col collapsed="false" customWidth="true" hidden="false" outlineLevel="0" max="13843" min="13843" style="97" width="15.67"/>
    <col collapsed="false" customWidth="true" hidden="false" outlineLevel="0" max="13846" min="13844" style="97" width="20.5"/>
    <col collapsed="false" customWidth="false" hidden="false" outlineLevel="0" max="13847" min="13847" style="97" width="9.17"/>
    <col collapsed="false" customWidth="true" hidden="false" outlineLevel="0" max="13848" min="13848" style="97" width="15.67"/>
    <col collapsed="false" customWidth="false" hidden="false" outlineLevel="0" max="14080" min="13849" style="97" width="9.17"/>
    <col collapsed="false" customWidth="true" hidden="false" outlineLevel="0" max="14081" min="14081" style="97" width="4.33"/>
    <col collapsed="false" customWidth="true" hidden="false" outlineLevel="0" max="14082" min="14082" style="97" width="5.33"/>
    <col collapsed="false" customWidth="true" hidden="false" outlineLevel="0" max="14086" min="14083" style="97" width="17.66"/>
    <col collapsed="false" customWidth="true" hidden="true" outlineLevel="0" max="14087" min="14087" style="97" width="10.16"/>
    <col collapsed="false" customWidth="true" hidden="false" outlineLevel="0" max="14088" min="14088" style="97" width="16.17"/>
    <col collapsed="false" customWidth="false" hidden="false" outlineLevel="0" max="14089" min="14089" style="97" width="9.17"/>
    <col collapsed="false" customWidth="true" hidden="false" outlineLevel="0" max="14093" min="14090" style="97" width="18.67"/>
    <col collapsed="false" customWidth="false" hidden="false" outlineLevel="0" max="14094" min="14094" style="97" width="9.17"/>
    <col collapsed="false" customWidth="true" hidden="false" outlineLevel="0" max="14095" min="14095" style="97" width="9.83"/>
    <col collapsed="false" customWidth="true" hidden="false" outlineLevel="0" max="14097" min="14096" style="97" width="15.67"/>
    <col collapsed="false" customWidth="true" hidden="false" outlineLevel="0" max="14098" min="14098" style="97" width="16.67"/>
    <col collapsed="false" customWidth="true" hidden="false" outlineLevel="0" max="14099" min="14099" style="97" width="15.67"/>
    <col collapsed="false" customWidth="true" hidden="false" outlineLevel="0" max="14102" min="14100" style="97" width="20.5"/>
    <col collapsed="false" customWidth="false" hidden="false" outlineLevel="0" max="14103" min="14103" style="97" width="9.17"/>
    <col collapsed="false" customWidth="true" hidden="false" outlineLevel="0" max="14104" min="14104" style="97" width="15.67"/>
    <col collapsed="false" customWidth="false" hidden="false" outlineLevel="0" max="14336" min="14105" style="97" width="9.17"/>
    <col collapsed="false" customWidth="true" hidden="false" outlineLevel="0" max="14337" min="14337" style="97" width="4.33"/>
    <col collapsed="false" customWidth="true" hidden="false" outlineLevel="0" max="14338" min="14338" style="97" width="5.33"/>
    <col collapsed="false" customWidth="true" hidden="false" outlineLevel="0" max="14342" min="14339" style="97" width="17.66"/>
    <col collapsed="false" customWidth="true" hidden="true" outlineLevel="0" max="14343" min="14343" style="97" width="10.16"/>
    <col collapsed="false" customWidth="true" hidden="false" outlineLevel="0" max="14344" min="14344" style="97" width="16.17"/>
    <col collapsed="false" customWidth="false" hidden="false" outlineLevel="0" max="14345" min="14345" style="97" width="9.17"/>
    <col collapsed="false" customWidth="true" hidden="false" outlineLevel="0" max="14349" min="14346" style="97" width="18.67"/>
    <col collapsed="false" customWidth="false" hidden="false" outlineLevel="0" max="14350" min="14350" style="97" width="9.17"/>
    <col collapsed="false" customWidth="true" hidden="false" outlineLevel="0" max="14351" min="14351" style="97" width="9.83"/>
    <col collapsed="false" customWidth="true" hidden="false" outlineLevel="0" max="14353" min="14352" style="97" width="15.67"/>
    <col collapsed="false" customWidth="true" hidden="false" outlineLevel="0" max="14354" min="14354" style="97" width="16.67"/>
    <col collapsed="false" customWidth="true" hidden="false" outlineLevel="0" max="14355" min="14355" style="97" width="15.67"/>
    <col collapsed="false" customWidth="true" hidden="false" outlineLevel="0" max="14358" min="14356" style="97" width="20.5"/>
    <col collapsed="false" customWidth="false" hidden="false" outlineLevel="0" max="14359" min="14359" style="97" width="9.17"/>
    <col collapsed="false" customWidth="true" hidden="false" outlineLevel="0" max="14360" min="14360" style="97" width="15.67"/>
    <col collapsed="false" customWidth="false" hidden="false" outlineLevel="0" max="14592" min="14361" style="97" width="9.17"/>
    <col collapsed="false" customWidth="true" hidden="false" outlineLevel="0" max="14593" min="14593" style="97" width="4.33"/>
    <col collapsed="false" customWidth="true" hidden="false" outlineLevel="0" max="14594" min="14594" style="97" width="5.33"/>
    <col collapsed="false" customWidth="true" hidden="false" outlineLevel="0" max="14598" min="14595" style="97" width="17.66"/>
    <col collapsed="false" customWidth="true" hidden="true" outlineLevel="0" max="14599" min="14599" style="97" width="10.16"/>
    <col collapsed="false" customWidth="true" hidden="false" outlineLevel="0" max="14600" min="14600" style="97" width="16.17"/>
    <col collapsed="false" customWidth="false" hidden="false" outlineLevel="0" max="14601" min="14601" style="97" width="9.17"/>
    <col collapsed="false" customWidth="true" hidden="false" outlineLevel="0" max="14605" min="14602" style="97" width="18.67"/>
    <col collapsed="false" customWidth="false" hidden="false" outlineLevel="0" max="14606" min="14606" style="97" width="9.17"/>
    <col collapsed="false" customWidth="true" hidden="false" outlineLevel="0" max="14607" min="14607" style="97" width="9.83"/>
    <col collapsed="false" customWidth="true" hidden="false" outlineLevel="0" max="14609" min="14608" style="97" width="15.67"/>
    <col collapsed="false" customWidth="true" hidden="false" outlineLevel="0" max="14610" min="14610" style="97" width="16.67"/>
    <col collapsed="false" customWidth="true" hidden="false" outlineLevel="0" max="14611" min="14611" style="97" width="15.67"/>
    <col collapsed="false" customWidth="true" hidden="false" outlineLevel="0" max="14614" min="14612" style="97" width="20.5"/>
    <col collapsed="false" customWidth="false" hidden="false" outlineLevel="0" max="14615" min="14615" style="97" width="9.17"/>
    <col collapsed="false" customWidth="true" hidden="false" outlineLevel="0" max="14616" min="14616" style="97" width="15.67"/>
    <col collapsed="false" customWidth="false" hidden="false" outlineLevel="0" max="14848" min="14617" style="97" width="9.17"/>
    <col collapsed="false" customWidth="true" hidden="false" outlineLevel="0" max="14849" min="14849" style="97" width="4.33"/>
    <col collapsed="false" customWidth="true" hidden="false" outlineLevel="0" max="14850" min="14850" style="97" width="5.33"/>
    <col collapsed="false" customWidth="true" hidden="false" outlineLevel="0" max="14854" min="14851" style="97" width="17.66"/>
    <col collapsed="false" customWidth="true" hidden="true" outlineLevel="0" max="14855" min="14855" style="97" width="10.16"/>
    <col collapsed="false" customWidth="true" hidden="false" outlineLevel="0" max="14856" min="14856" style="97" width="16.17"/>
    <col collapsed="false" customWidth="false" hidden="false" outlineLevel="0" max="14857" min="14857" style="97" width="9.17"/>
    <col collapsed="false" customWidth="true" hidden="false" outlineLevel="0" max="14861" min="14858" style="97" width="18.67"/>
    <col collapsed="false" customWidth="false" hidden="false" outlineLevel="0" max="14862" min="14862" style="97" width="9.17"/>
    <col collapsed="false" customWidth="true" hidden="false" outlineLevel="0" max="14863" min="14863" style="97" width="9.83"/>
    <col collapsed="false" customWidth="true" hidden="false" outlineLevel="0" max="14865" min="14864" style="97" width="15.67"/>
    <col collapsed="false" customWidth="true" hidden="false" outlineLevel="0" max="14866" min="14866" style="97" width="16.67"/>
    <col collapsed="false" customWidth="true" hidden="false" outlineLevel="0" max="14867" min="14867" style="97" width="15.67"/>
    <col collapsed="false" customWidth="true" hidden="false" outlineLevel="0" max="14870" min="14868" style="97" width="20.5"/>
    <col collapsed="false" customWidth="false" hidden="false" outlineLevel="0" max="14871" min="14871" style="97" width="9.17"/>
    <col collapsed="false" customWidth="true" hidden="false" outlineLevel="0" max="14872" min="14872" style="97" width="15.67"/>
    <col collapsed="false" customWidth="false" hidden="false" outlineLevel="0" max="15104" min="14873" style="97" width="9.17"/>
    <col collapsed="false" customWidth="true" hidden="false" outlineLevel="0" max="15105" min="15105" style="97" width="4.33"/>
    <col collapsed="false" customWidth="true" hidden="false" outlineLevel="0" max="15106" min="15106" style="97" width="5.33"/>
    <col collapsed="false" customWidth="true" hidden="false" outlineLevel="0" max="15110" min="15107" style="97" width="17.66"/>
    <col collapsed="false" customWidth="true" hidden="true" outlineLevel="0" max="15111" min="15111" style="97" width="10.16"/>
    <col collapsed="false" customWidth="true" hidden="false" outlineLevel="0" max="15112" min="15112" style="97" width="16.17"/>
    <col collapsed="false" customWidth="false" hidden="false" outlineLevel="0" max="15113" min="15113" style="97" width="9.17"/>
    <col collapsed="false" customWidth="true" hidden="false" outlineLevel="0" max="15117" min="15114" style="97" width="18.67"/>
    <col collapsed="false" customWidth="false" hidden="false" outlineLevel="0" max="15118" min="15118" style="97" width="9.17"/>
    <col collapsed="false" customWidth="true" hidden="false" outlineLevel="0" max="15119" min="15119" style="97" width="9.83"/>
    <col collapsed="false" customWidth="true" hidden="false" outlineLevel="0" max="15121" min="15120" style="97" width="15.67"/>
    <col collapsed="false" customWidth="true" hidden="false" outlineLevel="0" max="15122" min="15122" style="97" width="16.67"/>
    <col collapsed="false" customWidth="true" hidden="false" outlineLevel="0" max="15123" min="15123" style="97" width="15.67"/>
    <col collapsed="false" customWidth="true" hidden="false" outlineLevel="0" max="15126" min="15124" style="97" width="20.5"/>
    <col collapsed="false" customWidth="false" hidden="false" outlineLevel="0" max="15127" min="15127" style="97" width="9.17"/>
    <col collapsed="false" customWidth="true" hidden="false" outlineLevel="0" max="15128" min="15128" style="97" width="15.67"/>
    <col collapsed="false" customWidth="false" hidden="false" outlineLevel="0" max="15360" min="15129" style="97" width="9.17"/>
    <col collapsed="false" customWidth="true" hidden="false" outlineLevel="0" max="15361" min="15361" style="97" width="4.33"/>
    <col collapsed="false" customWidth="true" hidden="false" outlineLevel="0" max="15362" min="15362" style="97" width="5.33"/>
    <col collapsed="false" customWidth="true" hidden="false" outlineLevel="0" max="15366" min="15363" style="97" width="17.66"/>
    <col collapsed="false" customWidth="true" hidden="true" outlineLevel="0" max="15367" min="15367" style="97" width="10.16"/>
    <col collapsed="false" customWidth="true" hidden="false" outlineLevel="0" max="15368" min="15368" style="97" width="16.17"/>
    <col collapsed="false" customWidth="false" hidden="false" outlineLevel="0" max="15369" min="15369" style="97" width="9.17"/>
    <col collapsed="false" customWidth="true" hidden="false" outlineLevel="0" max="15373" min="15370" style="97" width="18.67"/>
    <col collapsed="false" customWidth="false" hidden="false" outlineLevel="0" max="15374" min="15374" style="97" width="9.17"/>
    <col collapsed="false" customWidth="true" hidden="false" outlineLevel="0" max="15375" min="15375" style="97" width="9.83"/>
    <col collapsed="false" customWidth="true" hidden="false" outlineLevel="0" max="15377" min="15376" style="97" width="15.67"/>
    <col collapsed="false" customWidth="true" hidden="false" outlineLevel="0" max="15378" min="15378" style="97" width="16.67"/>
    <col collapsed="false" customWidth="true" hidden="false" outlineLevel="0" max="15379" min="15379" style="97" width="15.67"/>
    <col collapsed="false" customWidth="true" hidden="false" outlineLevel="0" max="15382" min="15380" style="97" width="20.5"/>
    <col collapsed="false" customWidth="false" hidden="false" outlineLevel="0" max="15383" min="15383" style="97" width="9.17"/>
    <col collapsed="false" customWidth="true" hidden="false" outlineLevel="0" max="15384" min="15384" style="97" width="15.67"/>
    <col collapsed="false" customWidth="false" hidden="false" outlineLevel="0" max="15616" min="15385" style="97" width="9.17"/>
    <col collapsed="false" customWidth="true" hidden="false" outlineLevel="0" max="15617" min="15617" style="97" width="4.33"/>
    <col collapsed="false" customWidth="true" hidden="false" outlineLevel="0" max="15618" min="15618" style="97" width="5.33"/>
    <col collapsed="false" customWidth="true" hidden="false" outlineLevel="0" max="15622" min="15619" style="97" width="17.66"/>
    <col collapsed="false" customWidth="true" hidden="true" outlineLevel="0" max="15623" min="15623" style="97" width="10.16"/>
    <col collapsed="false" customWidth="true" hidden="false" outlineLevel="0" max="15624" min="15624" style="97" width="16.17"/>
    <col collapsed="false" customWidth="false" hidden="false" outlineLevel="0" max="15625" min="15625" style="97" width="9.17"/>
    <col collapsed="false" customWidth="true" hidden="false" outlineLevel="0" max="15629" min="15626" style="97" width="18.67"/>
    <col collapsed="false" customWidth="false" hidden="false" outlineLevel="0" max="15630" min="15630" style="97" width="9.17"/>
    <col collapsed="false" customWidth="true" hidden="false" outlineLevel="0" max="15631" min="15631" style="97" width="9.83"/>
    <col collapsed="false" customWidth="true" hidden="false" outlineLevel="0" max="15633" min="15632" style="97" width="15.67"/>
    <col collapsed="false" customWidth="true" hidden="false" outlineLevel="0" max="15634" min="15634" style="97" width="16.67"/>
    <col collapsed="false" customWidth="true" hidden="false" outlineLevel="0" max="15635" min="15635" style="97" width="15.67"/>
    <col collapsed="false" customWidth="true" hidden="false" outlineLevel="0" max="15638" min="15636" style="97" width="20.5"/>
    <col collapsed="false" customWidth="false" hidden="false" outlineLevel="0" max="15639" min="15639" style="97" width="9.17"/>
    <col collapsed="false" customWidth="true" hidden="false" outlineLevel="0" max="15640" min="15640" style="97" width="15.67"/>
    <col collapsed="false" customWidth="false" hidden="false" outlineLevel="0" max="15872" min="15641" style="97" width="9.17"/>
    <col collapsed="false" customWidth="true" hidden="false" outlineLevel="0" max="15873" min="15873" style="97" width="4.33"/>
    <col collapsed="false" customWidth="true" hidden="false" outlineLevel="0" max="15874" min="15874" style="97" width="5.33"/>
    <col collapsed="false" customWidth="true" hidden="false" outlineLevel="0" max="15878" min="15875" style="97" width="17.66"/>
    <col collapsed="false" customWidth="true" hidden="true" outlineLevel="0" max="15879" min="15879" style="97" width="10.16"/>
    <col collapsed="false" customWidth="true" hidden="false" outlineLevel="0" max="15880" min="15880" style="97" width="16.17"/>
    <col collapsed="false" customWidth="false" hidden="false" outlineLevel="0" max="15881" min="15881" style="97" width="9.17"/>
    <col collapsed="false" customWidth="true" hidden="false" outlineLevel="0" max="15885" min="15882" style="97" width="18.67"/>
    <col collapsed="false" customWidth="false" hidden="false" outlineLevel="0" max="15886" min="15886" style="97" width="9.17"/>
    <col collapsed="false" customWidth="true" hidden="false" outlineLevel="0" max="15887" min="15887" style="97" width="9.83"/>
    <col collapsed="false" customWidth="true" hidden="false" outlineLevel="0" max="15889" min="15888" style="97" width="15.67"/>
    <col collapsed="false" customWidth="true" hidden="false" outlineLevel="0" max="15890" min="15890" style="97" width="16.67"/>
    <col collapsed="false" customWidth="true" hidden="false" outlineLevel="0" max="15891" min="15891" style="97" width="15.67"/>
    <col collapsed="false" customWidth="true" hidden="false" outlineLevel="0" max="15894" min="15892" style="97" width="20.5"/>
    <col collapsed="false" customWidth="false" hidden="false" outlineLevel="0" max="15895" min="15895" style="97" width="9.17"/>
    <col collapsed="false" customWidth="true" hidden="false" outlineLevel="0" max="15896" min="15896" style="97" width="15.67"/>
    <col collapsed="false" customWidth="false" hidden="false" outlineLevel="0" max="16128" min="15897" style="97" width="9.17"/>
    <col collapsed="false" customWidth="true" hidden="false" outlineLevel="0" max="16129" min="16129" style="97" width="4.33"/>
    <col collapsed="false" customWidth="true" hidden="false" outlineLevel="0" max="16130" min="16130" style="97" width="5.33"/>
    <col collapsed="false" customWidth="true" hidden="false" outlineLevel="0" max="16134" min="16131" style="97" width="17.66"/>
    <col collapsed="false" customWidth="true" hidden="true" outlineLevel="0" max="16135" min="16135" style="97" width="10.16"/>
    <col collapsed="false" customWidth="true" hidden="false" outlineLevel="0" max="16136" min="16136" style="97" width="16.17"/>
    <col collapsed="false" customWidth="false" hidden="false" outlineLevel="0" max="16137" min="16137" style="97" width="9.17"/>
    <col collapsed="false" customWidth="true" hidden="false" outlineLevel="0" max="16141" min="16138" style="97" width="18.67"/>
    <col collapsed="false" customWidth="false" hidden="false" outlineLevel="0" max="16142" min="16142" style="97" width="9.17"/>
    <col collapsed="false" customWidth="true" hidden="false" outlineLevel="0" max="16143" min="16143" style="97" width="9.83"/>
    <col collapsed="false" customWidth="true" hidden="false" outlineLevel="0" max="16145" min="16144" style="97" width="15.67"/>
    <col collapsed="false" customWidth="true" hidden="false" outlineLevel="0" max="16146" min="16146" style="97" width="16.67"/>
    <col collapsed="false" customWidth="true" hidden="false" outlineLevel="0" max="16147" min="16147" style="97" width="15.67"/>
    <col collapsed="false" customWidth="true" hidden="false" outlineLevel="0" max="16150" min="16148" style="97" width="20.5"/>
    <col collapsed="false" customWidth="false" hidden="false" outlineLevel="0" max="16151" min="16151" style="97" width="9.17"/>
    <col collapsed="false" customWidth="true" hidden="false" outlineLevel="0" max="16152" min="16152" style="97" width="15.67"/>
    <col collapsed="false" customWidth="false" hidden="false" outlineLevel="0" max="16384" min="16153" style="97" width="9.17"/>
  </cols>
  <sheetData>
    <row r="1" customFormat="false" ht="15.75" hidden="false" customHeight="false" outlineLevel="0" collapsed="false">
      <c r="F1" s="97" t="n">
        <v>0.5</v>
      </c>
      <c r="G1" s="97" t="n">
        <f aca="false">VLOOKUP(F1,$D$5:$H$13,5,FALSE())</f>
        <v>11.5</v>
      </c>
    </row>
    <row r="2" customFormat="false" ht="16.5" hidden="false" customHeight="false" outlineLevel="0" collapsed="false"/>
    <row r="3" customFormat="false" ht="18.75" hidden="false" customHeight="false" outlineLevel="0" collapsed="false">
      <c r="C3" s="163" t="s">
        <v>58</v>
      </c>
      <c r="D3" s="163"/>
      <c r="E3" s="163"/>
      <c r="F3" s="163"/>
      <c r="G3" s="163"/>
      <c r="H3" s="164"/>
      <c r="J3" s="165" t="s">
        <v>59</v>
      </c>
      <c r="K3" s="165"/>
      <c r="L3" s="165" t="s">
        <v>60</v>
      </c>
      <c r="M3" s="165" t="s">
        <v>61</v>
      </c>
      <c r="O3" s="166" t="s">
        <v>62</v>
      </c>
      <c r="P3" s="166"/>
      <c r="Q3" s="166"/>
      <c r="R3" s="166"/>
      <c r="S3" s="166"/>
      <c r="T3" s="166"/>
      <c r="U3" s="166"/>
      <c r="V3" s="166"/>
    </row>
    <row r="4" customFormat="false" ht="51.75" hidden="false" customHeight="false" outlineLevel="0" collapsed="false">
      <c r="A4" s="167"/>
      <c r="C4" s="168" t="s">
        <v>63</v>
      </c>
      <c r="D4" s="169" t="s">
        <v>64</v>
      </c>
      <c r="E4" s="169" t="s">
        <v>65</v>
      </c>
      <c r="F4" s="169" t="s">
        <v>66</v>
      </c>
      <c r="G4" s="164" t="s">
        <v>67</v>
      </c>
      <c r="H4" s="164" t="s">
        <v>68</v>
      </c>
      <c r="J4" s="168" t="s">
        <v>63</v>
      </c>
      <c r="K4" s="169" t="s">
        <v>64</v>
      </c>
      <c r="L4" s="169" t="s">
        <v>69</v>
      </c>
      <c r="M4" s="164" t="s">
        <v>70</v>
      </c>
      <c r="O4" s="170"/>
      <c r="P4" s="171" t="s">
        <v>71</v>
      </c>
      <c r="Q4" s="171" t="s">
        <v>72</v>
      </c>
      <c r="R4" s="171" t="s">
        <v>73</v>
      </c>
      <c r="S4" s="171" t="s">
        <v>74</v>
      </c>
      <c r="T4" s="172" t="s">
        <v>75</v>
      </c>
      <c r="U4" s="172" t="s">
        <v>76</v>
      </c>
      <c r="V4" s="172" t="s">
        <v>77</v>
      </c>
      <c r="W4" s="162"/>
    </row>
    <row r="5" customFormat="false" ht="16.5" hidden="false" customHeight="false" outlineLevel="0" collapsed="false">
      <c r="A5" s="173" t="n">
        <f aca="false">D5</f>
        <v>0.5</v>
      </c>
      <c r="B5" s="161" t="n">
        <v>1</v>
      </c>
      <c r="C5" s="174" t="s">
        <v>78</v>
      </c>
      <c r="D5" s="175" t="n">
        <v>0.5</v>
      </c>
      <c r="E5" s="176" t="n">
        <v>72</v>
      </c>
      <c r="F5" s="177" t="n">
        <f aca="false">E5/1000</f>
        <v>0.072</v>
      </c>
      <c r="G5" s="178" t="n">
        <f aca="false">23</f>
        <v>23</v>
      </c>
      <c r="H5" s="178" t="n">
        <f aca="false">G5/2</f>
        <v>11.5</v>
      </c>
      <c r="I5" s="162"/>
      <c r="J5" s="179" t="s">
        <v>79</v>
      </c>
      <c r="K5" s="180" t="n">
        <v>0.5</v>
      </c>
      <c r="L5" s="181"/>
      <c r="M5" s="182"/>
      <c r="O5" s="183" t="n">
        <v>0.5</v>
      </c>
      <c r="P5" s="184" t="n">
        <v>0.072</v>
      </c>
      <c r="Q5" s="184" t="n">
        <v>0.068</v>
      </c>
      <c r="R5" s="185" t="n">
        <f aca="false">(ABS(P5-Q5)/39)*1000</f>
        <v>0.102564102564102</v>
      </c>
      <c r="S5" s="185" t="n">
        <f aca="false">MAX(R5)</f>
        <v>0.102564102564102</v>
      </c>
      <c r="T5" s="186" t="n">
        <f aca="false">((((S5*12)/1000)))</f>
        <v>0.00123076923076923</v>
      </c>
      <c r="U5" s="186" t="n">
        <f aca="false">(((T5)*1000)/SQRT(3))</f>
        <v>0.710584946694922</v>
      </c>
      <c r="V5" s="186" t="n">
        <f aca="false">(((0.02)*1000)/SQRT(3))</f>
        <v>11.5470053837925</v>
      </c>
      <c r="W5" s="187" t="n">
        <f aca="false">P5/1000</f>
        <v>7.2E-005</v>
      </c>
      <c r="X5" s="188"/>
    </row>
    <row r="6" customFormat="false" ht="16.5" hidden="false" customHeight="false" outlineLevel="0" collapsed="false">
      <c r="A6" s="173" t="n">
        <f aca="false">D6</f>
        <v>1</v>
      </c>
      <c r="B6" s="161" t="n">
        <f aca="false">+B5+1</f>
        <v>2</v>
      </c>
      <c r="C6" s="189" t="s">
        <v>80</v>
      </c>
      <c r="D6" s="190" t="n">
        <v>1</v>
      </c>
      <c r="E6" s="191" t="n">
        <v>15</v>
      </c>
      <c r="F6" s="192" t="n">
        <f aca="false">E6/1000</f>
        <v>0.015</v>
      </c>
      <c r="G6" s="193" t="n">
        <f aca="false">23</f>
        <v>23</v>
      </c>
      <c r="H6" s="178" t="n">
        <f aca="false">G6/2</f>
        <v>11.5</v>
      </c>
      <c r="J6" s="194" t="s">
        <v>81</v>
      </c>
      <c r="K6" s="195" t="n">
        <v>1</v>
      </c>
      <c r="L6" s="196"/>
      <c r="M6" s="197"/>
      <c r="O6" s="198" t="n">
        <v>1</v>
      </c>
      <c r="P6" s="199" t="n">
        <v>0.015</v>
      </c>
      <c r="Q6" s="199" t="n">
        <v>0.016</v>
      </c>
      <c r="R6" s="185" t="n">
        <f aca="false">(ABS(P6-Q6)/39)*1000</f>
        <v>0.0256410256410257</v>
      </c>
      <c r="S6" s="185" t="n">
        <f aca="false">MAX(R6)</f>
        <v>0.0256410256410257</v>
      </c>
      <c r="T6" s="186" t="n">
        <f aca="false">((((S6*12)/1000)))</f>
        <v>0.000307692307692308</v>
      </c>
      <c r="U6" s="186" t="n">
        <f aca="false">(((T6)*1000)/SQRT(3))</f>
        <v>0.177646236673731</v>
      </c>
      <c r="V6" s="186" t="n">
        <f aca="false">(((0.02)*1000)/SQRT(3))</f>
        <v>11.5470053837925</v>
      </c>
      <c r="W6" s="187"/>
    </row>
    <row r="7" customFormat="false" ht="16.5" hidden="false" customHeight="false" outlineLevel="0" collapsed="false">
      <c r="A7" s="173" t="n">
        <f aca="false">D7</f>
        <v>1.0005</v>
      </c>
      <c r="B7" s="161" t="n">
        <f aca="false">+B6+1</f>
        <v>3</v>
      </c>
      <c r="C7" s="189" t="s">
        <v>82</v>
      </c>
      <c r="D7" s="200" t="n">
        <v>1.0005</v>
      </c>
      <c r="E7" s="191" t="n">
        <v>128</v>
      </c>
      <c r="F7" s="192" t="n">
        <f aca="false">E7/1000</f>
        <v>0.128</v>
      </c>
      <c r="G7" s="193" t="n">
        <f aca="false">23</f>
        <v>23</v>
      </c>
      <c r="H7" s="178" t="n">
        <f aca="false">G7/2</f>
        <v>11.5</v>
      </c>
      <c r="J7" s="194" t="s">
        <v>83</v>
      </c>
      <c r="K7" s="201" t="n">
        <v>1.0005</v>
      </c>
      <c r="L7" s="196"/>
      <c r="M7" s="197"/>
      <c r="O7" s="198" t="n">
        <v>1.0005</v>
      </c>
      <c r="P7" s="199" t="n">
        <v>0.128</v>
      </c>
      <c r="Q7" s="199" t="n">
        <v>0.119</v>
      </c>
      <c r="R7" s="185" t="n">
        <f aca="false">(ABS(P7-Q7)/39)*1000</f>
        <v>0.230769230769231</v>
      </c>
      <c r="S7" s="185" t="n">
        <f aca="false">MAX(R7)</f>
        <v>0.230769230769231</v>
      </c>
      <c r="T7" s="186" t="n">
        <f aca="false">((((S7*12)/1000)))</f>
        <v>0.00276923076923077</v>
      </c>
      <c r="U7" s="186" t="n">
        <f aca="false">(((T7)*1000)/SQRT(3))</f>
        <v>1.59881613006358</v>
      </c>
      <c r="V7" s="186" t="n">
        <f aca="false">(((0.02)*1000)/SQRT(3))</f>
        <v>11.5470053837925</v>
      </c>
      <c r="W7" s="187"/>
    </row>
    <row r="8" customFormat="false" ht="16.5" hidden="false" customHeight="false" outlineLevel="0" collapsed="false">
      <c r="A8" s="173" t="n">
        <f aca="false">D8</f>
        <v>1.001</v>
      </c>
      <c r="B8" s="161" t="n">
        <f aca="false">+B7+1</f>
        <v>4</v>
      </c>
      <c r="C8" s="189" t="s">
        <v>84</v>
      </c>
      <c r="D8" s="190" t="n">
        <v>1.001</v>
      </c>
      <c r="E8" s="191" t="n">
        <v>-9</v>
      </c>
      <c r="F8" s="192" t="n">
        <f aca="false">E8/1000</f>
        <v>-0.009</v>
      </c>
      <c r="G8" s="193" t="n">
        <f aca="false">23</f>
        <v>23</v>
      </c>
      <c r="H8" s="178" t="n">
        <f aca="false">G8/2</f>
        <v>11.5</v>
      </c>
      <c r="J8" s="194" t="s">
        <v>85</v>
      </c>
      <c r="K8" s="195" t="n">
        <v>1.001</v>
      </c>
      <c r="L8" s="196"/>
      <c r="M8" s="197"/>
      <c r="O8" s="202" t="n">
        <v>1.001</v>
      </c>
      <c r="P8" s="199" t="n">
        <v>-0.009</v>
      </c>
      <c r="Q8" s="199" t="n">
        <v>0.006</v>
      </c>
      <c r="R8" s="185" t="n">
        <f aca="false">(ABS(P8-Q8)/39)*1000</f>
        <v>0.384615384615385</v>
      </c>
      <c r="S8" s="185" t="n">
        <f aca="false">MAX(R8)</f>
        <v>0.384615384615385</v>
      </c>
      <c r="T8" s="186" t="n">
        <f aca="false">((((S8*12)/1000)))</f>
        <v>0.00461538461538462</v>
      </c>
      <c r="U8" s="186" t="n">
        <f aca="false">(((T8)*1000)/SQRT(3))</f>
        <v>2.66469355010597</v>
      </c>
      <c r="V8" s="186" t="n">
        <f aca="false">(((0.02)*1000)/SQRT(3))</f>
        <v>11.5470053837925</v>
      </c>
      <c r="W8" s="187"/>
    </row>
    <row r="9" customFormat="false" ht="16.5" hidden="false" customHeight="false" outlineLevel="0" collapsed="false">
      <c r="A9" s="173" t="n">
        <f aca="false">D9</f>
        <v>1.002</v>
      </c>
      <c r="B9" s="161" t="n">
        <f aca="false">+B8+1</f>
        <v>5</v>
      </c>
      <c r="C9" s="189" t="s">
        <v>86</v>
      </c>
      <c r="D9" s="190" t="n">
        <v>1.002</v>
      </c>
      <c r="E9" s="191" t="n">
        <v>-28</v>
      </c>
      <c r="F9" s="192" t="n">
        <f aca="false">E9/1000</f>
        <v>-0.028</v>
      </c>
      <c r="G9" s="193" t="n">
        <f aca="false">23</f>
        <v>23</v>
      </c>
      <c r="H9" s="178" t="n">
        <f aca="false">G9/2</f>
        <v>11.5</v>
      </c>
      <c r="J9" s="194" t="s">
        <v>87</v>
      </c>
      <c r="K9" s="195" t="n">
        <v>1.002</v>
      </c>
      <c r="L9" s="196"/>
      <c r="M9" s="197"/>
      <c r="O9" s="202" t="n">
        <v>1.002</v>
      </c>
      <c r="P9" s="199" t="n">
        <v>-0.028</v>
      </c>
      <c r="Q9" s="199" t="n">
        <v>-0.057</v>
      </c>
      <c r="R9" s="185" t="n">
        <f aca="false">(ABS(P9-Q9)/39)*1000</f>
        <v>0.743589743589744</v>
      </c>
      <c r="S9" s="185" t="n">
        <f aca="false">MAX(R9)</f>
        <v>0.743589743589744</v>
      </c>
      <c r="T9" s="186" t="n">
        <f aca="false">((((S9*12)/1000)))</f>
        <v>0.00892307692307692</v>
      </c>
      <c r="U9" s="186" t="n">
        <f aca="false">(((T9)*1000)/SQRT(3))</f>
        <v>5.1517408635382</v>
      </c>
      <c r="V9" s="186" t="n">
        <f aca="false">(((0.02)*1000)/SQRT(3))</f>
        <v>11.5470053837925</v>
      </c>
      <c r="W9" s="187"/>
    </row>
    <row r="10" customFormat="false" ht="16.5" hidden="false" customHeight="false" outlineLevel="0" collapsed="false">
      <c r="A10" s="173" t="n">
        <f aca="false">D10</f>
        <v>1.003</v>
      </c>
      <c r="B10" s="161" t="n">
        <f aca="false">+B9+1</f>
        <v>6</v>
      </c>
      <c r="C10" s="189" t="s">
        <v>88</v>
      </c>
      <c r="D10" s="190" t="n">
        <v>1.003</v>
      </c>
      <c r="E10" s="191" t="n">
        <v>92</v>
      </c>
      <c r="F10" s="192" t="n">
        <f aca="false">E10/1000</f>
        <v>0.092</v>
      </c>
      <c r="G10" s="193" t="n">
        <f aca="false">23</f>
        <v>23</v>
      </c>
      <c r="H10" s="178" t="n">
        <f aca="false">G10/2</f>
        <v>11.5</v>
      </c>
      <c r="J10" s="194" t="s">
        <v>89</v>
      </c>
      <c r="K10" s="195" t="n">
        <v>1.003</v>
      </c>
      <c r="L10" s="196"/>
      <c r="M10" s="197"/>
      <c r="O10" s="202" t="n">
        <v>1.003</v>
      </c>
      <c r="P10" s="199" t="n">
        <v>0.092</v>
      </c>
      <c r="Q10" s="199" t="n">
        <v>0.066</v>
      </c>
      <c r="R10" s="185" t="n">
        <f aca="false">(ABS(P10-Q10)/39)*1000</f>
        <v>0.666666666666667</v>
      </c>
      <c r="S10" s="185" t="n">
        <f aca="false">MAX(R10)</f>
        <v>0.666666666666667</v>
      </c>
      <c r="T10" s="186" t="n">
        <f aca="false">((((S10*12)/1000)))</f>
        <v>0.008</v>
      </c>
      <c r="U10" s="186" t="n">
        <f aca="false">(((T10)*1000)/SQRT(3))</f>
        <v>4.61880215351701</v>
      </c>
      <c r="V10" s="186" t="n">
        <f aca="false">(((0.02)*1000)/SQRT(3))</f>
        <v>11.5470053837925</v>
      </c>
      <c r="W10" s="187"/>
    </row>
    <row r="11" customFormat="false" ht="16.5" hidden="false" customHeight="false" outlineLevel="0" collapsed="false">
      <c r="A11" s="173" t="n">
        <f aca="false">D11</f>
        <v>1.004</v>
      </c>
      <c r="B11" s="161" t="n">
        <f aca="false">+B10+1</f>
        <v>7</v>
      </c>
      <c r="C11" s="189" t="s">
        <v>90</v>
      </c>
      <c r="D11" s="190" t="n">
        <v>1.004</v>
      </c>
      <c r="E11" s="191" t="n">
        <v>145</v>
      </c>
      <c r="F11" s="192" t="n">
        <f aca="false">E11/1000</f>
        <v>0.145</v>
      </c>
      <c r="G11" s="193" t="n">
        <f aca="false">23</f>
        <v>23</v>
      </c>
      <c r="H11" s="178" t="n">
        <f aca="false">G11/2</f>
        <v>11.5</v>
      </c>
      <c r="J11" s="194" t="s">
        <v>91</v>
      </c>
      <c r="K11" s="195" t="n">
        <v>1.004</v>
      </c>
      <c r="L11" s="196"/>
      <c r="M11" s="197"/>
      <c r="O11" s="202" t="n">
        <v>1.004</v>
      </c>
      <c r="P11" s="199" t="n">
        <v>0.145</v>
      </c>
      <c r="Q11" s="199" t="n">
        <v>0.128</v>
      </c>
      <c r="R11" s="185" t="n">
        <f aca="false">(ABS(P11-Q11)/39)*1000</f>
        <v>0.435897435897436</v>
      </c>
      <c r="S11" s="185" t="n">
        <f aca="false">MAX(R11)</f>
        <v>0.435897435897436</v>
      </c>
      <c r="T11" s="186" t="n">
        <f aca="false">((((S11*12)/1000)))</f>
        <v>0.00523076923076923</v>
      </c>
      <c r="U11" s="186" t="n">
        <f aca="false">(((T11)*1000)/SQRT(3))</f>
        <v>3.01998602345343</v>
      </c>
      <c r="V11" s="186" t="n">
        <f aca="false">(((0.02)*1000)/SQRT(3))</f>
        <v>11.5470053837925</v>
      </c>
      <c r="W11" s="187"/>
    </row>
    <row r="12" customFormat="false" ht="16.5" hidden="false" customHeight="false" outlineLevel="0" collapsed="false">
      <c r="A12" s="173" t="n">
        <f aca="false">D12</f>
        <v>1.005</v>
      </c>
      <c r="B12" s="161" t="n">
        <f aca="false">+B11+1</f>
        <v>8</v>
      </c>
      <c r="C12" s="189" t="s">
        <v>92</v>
      </c>
      <c r="D12" s="190" t="n">
        <v>1.005</v>
      </c>
      <c r="E12" s="191" t="n">
        <v>79</v>
      </c>
      <c r="F12" s="192" t="n">
        <f aca="false">E12/1000</f>
        <v>0.079</v>
      </c>
      <c r="G12" s="193" t="n">
        <f aca="false">23</f>
        <v>23</v>
      </c>
      <c r="H12" s="178" t="n">
        <f aca="false">G12/2</f>
        <v>11.5</v>
      </c>
      <c r="J12" s="194" t="s">
        <v>93</v>
      </c>
      <c r="K12" s="195" t="n">
        <v>1.005</v>
      </c>
      <c r="L12" s="196"/>
      <c r="M12" s="197"/>
      <c r="O12" s="202" t="n">
        <v>1.005</v>
      </c>
      <c r="P12" s="199" t="n">
        <v>0.079</v>
      </c>
      <c r="Q12" s="199" t="n">
        <v>0.073</v>
      </c>
      <c r="R12" s="185" t="n">
        <f aca="false">(ABS(P12-Q12)/39)*1000</f>
        <v>0.153846153846154</v>
      </c>
      <c r="S12" s="185" t="n">
        <f aca="false">MAX(R12)</f>
        <v>0.153846153846154</v>
      </c>
      <c r="T12" s="186" t="n">
        <f aca="false">((((S12*12)/1000)))</f>
        <v>0.00184615384615385</v>
      </c>
      <c r="U12" s="186" t="n">
        <f aca="false">(((T12)*1000)/SQRT(3))</f>
        <v>1.06587742004239</v>
      </c>
      <c r="V12" s="186" t="n">
        <f aca="false">(((0.02)*1000)/SQRT(3))</f>
        <v>11.5470053837925</v>
      </c>
      <c r="W12" s="187"/>
    </row>
    <row r="13" customFormat="false" ht="16.5" hidden="false" customHeight="false" outlineLevel="0" collapsed="false">
      <c r="A13" s="173" t="n">
        <f aca="false">D13</f>
        <v>1.006</v>
      </c>
      <c r="B13" s="161" t="n">
        <f aca="false">+B12+1</f>
        <v>9</v>
      </c>
      <c r="C13" s="189" t="s">
        <v>94</v>
      </c>
      <c r="D13" s="190" t="n">
        <v>1.006</v>
      </c>
      <c r="E13" s="191" t="n">
        <v>65</v>
      </c>
      <c r="F13" s="192" t="n">
        <f aca="false">E13/1000</f>
        <v>0.065</v>
      </c>
      <c r="G13" s="193" t="n">
        <f aca="false">23</f>
        <v>23</v>
      </c>
      <c r="H13" s="178" t="n">
        <f aca="false">G13/2</f>
        <v>11.5</v>
      </c>
      <c r="J13" s="194" t="s">
        <v>95</v>
      </c>
      <c r="K13" s="195" t="n">
        <v>1.006</v>
      </c>
      <c r="L13" s="196"/>
      <c r="M13" s="197"/>
      <c r="O13" s="202" t="n">
        <v>1.006</v>
      </c>
      <c r="P13" s="199" t="n">
        <v>0.065</v>
      </c>
      <c r="Q13" s="199" t="n">
        <v>0.03</v>
      </c>
      <c r="R13" s="185" t="n">
        <f aca="false">(ABS(P13-Q13)/39)*1000</f>
        <v>0.897435897435898</v>
      </c>
      <c r="S13" s="185" t="n">
        <f aca="false">MAX(R13)</f>
        <v>0.897435897435898</v>
      </c>
      <c r="T13" s="186" t="n">
        <f aca="false">((((S13*12)/1000)))</f>
        <v>0.0107692307692308</v>
      </c>
      <c r="U13" s="186" t="n">
        <f aca="false">(((T13)*1000)/SQRT(3))</f>
        <v>6.21761828358059</v>
      </c>
      <c r="V13" s="186" t="n">
        <f aca="false">(((0.02)*1000)/SQRT(3))</f>
        <v>11.5470053837925</v>
      </c>
      <c r="W13" s="187"/>
    </row>
    <row r="14" customFormat="false" ht="16.5" hidden="false" customHeight="false" outlineLevel="0" collapsed="false">
      <c r="A14" s="173" t="n">
        <f aca="false">D14</f>
        <v>1.007</v>
      </c>
      <c r="B14" s="161" t="n">
        <f aca="false">+B13+1</f>
        <v>10</v>
      </c>
      <c r="C14" s="189" t="s">
        <v>96</v>
      </c>
      <c r="D14" s="190" t="n">
        <v>1.007</v>
      </c>
      <c r="E14" s="191" t="n">
        <v>87</v>
      </c>
      <c r="F14" s="192" t="n">
        <f aca="false">E14/1000</f>
        <v>0.087</v>
      </c>
      <c r="G14" s="193" t="n">
        <f aca="false">23</f>
        <v>23</v>
      </c>
      <c r="H14" s="178" t="n">
        <f aca="false">G14/2</f>
        <v>11.5</v>
      </c>
      <c r="J14" s="194" t="s">
        <v>97</v>
      </c>
      <c r="K14" s="195" t="n">
        <v>1.007</v>
      </c>
      <c r="L14" s="196"/>
      <c r="M14" s="197"/>
      <c r="O14" s="202" t="n">
        <v>1.007</v>
      </c>
      <c r="P14" s="199" t="n">
        <v>0.08</v>
      </c>
      <c r="Q14" s="199" t="n">
        <v>0.087</v>
      </c>
      <c r="R14" s="185" t="n">
        <f aca="false">(ABS(P14-Q14)/39)*1000</f>
        <v>0.179487179487179</v>
      </c>
      <c r="S14" s="185" t="n">
        <f aca="false">MAX(R14)</f>
        <v>0.179487179487179</v>
      </c>
      <c r="T14" s="186" t="n">
        <f aca="false">((((S14*12)/1000)))</f>
        <v>0.00215384615384615</v>
      </c>
      <c r="U14" s="186" t="n">
        <f aca="false">(((T14)*1000)/SQRT(3))</f>
        <v>1.24352365671612</v>
      </c>
      <c r="V14" s="186" t="n">
        <f aca="false">(((0.02)*1000)/SQRT(3))</f>
        <v>11.5470053837925</v>
      </c>
      <c r="W14" s="187"/>
    </row>
    <row r="15" customFormat="false" ht="16.5" hidden="false" customHeight="false" outlineLevel="0" collapsed="false">
      <c r="A15" s="173" t="n">
        <f aca="false">D15</f>
        <v>1.008</v>
      </c>
      <c r="B15" s="161" t="n">
        <f aca="false">+B14+1</f>
        <v>11</v>
      </c>
      <c r="C15" s="189" t="s">
        <v>98</v>
      </c>
      <c r="D15" s="190" t="n">
        <v>1.008</v>
      </c>
      <c r="E15" s="191" t="n">
        <v>106</v>
      </c>
      <c r="F15" s="192" t="n">
        <f aca="false">E15/1000</f>
        <v>0.106</v>
      </c>
      <c r="G15" s="193" t="n">
        <f aca="false">23</f>
        <v>23</v>
      </c>
      <c r="H15" s="178" t="n">
        <f aca="false">G15/2</f>
        <v>11.5</v>
      </c>
      <c r="J15" s="194" t="s">
        <v>99</v>
      </c>
      <c r="K15" s="195" t="n">
        <v>1.008</v>
      </c>
      <c r="L15" s="196"/>
      <c r="M15" s="197"/>
      <c r="O15" s="202" t="n">
        <v>1.008</v>
      </c>
      <c r="P15" s="199" t="n">
        <v>0.106</v>
      </c>
      <c r="Q15" s="199" t="n">
        <v>0.147</v>
      </c>
      <c r="R15" s="185" t="n">
        <f aca="false">(ABS(P15-Q15)/39)*1000</f>
        <v>1.05128205128205</v>
      </c>
      <c r="S15" s="185" t="n">
        <f aca="false">MAX(R15)</f>
        <v>1.05128205128205</v>
      </c>
      <c r="T15" s="186" t="n">
        <f aca="false">((((S15*12)/1000)))</f>
        <v>0.0126153846153846</v>
      </c>
      <c r="U15" s="186" t="n">
        <f aca="false">(((T15)*1000)/SQRT(3))</f>
        <v>7.28349570362297</v>
      </c>
      <c r="V15" s="186" t="n">
        <f aca="false">(((0.02)*1000)/SQRT(3))</f>
        <v>11.5470053837925</v>
      </c>
      <c r="W15" s="187"/>
    </row>
    <row r="16" customFormat="false" ht="16.5" hidden="false" customHeight="false" outlineLevel="0" collapsed="false">
      <c r="A16" s="173" t="n">
        <f aca="false">D16</f>
        <v>1.009</v>
      </c>
      <c r="B16" s="161" t="n">
        <f aca="false">+B15+1</f>
        <v>12</v>
      </c>
      <c r="C16" s="189" t="s">
        <v>100</v>
      </c>
      <c r="D16" s="190" t="n">
        <v>1.009</v>
      </c>
      <c r="E16" s="191" t="n">
        <v>124</v>
      </c>
      <c r="F16" s="192" t="n">
        <f aca="false">E16/1000</f>
        <v>0.124</v>
      </c>
      <c r="G16" s="193" t="n">
        <f aca="false">23</f>
        <v>23</v>
      </c>
      <c r="H16" s="178" t="n">
        <f aca="false">G16/2</f>
        <v>11.5</v>
      </c>
      <c r="J16" s="194" t="s">
        <v>101</v>
      </c>
      <c r="K16" s="195" t="n">
        <v>1.009</v>
      </c>
      <c r="L16" s="196"/>
      <c r="M16" s="197"/>
      <c r="O16" s="202" t="n">
        <v>1.009</v>
      </c>
      <c r="P16" s="199" t="n">
        <v>0.124</v>
      </c>
      <c r="Q16" s="199" t="n">
        <v>0.121</v>
      </c>
      <c r="R16" s="185" t="n">
        <f aca="false">(ABS(P16-Q16)/39)*1000</f>
        <v>0.076923076923077</v>
      </c>
      <c r="S16" s="185" t="n">
        <f aca="false">MAX(R16)</f>
        <v>0.076923076923077</v>
      </c>
      <c r="T16" s="186" t="n">
        <f aca="false">((((S16*12)/1000)))</f>
        <v>0.000923076923076924</v>
      </c>
      <c r="U16" s="186" t="n">
        <f aca="false">(((T16)*1000)/SQRT(3))</f>
        <v>0.532938710021194</v>
      </c>
      <c r="V16" s="186" t="n">
        <f aca="false">(((0.02)*1000)/SQRT(3))</f>
        <v>11.5470053837925</v>
      </c>
      <c r="W16" s="187"/>
    </row>
    <row r="17" customFormat="false" ht="16.5" hidden="false" customHeight="false" outlineLevel="0" collapsed="false">
      <c r="A17" s="173" t="n">
        <f aca="false">D17</f>
        <v>1.01</v>
      </c>
      <c r="B17" s="161" t="n">
        <f aca="false">+B16+1</f>
        <v>13</v>
      </c>
      <c r="C17" s="189" t="s">
        <v>102</v>
      </c>
      <c r="D17" s="190" t="n">
        <v>1.01</v>
      </c>
      <c r="E17" s="191" t="n">
        <v>113</v>
      </c>
      <c r="F17" s="192" t="n">
        <f aca="false">E17/1000</f>
        <v>0.113</v>
      </c>
      <c r="G17" s="193" t="n">
        <f aca="false">23</f>
        <v>23</v>
      </c>
      <c r="H17" s="178" t="n">
        <f aca="false">G17/2</f>
        <v>11.5</v>
      </c>
      <c r="J17" s="194" t="s">
        <v>103</v>
      </c>
      <c r="K17" s="195" t="n">
        <v>1.01</v>
      </c>
      <c r="L17" s="196"/>
      <c r="M17" s="197"/>
      <c r="O17" s="203" t="n">
        <v>1.01</v>
      </c>
      <c r="P17" s="199" t="n">
        <v>0.113</v>
      </c>
      <c r="Q17" s="199" t="n">
        <v>0.1</v>
      </c>
      <c r="R17" s="185" t="n">
        <f aca="false">(ABS(P17-Q17)/39)*1000</f>
        <v>0.333333333333333</v>
      </c>
      <c r="S17" s="185" t="n">
        <f aca="false">MAX(R17)</f>
        <v>0.333333333333333</v>
      </c>
      <c r="T17" s="186" t="n">
        <f aca="false">((((S17*12)/1000)))</f>
        <v>0.004</v>
      </c>
      <c r="U17" s="186" t="n">
        <f aca="false">(((T17)*1000)/SQRT(3))</f>
        <v>2.3094010767585</v>
      </c>
      <c r="V17" s="186" t="n">
        <f aca="false">(((0.02)*1000)/SQRT(3))</f>
        <v>11.5470053837925</v>
      </c>
      <c r="W17" s="187"/>
    </row>
    <row r="18" customFormat="false" ht="16.5" hidden="false" customHeight="false" outlineLevel="0" collapsed="false">
      <c r="A18" s="173" t="n">
        <f aca="false">D18</f>
        <v>1.02</v>
      </c>
      <c r="B18" s="161" t="n">
        <f aca="false">+B17+1</f>
        <v>14</v>
      </c>
      <c r="C18" s="189" t="s">
        <v>104</v>
      </c>
      <c r="D18" s="190" t="n">
        <v>1.02</v>
      </c>
      <c r="E18" s="191" t="n">
        <v>47</v>
      </c>
      <c r="F18" s="192" t="n">
        <f aca="false">E18/1000</f>
        <v>0.047</v>
      </c>
      <c r="G18" s="193" t="n">
        <f aca="false">23</f>
        <v>23</v>
      </c>
      <c r="H18" s="178" t="n">
        <f aca="false">G18/2</f>
        <v>11.5</v>
      </c>
      <c r="J18" s="194" t="s">
        <v>105</v>
      </c>
      <c r="K18" s="195" t="n">
        <v>1.02</v>
      </c>
      <c r="L18" s="196"/>
      <c r="M18" s="197"/>
      <c r="O18" s="203" t="n">
        <v>1.02</v>
      </c>
      <c r="P18" s="199" t="n">
        <v>0.047</v>
      </c>
      <c r="Q18" s="199" t="n">
        <v>0.041</v>
      </c>
      <c r="R18" s="185" t="n">
        <f aca="false">(ABS(P18-Q18)/39)*1000</f>
        <v>0.153846153846154</v>
      </c>
      <c r="S18" s="185" t="n">
        <f aca="false">MAX(R18)</f>
        <v>0.153846153846154</v>
      </c>
      <c r="T18" s="186" t="n">
        <f aca="false">((((S18*12)/1000)))</f>
        <v>0.00184615384615385</v>
      </c>
      <c r="U18" s="186" t="n">
        <f aca="false">(((T18)*1000)/SQRT(3))</f>
        <v>1.06587742004239</v>
      </c>
      <c r="V18" s="186" t="n">
        <f aca="false">(((0.02)*1000)/SQRT(3))</f>
        <v>11.5470053837925</v>
      </c>
      <c r="W18" s="187"/>
    </row>
    <row r="19" customFormat="false" ht="16.5" hidden="false" customHeight="false" outlineLevel="0" collapsed="false">
      <c r="A19" s="173" t="n">
        <f aca="false">D19</f>
        <v>1.03</v>
      </c>
      <c r="B19" s="161" t="n">
        <f aca="false">+B18+1</f>
        <v>15</v>
      </c>
      <c r="C19" s="189" t="s">
        <v>106</v>
      </c>
      <c r="D19" s="190" t="n">
        <v>1.03</v>
      </c>
      <c r="E19" s="191" t="n">
        <v>85</v>
      </c>
      <c r="F19" s="192" t="n">
        <f aca="false">E19/1000</f>
        <v>0.085</v>
      </c>
      <c r="G19" s="193" t="n">
        <f aca="false">23</f>
        <v>23</v>
      </c>
      <c r="H19" s="178" t="n">
        <f aca="false">G19/2</f>
        <v>11.5</v>
      </c>
      <c r="J19" s="194" t="s">
        <v>107</v>
      </c>
      <c r="K19" s="195" t="n">
        <f aca="false">K18+0.01</f>
        <v>1.03</v>
      </c>
      <c r="L19" s="196"/>
      <c r="M19" s="197"/>
      <c r="O19" s="203" t="n">
        <v>1.03</v>
      </c>
      <c r="P19" s="199" t="n">
        <v>0.085</v>
      </c>
      <c r="Q19" s="199" t="n">
        <v>0.094</v>
      </c>
      <c r="R19" s="185" t="n">
        <f aca="false">(ABS(P19-Q19)/39)*1000</f>
        <v>0.230769230769231</v>
      </c>
      <c r="S19" s="185" t="n">
        <f aca="false">MAX(R19)</f>
        <v>0.230769230769231</v>
      </c>
      <c r="T19" s="186" t="n">
        <f aca="false">((((S19*12)/1000)))</f>
        <v>0.00276923076923077</v>
      </c>
      <c r="U19" s="186" t="n">
        <f aca="false">(((T19)*1000)/SQRT(3))</f>
        <v>1.59881613006358</v>
      </c>
      <c r="V19" s="186" t="n">
        <f aca="false">(((0.02)*1000)/SQRT(3))</f>
        <v>11.5470053837925</v>
      </c>
      <c r="W19" s="187"/>
    </row>
    <row r="20" customFormat="false" ht="16.5" hidden="false" customHeight="false" outlineLevel="0" collapsed="false">
      <c r="A20" s="173" t="n">
        <f aca="false">D20</f>
        <v>1.04</v>
      </c>
      <c r="B20" s="161" t="n">
        <f aca="false">+B19+1</f>
        <v>16</v>
      </c>
      <c r="C20" s="189" t="s">
        <v>108</v>
      </c>
      <c r="D20" s="190" t="n">
        <v>1.04</v>
      </c>
      <c r="E20" s="191" t="n">
        <v>52</v>
      </c>
      <c r="F20" s="192" t="n">
        <f aca="false">E20/1000</f>
        <v>0.052</v>
      </c>
      <c r="G20" s="193" t="n">
        <f aca="false">23</f>
        <v>23</v>
      </c>
      <c r="H20" s="178" t="n">
        <f aca="false">G20/2</f>
        <v>11.5</v>
      </c>
      <c r="J20" s="194" t="s">
        <v>109</v>
      </c>
      <c r="K20" s="195" t="n">
        <f aca="false">K19+0.01</f>
        <v>1.04</v>
      </c>
      <c r="L20" s="196"/>
      <c r="M20" s="197"/>
      <c r="O20" s="203" t="n">
        <v>1.04</v>
      </c>
      <c r="P20" s="199" t="n">
        <v>0.052</v>
      </c>
      <c r="Q20" s="199" t="n">
        <v>0.051</v>
      </c>
      <c r="R20" s="185" t="n">
        <f aca="false">(ABS(P20-Q20)/39)*1000</f>
        <v>0.0256410256410257</v>
      </c>
      <c r="S20" s="185" t="n">
        <f aca="false">MAX(R20)</f>
        <v>0.0256410256410257</v>
      </c>
      <c r="T20" s="186" t="n">
        <f aca="false">((((S20*12)/1000)))</f>
        <v>0.000307692307692308</v>
      </c>
      <c r="U20" s="186" t="n">
        <f aca="false">(((T20)*1000)/SQRT(3))</f>
        <v>0.177646236673731</v>
      </c>
      <c r="V20" s="186" t="n">
        <f aca="false">(((0.02)*1000)/SQRT(3))</f>
        <v>11.5470053837925</v>
      </c>
      <c r="W20" s="187"/>
    </row>
    <row r="21" customFormat="false" ht="16.5" hidden="false" customHeight="false" outlineLevel="0" collapsed="false">
      <c r="A21" s="173" t="n">
        <f aca="false">D21</f>
        <v>1.05</v>
      </c>
      <c r="B21" s="161" t="n">
        <f aca="false">+B20+1</f>
        <v>17</v>
      </c>
      <c r="C21" s="189" t="s">
        <v>110</v>
      </c>
      <c r="D21" s="190" t="n">
        <v>1.05</v>
      </c>
      <c r="E21" s="191" t="n">
        <v>52</v>
      </c>
      <c r="F21" s="192" t="n">
        <f aca="false">E21/1000</f>
        <v>0.052</v>
      </c>
      <c r="G21" s="193" t="n">
        <f aca="false">23</f>
        <v>23</v>
      </c>
      <c r="H21" s="178" t="n">
        <f aca="false">G21/2</f>
        <v>11.5</v>
      </c>
      <c r="J21" s="194" t="s">
        <v>111</v>
      </c>
      <c r="K21" s="195" t="n">
        <f aca="false">K20+0.01</f>
        <v>1.05</v>
      </c>
      <c r="L21" s="196"/>
      <c r="M21" s="197"/>
      <c r="O21" s="203" t="n">
        <v>1.05</v>
      </c>
      <c r="P21" s="199" t="n">
        <v>0.052</v>
      </c>
      <c r="Q21" s="199" t="n">
        <v>0.053</v>
      </c>
      <c r="R21" s="185" t="n">
        <f aca="false">(ABS(P21-Q21)/39)*1000</f>
        <v>0.0256410256410257</v>
      </c>
      <c r="S21" s="185" t="n">
        <f aca="false">MAX(R21)</f>
        <v>0.0256410256410257</v>
      </c>
      <c r="T21" s="186" t="n">
        <f aca="false">((((S21*12)/1000)))</f>
        <v>0.000307692307692308</v>
      </c>
      <c r="U21" s="186" t="n">
        <f aca="false">(((T21)*1000)/SQRT(3))</f>
        <v>0.177646236673731</v>
      </c>
      <c r="V21" s="186" t="n">
        <f aca="false">(((0.02)*1000)/SQRT(3))</f>
        <v>11.5470053837925</v>
      </c>
      <c r="W21" s="187"/>
    </row>
    <row r="22" customFormat="false" ht="16.5" hidden="false" customHeight="false" outlineLevel="0" collapsed="false">
      <c r="A22" s="173" t="n">
        <f aca="false">D22</f>
        <v>1.06</v>
      </c>
      <c r="B22" s="161" t="n">
        <f aca="false">+B21+1</f>
        <v>18</v>
      </c>
      <c r="C22" s="189" t="s">
        <v>112</v>
      </c>
      <c r="D22" s="190" t="n">
        <v>1.06</v>
      </c>
      <c r="E22" s="191" t="n">
        <v>107</v>
      </c>
      <c r="F22" s="192" t="n">
        <f aca="false">E22/1000</f>
        <v>0.107</v>
      </c>
      <c r="G22" s="193" t="n">
        <f aca="false">23</f>
        <v>23</v>
      </c>
      <c r="H22" s="178" t="n">
        <f aca="false">G22/2</f>
        <v>11.5</v>
      </c>
      <c r="J22" s="194" t="s">
        <v>113</v>
      </c>
      <c r="K22" s="195" t="n">
        <f aca="false">K21+0.01</f>
        <v>1.06</v>
      </c>
      <c r="L22" s="196"/>
      <c r="M22" s="197"/>
      <c r="O22" s="203" t="n">
        <v>1.06</v>
      </c>
      <c r="P22" s="199" t="n">
        <v>0.107</v>
      </c>
      <c r="Q22" s="199" t="n">
        <v>0.101</v>
      </c>
      <c r="R22" s="185" t="n">
        <f aca="false">(ABS(P22-Q22)/39)*1000</f>
        <v>0.153846153846154</v>
      </c>
      <c r="S22" s="185" t="n">
        <f aca="false">MAX(R22)</f>
        <v>0.153846153846154</v>
      </c>
      <c r="T22" s="186" t="n">
        <f aca="false">((((S22*12)/1000)))</f>
        <v>0.00184615384615384</v>
      </c>
      <c r="U22" s="186" t="n">
        <f aca="false">(((T22)*1000)/SQRT(3))</f>
        <v>1.06587742004238</v>
      </c>
      <c r="V22" s="186" t="n">
        <f aca="false">(((0.02)*1000)/SQRT(3))</f>
        <v>11.5470053837925</v>
      </c>
      <c r="W22" s="187"/>
    </row>
    <row r="23" customFormat="false" ht="16.5" hidden="false" customHeight="false" outlineLevel="0" collapsed="false">
      <c r="A23" s="173" t="n">
        <f aca="false">D23</f>
        <v>1.07</v>
      </c>
      <c r="B23" s="161" t="n">
        <f aca="false">+B22+1</f>
        <v>19</v>
      </c>
      <c r="C23" s="189" t="s">
        <v>114</v>
      </c>
      <c r="D23" s="190" t="n">
        <v>1.07</v>
      </c>
      <c r="E23" s="191" t="n">
        <v>55</v>
      </c>
      <c r="F23" s="192" t="n">
        <f aca="false">E23/1000</f>
        <v>0.055</v>
      </c>
      <c r="G23" s="193" t="n">
        <f aca="false">23</f>
        <v>23</v>
      </c>
      <c r="H23" s="178" t="n">
        <f aca="false">G23/2</f>
        <v>11.5</v>
      </c>
      <c r="J23" s="194" t="s">
        <v>115</v>
      </c>
      <c r="K23" s="195" t="n">
        <f aca="false">K22+0.01</f>
        <v>1.07</v>
      </c>
      <c r="L23" s="196"/>
      <c r="M23" s="197"/>
      <c r="O23" s="203" t="n">
        <v>1.07</v>
      </c>
      <c r="P23" s="199" t="n">
        <v>0.055</v>
      </c>
      <c r="Q23" s="199" t="n">
        <v>0.046</v>
      </c>
      <c r="R23" s="185" t="n">
        <f aca="false">(ABS(P23-Q23)/39)*1000</f>
        <v>0.230769230769231</v>
      </c>
      <c r="S23" s="185" t="n">
        <f aca="false">MAX(R23)</f>
        <v>0.230769230769231</v>
      </c>
      <c r="T23" s="186" t="n">
        <f aca="false">((((S23*12)/1000)))</f>
        <v>0.00276923076923077</v>
      </c>
      <c r="U23" s="186" t="n">
        <f aca="false">(((T23)*1000)/SQRT(3))</f>
        <v>1.59881613006358</v>
      </c>
      <c r="V23" s="186" t="n">
        <f aca="false">(((0.02)*1000)/SQRT(3))</f>
        <v>11.5470053837925</v>
      </c>
      <c r="W23" s="187"/>
    </row>
    <row r="24" customFormat="false" ht="16.5" hidden="false" customHeight="false" outlineLevel="0" collapsed="false">
      <c r="A24" s="173" t="n">
        <f aca="false">D24</f>
        <v>1.08</v>
      </c>
      <c r="B24" s="161" t="n">
        <f aca="false">+B23+1</f>
        <v>20</v>
      </c>
      <c r="C24" s="189" t="s">
        <v>116</v>
      </c>
      <c r="D24" s="190" t="n">
        <v>1.08</v>
      </c>
      <c r="E24" s="191" t="n">
        <v>171</v>
      </c>
      <c r="F24" s="192" t="n">
        <f aca="false">E24/1000</f>
        <v>0.171</v>
      </c>
      <c r="G24" s="193" t="n">
        <f aca="false">23</f>
        <v>23</v>
      </c>
      <c r="H24" s="178" t="n">
        <f aca="false">G24/2</f>
        <v>11.5</v>
      </c>
      <c r="J24" s="194" t="s">
        <v>117</v>
      </c>
      <c r="K24" s="195" t="n">
        <f aca="false">K23+0.01</f>
        <v>1.08</v>
      </c>
      <c r="L24" s="196"/>
      <c r="M24" s="197"/>
      <c r="O24" s="203" t="n">
        <v>1.08</v>
      </c>
      <c r="P24" s="199" t="n">
        <v>0.171</v>
      </c>
      <c r="Q24" s="199" t="n">
        <v>0.185</v>
      </c>
      <c r="R24" s="185" t="n">
        <f aca="false">(ABS(P24-Q24)/39)*1000</f>
        <v>0.358974358974359</v>
      </c>
      <c r="S24" s="185" t="n">
        <f aca="false">MAX(R24)</f>
        <v>0.358974358974359</v>
      </c>
      <c r="T24" s="186" t="n">
        <f aca="false">((((S24*12)/1000)))</f>
        <v>0.0043076923076923</v>
      </c>
      <c r="U24" s="186" t="n">
        <f aca="false">(((T24)*1000)/SQRT(3))</f>
        <v>2.48704731343223</v>
      </c>
      <c r="V24" s="186" t="n">
        <f aca="false">(((0.02)*1000)/SQRT(3))</f>
        <v>11.5470053837925</v>
      </c>
      <c r="W24" s="187"/>
    </row>
    <row r="25" customFormat="false" ht="16.5" hidden="false" customHeight="false" outlineLevel="0" collapsed="false">
      <c r="A25" s="173" t="n">
        <f aca="false">D25</f>
        <v>1.09</v>
      </c>
      <c r="B25" s="161" t="n">
        <f aca="false">+B24+1</f>
        <v>21</v>
      </c>
      <c r="C25" s="189" t="s">
        <v>118</v>
      </c>
      <c r="D25" s="190" t="n">
        <v>1.09</v>
      </c>
      <c r="E25" s="191" t="n">
        <v>50</v>
      </c>
      <c r="F25" s="192" t="n">
        <f aca="false">E25/1000</f>
        <v>0.05</v>
      </c>
      <c r="G25" s="193" t="n">
        <f aca="false">23</f>
        <v>23</v>
      </c>
      <c r="H25" s="178" t="n">
        <f aca="false">G25/2</f>
        <v>11.5</v>
      </c>
      <c r="J25" s="194" t="s">
        <v>119</v>
      </c>
      <c r="K25" s="195" t="n">
        <f aca="false">K24+0.01</f>
        <v>1.09</v>
      </c>
      <c r="L25" s="196"/>
      <c r="M25" s="197"/>
      <c r="O25" s="203" t="n">
        <v>1.09</v>
      </c>
      <c r="P25" s="199" t="n">
        <v>0.05</v>
      </c>
      <c r="Q25" s="199" t="n">
        <v>0.022</v>
      </c>
      <c r="R25" s="185" t="n">
        <f aca="false">(ABS(P25-Q25)/39)*1000</f>
        <v>0.717948717948718</v>
      </c>
      <c r="S25" s="185" t="n">
        <f aca="false">MAX(R25)</f>
        <v>0.717948717948718</v>
      </c>
      <c r="T25" s="186" t="n">
        <f aca="false">((((S25*12)/1000)))</f>
        <v>0.00861538461538462</v>
      </c>
      <c r="U25" s="186" t="n">
        <f aca="false">(((T25)*1000)/SQRT(3))</f>
        <v>4.97409462686447</v>
      </c>
      <c r="V25" s="186" t="n">
        <f aca="false">(((0.02)*1000)/SQRT(3))</f>
        <v>11.5470053837925</v>
      </c>
      <c r="W25" s="187"/>
    </row>
    <row r="26" customFormat="false" ht="16.5" hidden="false" customHeight="false" outlineLevel="0" collapsed="false">
      <c r="A26" s="173" t="n">
        <f aca="false">D26</f>
        <v>1.1</v>
      </c>
      <c r="B26" s="161" t="n">
        <f aca="false">+B25+1</f>
        <v>22</v>
      </c>
      <c r="C26" s="189" t="s">
        <v>120</v>
      </c>
      <c r="D26" s="190" t="n">
        <v>1.1</v>
      </c>
      <c r="E26" s="191" t="n">
        <v>175</v>
      </c>
      <c r="F26" s="192" t="n">
        <f aca="false">E26/1000</f>
        <v>0.175</v>
      </c>
      <c r="G26" s="193" t="n">
        <f aca="false">23</f>
        <v>23</v>
      </c>
      <c r="H26" s="178" t="n">
        <f aca="false">G26/2</f>
        <v>11.5</v>
      </c>
      <c r="J26" s="194" t="s">
        <v>121</v>
      </c>
      <c r="K26" s="195" t="n">
        <f aca="false">K25+0.01</f>
        <v>1.1</v>
      </c>
      <c r="L26" s="196"/>
      <c r="M26" s="197"/>
      <c r="O26" s="203" t="n">
        <v>1.1</v>
      </c>
      <c r="P26" s="199" t="n">
        <v>0.175</v>
      </c>
      <c r="Q26" s="199" t="n">
        <v>0.166</v>
      </c>
      <c r="R26" s="185" t="n">
        <f aca="false">(ABS(P26-Q26)/39)*1000</f>
        <v>0.23076923076923</v>
      </c>
      <c r="S26" s="185" t="n">
        <f aca="false">MAX(R26)</f>
        <v>0.23076923076923</v>
      </c>
      <c r="T26" s="186" t="n">
        <f aca="false">((((S26*12)/1000)))</f>
        <v>0.00276923076923076</v>
      </c>
      <c r="U26" s="186" t="n">
        <f aca="false">(((T26)*1000)/SQRT(3))</f>
        <v>1.59881613006358</v>
      </c>
      <c r="V26" s="186" t="n">
        <f aca="false">(((0.02)*1000)/SQRT(3))</f>
        <v>11.5470053837925</v>
      </c>
      <c r="W26" s="187"/>
    </row>
    <row r="27" customFormat="false" ht="16.5" hidden="false" customHeight="false" outlineLevel="0" collapsed="false">
      <c r="A27" s="173" t="n">
        <f aca="false">D27</f>
        <v>1.11</v>
      </c>
      <c r="B27" s="161" t="n">
        <f aca="false">+B26+1</f>
        <v>23</v>
      </c>
      <c r="C27" s="189" t="s">
        <v>122</v>
      </c>
      <c r="D27" s="190" t="n">
        <v>1.11</v>
      </c>
      <c r="E27" s="191" t="n">
        <v>120</v>
      </c>
      <c r="F27" s="192" t="n">
        <f aca="false">E27/1000</f>
        <v>0.12</v>
      </c>
      <c r="G27" s="193" t="n">
        <f aca="false">23</f>
        <v>23</v>
      </c>
      <c r="H27" s="178" t="n">
        <f aca="false">G27/2</f>
        <v>11.5</v>
      </c>
      <c r="J27" s="194" t="s">
        <v>123</v>
      </c>
      <c r="K27" s="195" t="n">
        <f aca="false">K26+0.01</f>
        <v>1.11</v>
      </c>
      <c r="L27" s="196"/>
      <c r="M27" s="197"/>
      <c r="O27" s="203" t="n">
        <v>1.11</v>
      </c>
      <c r="P27" s="199" t="n">
        <v>0.12</v>
      </c>
      <c r="Q27" s="199" t="n">
        <v>0.139</v>
      </c>
      <c r="R27" s="185" t="n">
        <f aca="false">(ABS(P27-Q27)/39)*1000</f>
        <v>0.487179487179488</v>
      </c>
      <c r="S27" s="185" t="n">
        <f aca="false">MAX(R27)</f>
        <v>0.487179487179488</v>
      </c>
      <c r="T27" s="186" t="n">
        <f aca="false">((((S27*12)/1000)))</f>
        <v>0.00584615384615385</v>
      </c>
      <c r="U27" s="186" t="n">
        <f aca="false">(((T27)*1000)/SQRT(3))</f>
        <v>3.37527849680089</v>
      </c>
      <c r="V27" s="186" t="n">
        <f aca="false">(((0.02)*1000)/SQRT(3))</f>
        <v>11.5470053837925</v>
      </c>
      <c r="W27" s="187"/>
    </row>
    <row r="28" customFormat="false" ht="16.5" hidden="false" customHeight="false" outlineLevel="0" collapsed="false">
      <c r="A28" s="173" t="n">
        <f aca="false">D28</f>
        <v>1.12</v>
      </c>
      <c r="B28" s="161" t="n">
        <f aca="false">+B27+1</f>
        <v>24</v>
      </c>
      <c r="C28" s="189" t="s">
        <v>124</v>
      </c>
      <c r="D28" s="190" t="n">
        <v>1.12</v>
      </c>
      <c r="E28" s="191" t="n">
        <v>22</v>
      </c>
      <c r="F28" s="192" t="n">
        <f aca="false">E28/1000</f>
        <v>0.022</v>
      </c>
      <c r="G28" s="193" t="n">
        <f aca="false">23</f>
        <v>23</v>
      </c>
      <c r="H28" s="178" t="n">
        <f aca="false">G28/2</f>
        <v>11.5</v>
      </c>
      <c r="J28" s="194" t="s">
        <v>125</v>
      </c>
      <c r="K28" s="195" t="n">
        <f aca="false">K27+0.01</f>
        <v>1.12</v>
      </c>
      <c r="L28" s="196"/>
      <c r="M28" s="197"/>
      <c r="O28" s="203" t="n">
        <v>1.12</v>
      </c>
      <c r="P28" s="199" t="n">
        <v>-0.022</v>
      </c>
      <c r="Q28" s="199" t="n">
        <v>0.002</v>
      </c>
      <c r="R28" s="185" t="n">
        <f aca="false">(ABS(P28-Q28)/39)*1000</f>
        <v>0.615384615384615</v>
      </c>
      <c r="S28" s="185" t="n">
        <f aca="false">MAX(R28)</f>
        <v>0.615384615384615</v>
      </c>
      <c r="T28" s="186" t="n">
        <f aca="false">((((S28*12)/1000)))</f>
        <v>0.00738461538461539</v>
      </c>
      <c r="U28" s="186" t="n">
        <f aca="false">(((T28)*1000)/SQRT(3))</f>
        <v>4.26350968016955</v>
      </c>
      <c r="V28" s="186" t="n">
        <f aca="false">(((0.02)*1000)/SQRT(3))</f>
        <v>11.5470053837925</v>
      </c>
      <c r="W28" s="187"/>
    </row>
    <row r="29" customFormat="false" ht="16.5" hidden="false" customHeight="false" outlineLevel="0" collapsed="false">
      <c r="A29" s="173" t="n">
        <f aca="false">D29</f>
        <v>1.13</v>
      </c>
      <c r="B29" s="161" t="n">
        <f aca="false">+B28+1</f>
        <v>25</v>
      </c>
      <c r="C29" s="189" t="s">
        <v>126</v>
      </c>
      <c r="D29" s="190" t="n">
        <v>1.13</v>
      </c>
      <c r="E29" s="191" t="n">
        <v>93</v>
      </c>
      <c r="F29" s="192" t="n">
        <f aca="false">E29/1000</f>
        <v>0.093</v>
      </c>
      <c r="G29" s="193" t="n">
        <f aca="false">23</f>
        <v>23</v>
      </c>
      <c r="H29" s="178" t="n">
        <f aca="false">G29/2</f>
        <v>11.5</v>
      </c>
      <c r="J29" s="194" t="s">
        <v>127</v>
      </c>
      <c r="K29" s="195" t="n">
        <f aca="false">K28+0.01</f>
        <v>1.13</v>
      </c>
      <c r="L29" s="196"/>
      <c r="M29" s="197"/>
      <c r="O29" s="203" t="n">
        <v>1.13</v>
      </c>
      <c r="P29" s="199" t="n">
        <v>0.093</v>
      </c>
      <c r="Q29" s="199" t="n">
        <v>0.086</v>
      </c>
      <c r="R29" s="185" t="n">
        <f aca="false">(ABS(P29-Q29)/39)*1000</f>
        <v>0.17948717948718</v>
      </c>
      <c r="S29" s="185" t="n">
        <f aca="false">MAX(R29)</f>
        <v>0.17948717948718</v>
      </c>
      <c r="T29" s="186" t="n">
        <f aca="false">((((S29*12)/1000)))</f>
        <v>0.00215384615384616</v>
      </c>
      <c r="U29" s="186" t="n">
        <f aca="false">(((T29)*1000)/SQRT(3))</f>
        <v>1.24352365671612</v>
      </c>
      <c r="V29" s="186" t="n">
        <f aca="false">(((0.02)*1000)/SQRT(3))</f>
        <v>11.5470053837925</v>
      </c>
      <c r="W29" s="187"/>
    </row>
    <row r="30" customFormat="false" ht="16.5" hidden="false" customHeight="false" outlineLevel="0" collapsed="false">
      <c r="A30" s="173" t="n">
        <f aca="false">D30</f>
        <v>1.14</v>
      </c>
      <c r="B30" s="161" t="n">
        <f aca="false">+B29+1</f>
        <v>26</v>
      </c>
      <c r="C30" s="189" t="s">
        <v>128</v>
      </c>
      <c r="D30" s="190" t="n">
        <v>1.14</v>
      </c>
      <c r="E30" s="191" t="n">
        <v>152</v>
      </c>
      <c r="F30" s="192" t="n">
        <f aca="false">E30/1000</f>
        <v>0.152</v>
      </c>
      <c r="G30" s="193" t="n">
        <f aca="false">23</f>
        <v>23</v>
      </c>
      <c r="H30" s="178" t="n">
        <f aca="false">G30/2</f>
        <v>11.5</v>
      </c>
      <c r="J30" s="194" t="s">
        <v>129</v>
      </c>
      <c r="K30" s="195" t="n">
        <f aca="false">K29+0.01</f>
        <v>1.14</v>
      </c>
      <c r="L30" s="196"/>
      <c r="M30" s="197"/>
      <c r="O30" s="203" t="n">
        <v>1.14</v>
      </c>
      <c r="P30" s="199" t="n">
        <v>0.152</v>
      </c>
      <c r="Q30" s="199" t="n">
        <v>0.143</v>
      </c>
      <c r="R30" s="185" t="n">
        <f aca="false">(ABS(P30-Q30)/39)*1000</f>
        <v>0.230769230769231</v>
      </c>
      <c r="S30" s="185" t="n">
        <f aca="false">MAX(R30)</f>
        <v>0.230769230769231</v>
      </c>
      <c r="T30" s="186" t="n">
        <f aca="false">((((S30*12)/1000)))</f>
        <v>0.00276923076923077</v>
      </c>
      <c r="U30" s="186" t="n">
        <f aca="false">(((T30)*1000)/SQRT(3))</f>
        <v>1.59881613006358</v>
      </c>
      <c r="V30" s="186" t="n">
        <f aca="false">(((0.02)*1000)/SQRT(3))</f>
        <v>11.5470053837925</v>
      </c>
      <c r="W30" s="187"/>
    </row>
    <row r="31" customFormat="false" ht="16.5" hidden="false" customHeight="false" outlineLevel="0" collapsed="false">
      <c r="A31" s="173" t="n">
        <f aca="false">D31</f>
        <v>1.15</v>
      </c>
      <c r="B31" s="161" t="n">
        <f aca="false">+B30+1</f>
        <v>27</v>
      </c>
      <c r="C31" s="189" t="s">
        <v>130</v>
      </c>
      <c r="D31" s="190" t="n">
        <v>1.15</v>
      </c>
      <c r="E31" s="191" t="n">
        <v>163</v>
      </c>
      <c r="F31" s="192" t="n">
        <f aca="false">E31/1000</f>
        <v>0.163</v>
      </c>
      <c r="G31" s="193" t="n">
        <f aca="false">23</f>
        <v>23</v>
      </c>
      <c r="H31" s="178" t="n">
        <f aca="false">G31/2</f>
        <v>11.5</v>
      </c>
      <c r="J31" s="194" t="s">
        <v>131</v>
      </c>
      <c r="K31" s="195" t="n">
        <f aca="false">K30+0.01</f>
        <v>1.15</v>
      </c>
      <c r="L31" s="196"/>
      <c r="M31" s="197"/>
      <c r="O31" s="203" t="n">
        <v>1.15</v>
      </c>
      <c r="P31" s="199" t="n">
        <v>0.163</v>
      </c>
      <c r="Q31" s="199" t="n">
        <v>0.165</v>
      </c>
      <c r="R31" s="185" t="n">
        <f aca="false">(ABS(P31-Q31)/39)*1000</f>
        <v>0.0512820512820513</v>
      </c>
      <c r="S31" s="185" t="n">
        <f aca="false">MAX(R31)</f>
        <v>0.0512820512820513</v>
      </c>
      <c r="T31" s="186" t="n">
        <f aca="false">((((S31*12)/1000)))</f>
        <v>0.000615384615384616</v>
      </c>
      <c r="U31" s="186" t="n">
        <f aca="false">(((T31)*1000)/SQRT(3))</f>
        <v>0.355292473347462</v>
      </c>
      <c r="V31" s="186" t="n">
        <f aca="false">(((0.02)*1000)/SQRT(3))</f>
        <v>11.5470053837925</v>
      </c>
      <c r="W31" s="187"/>
    </row>
    <row r="32" customFormat="false" ht="16.5" hidden="false" customHeight="false" outlineLevel="0" collapsed="false">
      <c r="A32" s="173" t="n">
        <f aca="false">D32</f>
        <v>1.16</v>
      </c>
      <c r="B32" s="161" t="n">
        <f aca="false">+B31+1</f>
        <v>28</v>
      </c>
      <c r="C32" s="189" t="s">
        <v>132</v>
      </c>
      <c r="D32" s="190" t="n">
        <v>1.16</v>
      </c>
      <c r="E32" s="191" t="n">
        <v>6</v>
      </c>
      <c r="F32" s="192" t="n">
        <f aca="false">E32/1000</f>
        <v>0.006</v>
      </c>
      <c r="G32" s="193" t="n">
        <f aca="false">23</f>
        <v>23</v>
      </c>
      <c r="H32" s="178" t="n">
        <f aca="false">G32/2</f>
        <v>11.5</v>
      </c>
      <c r="J32" s="194" t="s">
        <v>133</v>
      </c>
      <c r="K32" s="195" t="n">
        <f aca="false">K31+0.01</f>
        <v>1.16</v>
      </c>
      <c r="L32" s="196"/>
      <c r="M32" s="197"/>
      <c r="O32" s="203" t="n">
        <v>1.16</v>
      </c>
      <c r="P32" s="199" t="n">
        <v>0.006</v>
      </c>
      <c r="Q32" s="199" t="n">
        <v>0.021</v>
      </c>
      <c r="R32" s="185" t="n">
        <f aca="false">(ABS(P32-Q32)/39)*1000</f>
        <v>0.384615384615385</v>
      </c>
      <c r="S32" s="185" t="n">
        <f aca="false">MAX(R32)</f>
        <v>0.384615384615385</v>
      </c>
      <c r="T32" s="186" t="n">
        <f aca="false">((((S32*12)/1000)))</f>
        <v>0.00461538461538462</v>
      </c>
      <c r="U32" s="186" t="n">
        <f aca="false">(((T32)*1000)/SQRT(3))</f>
        <v>2.66469355010597</v>
      </c>
      <c r="V32" s="186" t="n">
        <f aca="false">(((0.02)*1000)/SQRT(3))</f>
        <v>11.5470053837925</v>
      </c>
      <c r="W32" s="187"/>
    </row>
    <row r="33" customFormat="false" ht="16.5" hidden="false" customHeight="false" outlineLevel="0" collapsed="false">
      <c r="A33" s="173" t="n">
        <f aca="false">D33</f>
        <v>1.17</v>
      </c>
      <c r="B33" s="161" t="n">
        <f aca="false">+B32+1</f>
        <v>29</v>
      </c>
      <c r="C33" s="189" t="s">
        <v>134</v>
      </c>
      <c r="D33" s="190" t="n">
        <v>1.17</v>
      </c>
      <c r="E33" s="191" t="n">
        <v>61</v>
      </c>
      <c r="F33" s="192" t="n">
        <f aca="false">E33/1000</f>
        <v>0.061</v>
      </c>
      <c r="G33" s="193" t="n">
        <f aca="false">23</f>
        <v>23</v>
      </c>
      <c r="H33" s="178" t="n">
        <f aca="false">G33/2</f>
        <v>11.5</v>
      </c>
      <c r="J33" s="194" t="s">
        <v>135</v>
      </c>
      <c r="K33" s="195" t="n">
        <f aca="false">K32+0.01</f>
        <v>1.17</v>
      </c>
      <c r="L33" s="196"/>
      <c r="M33" s="197"/>
      <c r="O33" s="203" t="n">
        <v>1.17</v>
      </c>
      <c r="P33" s="199" t="n">
        <v>0.061</v>
      </c>
      <c r="Q33" s="199" t="n">
        <v>0.047</v>
      </c>
      <c r="R33" s="185" t="n">
        <f aca="false">(ABS(P33-Q33)/39)*1000</f>
        <v>0.358974358974359</v>
      </c>
      <c r="S33" s="185" t="n">
        <f aca="false">MAX(R33)</f>
        <v>0.358974358974359</v>
      </c>
      <c r="T33" s="186" t="n">
        <f aca="false">((((S33*12)/1000)))</f>
        <v>0.00430769230769231</v>
      </c>
      <c r="U33" s="186" t="n">
        <f aca="false">(((T33)*1000)/SQRT(3))</f>
        <v>2.48704731343223</v>
      </c>
      <c r="V33" s="186" t="n">
        <f aca="false">(((0.02)*1000)/SQRT(3))</f>
        <v>11.5470053837925</v>
      </c>
      <c r="W33" s="187"/>
    </row>
    <row r="34" customFormat="false" ht="16.5" hidden="false" customHeight="false" outlineLevel="0" collapsed="false">
      <c r="A34" s="173" t="n">
        <f aca="false">D34</f>
        <v>1.18</v>
      </c>
      <c r="B34" s="161" t="n">
        <f aca="false">+B33+1</f>
        <v>30</v>
      </c>
      <c r="C34" s="189" t="s">
        <v>136</v>
      </c>
      <c r="D34" s="190" t="n">
        <v>1.18</v>
      </c>
      <c r="E34" s="191" t="n">
        <v>24</v>
      </c>
      <c r="F34" s="192" t="n">
        <f aca="false">E34/1000</f>
        <v>0.024</v>
      </c>
      <c r="G34" s="193" t="n">
        <f aca="false">23</f>
        <v>23</v>
      </c>
      <c r="H34" s="178" t="n">
        <f aca="false">G34/2</f>
        <v>11.5</v>
      </c>
      <c r="J34" s="194" t="s">
        <v>137</v>
      </c>
      <c r="K34" s="195" t="n">
        <f aca="false">K33+0.01</f>
        <v>1.18</v>
      </c>
      <c r="L34" s="196"/>
      <c r="M34" s="197"/>
      <c r="O34" s="203" t="n">
        <v>1.18</v>
      </c>
      <c r="P34" s="199" t="n">
        <v>0.024</v>
      </c>
      <c r="Q34" s="199" t="n">
        <v>0.01</v>
      </c>
      <c r="R34" s="185" t="n">
        <f aca="false">(ABS(P34-Q34)/39)*1000</f>
        <v>0.358974358974359</v>
      </c>
      <c r="S34" s="185" t="n">
        <f aca="false">MAX(R34)</f>
        <v>0.358974358974359</v>
      </c>
      <c r="T34" s="186" t="n">
        <f aca="false">((((S34*12)/1000)))</f>
        <v>0.00430769230769231</v>
      </c>
      <c r="U34" s="186" t="n">
        <f aca="false">(((T34)*1000)/SQRT(3))</f>
        <v>2.48704731343223</v>
      </c>
      <c r="V34" s="186" t="n">
        <f aca="false">(((0.02)*1000)/SQRT(3))</f>
        <v>11.5470053837925</v>
      </c>
      <c r="W34" s="187"/>
    </row>
    <row r="35" customFormat="false" ht="16.5" hidden="false" customHeight="false" outlineLevel="0" collapsed="false">
      <c r="A35" s="173" t="n">
        <f aca="false">D35</f>
        <v>1.19</v>
      </c>
      <c r="B35" s="161" t="n">
        <f aca="false">+B34+1</f>
        <v>31</v>
      </c>
      <c r="C35" s="189" t="s">
        <v>138</v>
      </c>
      <c r="D35" s="190" t="n">
        <v>1.19</v>
      </c>
      <c r="E35" s="191" t="n">
        <v>-47</v>
      </c>
      <c r="F35" s="192" t="n">
        <f aca="false">E35/1000</f>
        <v>-0.047</v>
      </c>
      <c r="G35" s="193" t="n">
        <f aca="false">23</f>
        <v>23</v>
      </c>
      <c r="H35" s="178" t="n">
        <f aca="false">G35/2</f>
        <v>11.5</v>
      </c>
      <c r="J35" s="194" t="s">
        <v>139</v>
      </c>
      <c r="K35" s="195" t="n">
        <f aca="false">K34+0.01</f>
        <v>1.19</v>
      </c>
      <c r="L35" s="196"/>
      <c r="M35" s="197"/>
      <c r="O35" s="203" t="n">
        <v>1.19</v>
      </c>
      <c r="P35" s="199" t="n">
        <v>-0.047</v>
      </c>
      <c r="Q35" s="199" t="n">
        <v>-0.057</v>
      </c>
      <c r="R35" s="185" t="n">
        <f aca="false">(ABS(P35-Q35)/39)*1000</f>
        <v>0.256410256410256</v>
      </c>
      <c r="S35" s="185" t="n">
        <f aca="false">MAX(R35)</f>
        <v>0.256410256410256</v>
      </c>
      <c r="T35" s="186" t="n">
        <f aca="false">((((S35*12)/1000)))</f>
        <v>0.00307692307692308</v>
      </c>
      <c r="U35" s="186" t="n">
        <f aca="false">(((T35)*1000)/SQRT(3))</f>
        <v>1.77646236673731</v>
      </c>
      <c r="V35" s="186" t="n">
        <f aca="false">(((0.02)*1000)/SQRT(3))</f>
        <v>11.5470053837925</v>
      </c>
      <c r="W35" s="187"/>
    </row>
    <row r="36" customFormat="false" ht="16.5" hidden="false" customHeight="false" outlineLevel="0" collapsed="false">
      <c r="A36" s="173" t="n">
        <f aca="false">D36</f>
        <v>1.2</v>
      </c>
      <c r="B36" s="161" t="n">
        <f aca="false">+B35+1</f>
        <v>32</v>
      </c>
      <c r="C36" s="189" t="s">
        <v>140</v>
      </c>
      <c r="D36" s="204" t="n">
        <v>1.2</v>
      </c>
      <c r="E36" s="191" t="n">
        <v>60</v>
      </c>
      <c r="F36" s="192" t="n">
        <f aca="false">E36/1000</f>
        <v>0.06</v>
      </c>
      <c r="G36" s="193" t="n">
        <f aca="false">23</f>
        <v>23</v>
      </c>
      <c r="H36" s="178" t="n">
        <f aca="false">G36/2</f>
        <v>11.5</v>
      </c>
      <c r="J36" s="194" t="s">
        <v>141</v>
      </c>
      <c r="K36" s="205" t="n">
        <f aca="false">K35+0.01</f>
        <v>1.2</v>
      </c>
      <c r="L36" s="196"/>
      <c r="M36" s="197"/>
      <c r="O36" s="203" t="n">
        <v>1.2</v>
      </c>
      <c r="P36" s="199" t="n">
        <v>0.06</v>
      </c>
      <c r="Q36" s="199" t="n">
        <v>0.071</v>
      </c>
      <c r="R36" s="185" t="n">
        <f aca="false">(ABS(P36-Q36)/39)*1000</f>
        <v>0.282051282051282</v>
      </c>
      <c r="S36" s="185" t="n">
        <f aca="false">MAX(R36)</f>
        <v>0.282051282051282</v>
      </c>
      <c r="T36" s="186" t="n">
        <f aca="false">((((S36*12)/1000)))</f>
        <v>0.00338461538461538</v>
      </c>
      <c r="U36" s="186" t="n">
        <f aca="false">(((T36)*1000)/SQRT(3))</f>
        <v>1.95410860341104</v>
      </c>
      <c r="V36" s="186" t="n">
        <f aca="false">(((0.02)*1000)/SQRT(3))</f>
        <v>11.5470053837925</v>
      </c>
      <c r="W36" s="187"/>
    </row>
    <row r="37" customFormat="false" ht="16.5" hidden="false" customHeight="false" outlineLevel="0" collapsed="false">
      <c r="A37" s="173" t="n">
        <f aca="false">D37</f>
        <v>1.21</v>
      </c>
      <c r="B37" s="161" t="n">
        <f aca="false">+B36+1</f>
        <v>33</v>
      </c>
      <c r="C37" s="189" t="s">
        <v>142</v>
      </c>
      <c r="D37" s="190" t="n">
        <v>1.21</v>
      </c>
      <c r="E37" s="191" t="n">
        <v>69</v>
      </c>
      <c r="F37" s="192" t="n">
        <f aca="false">E37/1000</f>
        <v>0.069</v>
      </c>
      <c r="G37" s="193" t="n">
        <f aca="false">23</f>
        <v>23</v>
      </c>
      <c r="H37" s="178" t="n">
        <f aca="false">G37/2</f>
        <v>11.5</v>
      </c>
      <c r="J37" s="194" t="s">
        <v>143</v>
      </c>
      <c r="K37" s="195" t="n">
        <f aca="false">K36+0.01</f>
        <v>1.21</v>
      </c>
      <c r="L37" s="196"/>
      <c r="M37" s="197"/>
      <c r="O37" s="203" t="n">
        <v>1.21</v>
      </c>
      <c r="P37" s="199" t="n">
        <v>0.069</v>
      </c>
      <c r="Q37" s="199" t="n">
        <v>0.05</v>
      </c>
      <c r="R37" s="185" t="n">
        <f aca="false">(ABS(P37-Q37)/39)*1000</f>
        <v>0.487179487179487</v>
      </c>
      <c r="S37" s="185" t="n">
        <f aca="false">MAX(R37)</f>
        <v>0.487179487179487</v>
      </c>
      <c r="T37" s="186" t="n">
        <f aca="false">((((S37*12)/1000)))</f>
        <v>0.00584615384615385</v>
      </c>
      <c r="U37" s="186" t="n">
        <f aca="false">(((T37)*1000)/SQRT(3))</f>
        <v>3.37527849680089</v>
      </c>
      <c r="V37" s="186" t="n">
        <f aca="false">(((0.02)*1000)/SQRT(3))</f>
        <v>11.5470053837925</v>
      </c>
      <c r="W37" s="187"/>
    </row>
    <row r="38" customFormat="false" ht="16.5" hidden="false" customHeight="false" outlineLevel="0" collapsed="false">
      <c r="A38" s="173" t="n">
        <f aca="false">D38</f>
        <v>1.22</v>
      </c>
      <c r="B38" s="161" t="n">
        <f aca="false">+B37+1</f>
        <v>34</v>
      </c>
      <c r="C38" s="189" t="s">
        <v>144</v>
      </c>
      <c r="D38" s="190" t="n">
        <v>1.22</v>
      </c>
      <c r="E38" s="191" t="n">
        <v>50</v>
      </c>
      <c r="F38" s="192" t="n">
        <f aca="false">E38/1000</f>
        <v>0.05</v>
      </c>
      <c r="G38" s="193" t="n">
        <f aca="false">23</f>
        <v>23</v>
      </c>
      <c r="H38" s="178" t="n">
        <f aca="false">G38/2</f>
        <v>11.5</v>
      </c>
      <c r="J38" s="194" t="s">
        <v>145</v>
      </c>
      <c r="K38" s="195" t="n">
        <f aca="false">K37+0.01</f>
        <v>1.22</v>
      </c>
      <c r="L38" s="196"/>
      <c r="M38" s="197"/>
      <c r="O38" s="203" t="n">
        <v>1.22</v>
      </c>
      <c r="P38" s="199" t="n">
        <v>0.05</v>
      </c>
      <c r="Q38" s="199" t="n">
        <v>0.041</v>
      </c>
      <c r="R38" s="185" t="n">
        <f aca="false">(ABS(P38-Q38)/39)*1000</f>
        <v>0.230769230769231</v>
      </c>
      <c r="S38" s="185" t="n">
        <f aca="false">MAX(R38)</f>
        <v>0.230769230769231</v>
      </c>
      <c r="T38" s="186" t="n">
        <f aca="false">((((S38*12)/1000)))</f>
        <v>0.00276923076923077</v>
      </c>
      <c r="U38" s="186" t="n">
        <f aca="false">(((T38)*1000)/SQRT(3))</f>
        <v>1.59881613006358</v>
      </c>
      <c r="V38" s="186" t="n">
        <f aca="false">(((0.02)*1000)/SQRT(3))</f>
        <v>11.5470053837925</v>
      </c>
      <c r="W38" s="187"/>
    </row>
    <row r="39" customFormat="false" ht="16.5" hidden="false" customHeight="false" outlineLevel="0" collapsed="false">
      <c r="A39" s="173" t="n">
        <f aca="false">D39</f>
        <v>1.23</v>
      </c>
      <c r="B39" s="161" t="n">
        <f aca="false">+B38+1</f>
        <v>35</v>
      </c>
      <c r="C39" s="189" t="s">
        <v>146</v>
      </c>
      <c r="D39" s="190" t="n">
        <v>1.23</v>
      </c>
      <c r="E39" s="191" t="n">
        <v>48</v>
      </c>
      <c r="F39" s="192" t="n">
        <f aca="false">E39/1000</f>
        <v>0.048</v>
      </c>
      <c r="G39" s="193" t="n">
        <f aca="false">23</f>
        <v>23</v>
      </c>
      <c r="H39" s="178" t="n">
        <f aca="false">G39/2</f>
        <v>11.5</v>
      </c>
      <c r="J39" s="194" t="s">
        <v>147</v>
      </c>
      <c r="K39" s="195" t="n">
        <f aca="false">K38+0.01</f>
        <v>1.23</v>
      </c>
      <c r="L39" s="196"/>
      <c r="M39" s="197"/>
      <c r="O39" s="203" t="n">
        <v>1.23</v>
      </c>
      <c r="P39" s="199" t="n">
        <v>0.048</v>
      </c>
      <c r="Q39" s="199" t="n">
        <v>0.06</v>
      </c>
      <c r="R39" s="185" t="n">
        <f aca="false">(ABS(P39-Q39)/39)*1000</f>
        <v>0.307692307692308</v>
      </c>
      <c r="S39" s="185" t="n">
        <f aca="false">MAX(R39)</f>
        <v>0.307692307692308</v>
      </c>
      <c r="T39" s="186" t="n">
        <f aca="false">((((S39*12)/1000)))</f>
        <v>0.00369230769230769</v>
      </c>
      <c r="U39" s="186" t="n">
        <f aca="false">(((T39)*1000)/SQRT(3))</f>
        <v>2.13175484008477</v>
      </c>
      <c r="V39" s="186" t="n">
        <f aca="false">(((0.02)*1000)/SQRT(3))</f>
        <v>11.5470053837925</v>
      </c>
      <c r="W39" s="187"/>
    </row>
    <row r="40" customFormat="false" ht="16.5" hidden="false" customHeight="false" outlineLevel="0" collapsed="false">
      <c r="A40" s="173" t="n">
        <f aca="false">D40</f>
        <v>1.24</v>
      </c>
      <c r="B40" s="161" t="n">
        <f aca="false">+B39+1</f>
        <v>36</v>
      </c>
      <c r="C40" s="189" t="s">
        <v>148</v>
      </c>
      <c r="D40" s="190" t="n">
        <v>1.24</v>
      </c>
      <c r="E40" s="191" t="n">
        <v>79</v>
      </c>
      <c r="F40" s="192" t="n">
        <f aca="false">E40/1000</f>
        <v>0.079</v>
      </c>
      <c r="G40" s="193" t="n">
        <f aca="false">23</f>
        <v>23</v>
      </c>
      <c r="H40" s="178" t="n">
        <f aca="false">G40/2</f>
        <v>11.5</v>
      </c>
      <c r="J40" s="194" t="s">
        <v>149</v>
      </c>
      <c r="K40" s="195" t="n">
        <f aca="false">K39+0.01</f>
        <v>1.24</v>
      </c>
      <c r="L40" s="196"/>
      <c r="M40" s="197"/>
      <c r="O40" s="203" t="n">
        <v>1.24</v>
      </c>
      <c r="P40" s="199" t="n">
        <v>0.079</v>
      </c>
      <c r="Q40" s="199" t="n">
        <v>0.088</v>
      </c>
      <c r="R40" s="185" t="n">
        <f aca="false">(ABS(P40-Q40)/39)*1000</f>
        <v>0.230769230769231</v>
      </c>
      <c r="S40" s="185" t="n">
        <f aca="false">MAX(R40)</f>
        <v>0.230769230769231</v>
      </c>
      <c r="T40" s="186" t="n">
        <f aca="false">((((S40*12)/1000)))</f>
        <v>0.00276923076923077</v>
      </c>
      <c r="U40" s="186" t="n">
        <f aca="false">(((T40)*1000)/SQRT(3))</f>
        <v>1.59881613006358</v>
      </c>
      <c r="V40" s="186" t="n">
        <f aca="false">(((0.02)*1000)/SQRT(3))</f>
        <v>11.5470053837925</v>
      </c>
      <c r="W40" s="187"/>
    </row>
    <row r="41" customFormat="false" ht="16.5" hidden="false" customHeight="false" outlineLevel="0" collapsed="false">
      <c r="A41" s="173" t="n">
        <f aca="false">D41</f>
        <v>1.25</v>
      </c>
      <c r="B41" s="161" t="n">
        <f aca="false">+B40+1</f>
        <v>37</v>
      </c>
      <c r="C41" s="189" t="s">
        <v>150</v>
      </c>
      <c r="D41" s="190" t="n">
        <v>1.25</v>
      </c>
      <c r="E41" s="191" t="n">
        <v>64</v>
      </c>
      <c r="F41" s="192" t="n">
        <f aca="false">E41/1000</f>
        <v>0.064</v>
      </c>
      <c r="G41" s="193" t="n">
        <f aca="false">23</f>
        <v>23</v>
      </c>
      <c r="H41" s="178" t="n">
        <f aca="false">G41/2</f>
        <v>11.5</v>
      </c>
      <c r="J41" s="194" t="s">
        <v>151</v>
      </c>
      <c r="K41" s="195" t="n">
        <f aca="false">K40+0.01</f>
        <v>1.25</v>
      </c>
      <c r="L41" s="196"/>
      <c r="M41" s="197"/>
      <c r="O41" s="203" t="n">
        <v>1.25</v>
      </c>
      <c r="P41" s="199" t="n">
        <v>0.064</v>
      </c>
      <c r="Q41" s="199" t="n">
        <v>0.067</v>
      </c>
      <c r="R41" s="185" t="n">
        <f aca="false">(ABS(P41-Q41)/39)*1000</f>
        <v>0.076923076923077</v>
      </c>
      <c r="S41" s="185" t="n">
        <f aca="false">MAX(R41)</f>
        <v>0.076923076923077</v>
      </c>
      <c r="T41" s="186" t="n">
        <f aca="false">((((S41*12)/1000)))</f>
        <v>0.000923076923076924</v>
      </c>
      <c r="U41" s="186" t="n">
        <f aca="false">(((T41)*1000)/SQRT(3))</f>
        <v>0.532938710021194</v>
      </c>
      <c r="V41" s="186" t="n">
        <f aca="false">(((0.02)*1000)/SQRT(3))</f>
        <v>11.5470053837925</v>
      </c>
      <c r="W41" s="187"/>
    </row>
    <row r="42" customFormat="false" ht="16.5" hidden="false" customHeight="false" outlineLevel="0" collapsed="false">
      <c r="A42" s="173" t="n">
        <f aca="false">D42</f>
        <v>1.26</v>
      </c>
      <c r="B42" s="161" t="n">
        <f aca="false">+B41+1</f>
        <v>38</v>
      </c>
      <c r="C42" s="189" t="s">
        <v>152</v>
      </c>
      <c r="D42" s="190" t="n">
        <v>1.26</v>
      </c>
      <c r="E42" s="191" t="n">
        <v>58</v>
      </c>
      <c r="F42" s="192" t="n">
        <f aca="false">E42/1000</f>
        <v>0.058</v>
      </c>
      <c r="G42" s="193" t="n">
        <f aca="false">23</f>
        <v>23</v>
      </c>
      <c r="H42" s="178" t="n">
        <f aca="false">G42/2</f>
        <v>11.5</v>
      </c>
      <c r="J42" s="194" t="s">
        <v>153</v>
      </c>
      <c r="K42" s="195" t="n">
        <f aca="false">K41+0.01</f>
        <v>1.26</v>
      </c>
      <c r="L42" s="196"/>
      <c r="M42" s="197"/>
      <c r="O42" s="203" t="n">
        <v>1.26</v>
      </c>
      <c r="P42" s="199" t="n">
        <v>0.058</v>
      </c>
      <c r="Q42" s="199" t="n">
        <v>0.088</v>
      </c>
      <c r="R42" s="185" t="n">
        <f aca="false">(ABS(P42-Q42)/39)*1000</f>
        <v>0.769230769230769</v>
      </c>
      <c r="S42" s="185" t="n">
        <f aca="false">MAX(R42)</f>
        <v>0.769230769230769</v>
      </c>
      <c r="T42" s="186" t="n">
        <f aca="false">((((S42*12)/1000)))</f>
        <v>0.00923076923076923</v>
      </c>
      <c r="U42" s="186" t="n">
        <f aca="false">(((T42)*1000)/SQRT(3))</f>
        <v>5.32938710021193</v>
      </c>
      <c r="V42" s="186" t="n">
        <f aca="false">(((0.02)*1000)/SQRT(3))</f>
        <v>11.5470053837925</v>
      </c>
      <c r="W42" s="187"/>
    </row>
    <row r="43" customFormat="false" ht="16.5" hidden="false" customHeight="false" outlineLevel="0" collapsed="false">
      <c r="A43" s="173" t="n">
        <f aca="false">D43</f>
        <v>1.27</v>
      </c>
      <c r="B43" s="161" t="n">
        <f aca="false">+B42+1</f>
        <v>39</v>
      </c>
      <c r="C43" s="189" t="s">
        <v>154</v>
      </c>
      <c r="D43" s="190" t="n">
        <v>1.27</v>
      </c>
      <c r="E43" s="191" t="n">
        <v>109</v>
      </c>
      <c r="F43" s="192" t="n">
        <f aca="false">E43/1000</f>
        <v>0.109</v>
      </c>
      <c r="G43" s="193" t="n">
        <f aca="false">23</f>
        <v>23</v>
      </c>
      <c r="H43" s="178" t="n">
        <f aca="false">G43/2</f>
        <v>11.5</v>
      </c>
      <c r="J43" s="194" t="s">
        <v>155</v>
      </c>
      <c r="K43" s="195" t="n">
        <f aca="false">K42+0.01</f>
        <v>1.27</v>
      </c>
      <c r="L43" s="196"/>
      <c r="M43" s="197"/>
      <c r="O43" s="203" t="n">
        <v>1.27</v>
      </c>
      <c r="P43" s="199" t="n">
        <v>0.109</v>
      </c>
      <c r="Q43" s="199" t="n">
        <v>0.12</v>
      </c>
      <c r="R43" s="185" t="n">
        <f aca="false">(ABS(P43-Q43)/39)*1000</f>
        <v>0.282051282051282</v>
      </c>
      <c r="S43" s="185" t="n">
        <f aca="false">MAX(R43)</f>
        <v>0.282051282051282</v>
      </c>
      <c r="T43" s="186" t="n">
        <f aca="false">((((S43*12)/1000)))</f>
        <v>0.00338461538461538</v>
      </c>
      <c r="U43" s="186" t="n">
        <f aca="false">(((T43)*1000)/SQRT(3))</f>
        <v>1.95410860341104</v>
      </c>
      <c r="V43" s="186" t="n">
        <f aca="false">(((0.02)*1000)/SQRT(3))</f>
        <v>11.5470053837925</v>
      </c>
      <c r="W43" s="187"/>
    </row>
    <row r="44" customFormat="false" ht="16.5" hidden="false" customHeight="false" outlineLevel="0" collapsed="false">
      <c r="A44" s="173" t="n">
        <f aca="false">D44</f>
        <v>1.28</v>
      </c>
      <c r="B44" s="161" t="n">
        <f aca="false">+B43+1</f>
        <v>40</v>
      </c>
      <c r="C44" s="189" t="s">
        <v>156</v>
      </c>
      <c r="D44" s="190" t="n">
        <v>1.28</v>
      </c>
      <c r="E44" s="191" t="n">
        <v>-18</v>
      </c>
      <c r="F44" s="192" t="n">
        <f aca="false">E44/1000</f>
        <v>-0.018</v>
      </c>
      <c r="G44" s="193" t="n">
        <f aca="false">23</f>
        <v>23</v>
      </c>
      <c r="H44" s="178" t="n">
        <f aca="false">G44/2</f>
        <v>11.5</v>
      </c>
      <c r="J44" s="194" t="s">
        <v>157</v>
      </c>
      <c r="K44" s="195" t="n">
        <f aca="false">K43+0.01</f>
        <v>1.28</v>
      </c>
      <c r="L44" s="196"/>
      <c r="M44" s="197"/>
      <c r="O44" s="203" t="n">
        <v>1.28</v>
      </c>
      <c r="P44" s="199" t="n">
        <v>-0.018</v>
      </c>
      <c r="Q44" s="199" t="n">
        <v>-0.027</v>
      </c>
      <c r="R44" s="185" t="n">
        <f aca="false">(ABS(P44-Q44)/39)*1000</f>
        <v>0.230769230769231</v>
      </c>
      <c r="S44" s="185" t="n">
        <f aca="false">MAX(R44)</f>
        <v>0.230769230769231</v>
      </c>
      <c r="T44" s="186" t="n">
        <f aca="false">((((S44*12)/1000)))</f>
        <v>0.00276923076923077</v>
      </c>
      <c r="U44" s="186" t="n">
        <f aca="false">(((T44)*1000)/SQRT(3))</f>
        <v>1.59881613006358</v>
      </c>
      <c r="V44" s="186" t="n">
        <f aca="false">(((0.02)*1000)/SQRT(3))</f>
        <v>11.5470053837925</v>
      </c>
      <c r="W44" s="187"/>
    </row>
    <row r="45" customFormat="false" ht="16.5" hidden="false" customHeight="false" outlineLevel="0" collapsed="false">
      <c r="A45" s="173" t="n">
        <f aca="false">D45</f>
        <v>1.29</v>
      </c>
      <c r="B45" s="161" t="n">
        <f aca="false">+B44+1</f>
        <v>41</v>
      </c>
      <c r="C45" s="189" t="s">
        <v>158</v>
      </c>
      <c r="D45" s="190" t="n">
        <v>1.29</v>
      </c>
      <c r="E45" s="191" t="n">
        <v>-16</v>
      </c>
      <c r="F45" s="192" t="n">
        <f aca="false">E45/1000</f>
        <v>-0.016</v>
      </c>
      <c r="G45" s="193" t="n">
        <f aca="false">23</f>
        <v>23</v>
      </c>
      <c r="H45" s="178" t="n">
        <f aca="false">G45/2</f>
        <v>11.5</v>
      </c>
      <c r="J45" s="194" t="s">
        <v>159</v>
      </c>
      <c r="K45" s="195" t="n">
        <f aca="false">K44+0.01</f>
        <v>1.29</v>
      </c>
      <c r="L45" s="196"/>
      <c r="M45" s="197"/>
      <c r="O45" s="203" t="n">
        <v>1.29</v>
      </c>
      <c r="P45" s="199" t="n">
        <v>-0.016</v>
      </c>
      <c r="Q45" s="199" t="n">
        <v>-0.024</v>
      </c>
      <c r="R45" s="185" t="n">
        <f aca="false">(ABS(P45-Q45)/39)*1000</f>
        <v>0.205128205128205</v>
      </c>
      <c r="S45" s="185" t="n">
        <f aca="false">MAX(R45)</f>
        <v>0.205128205128205</v>
      </c>
      <c r="T45" s="186" t="n">
        <f aca="false">((((S45*12)/1000)))</f>
        <v>0.00246153846153846</v>
      </c>
      <c r="U45" s="186" t="n">
        <f aca="false">(((T45)*1000)/SQRT(3))</f>
        <v>1.42116989338985</v>
      </c>
      <c r="V45" s="186" t="n">
        <f aca="false">(((0.02)*1000)/SQRT(3))</f>
        <v>11.5470053837925</v>
      </c>
      <c r="W45" s="187"/>
    </row>
    <row r="46" customFormat="false" ht="16.5" hidden="false" customHeight="false" outlineLevel="0" collapsed="false">
      <c r="A46" s="173" t="n">
        <f aca="false">D46</f>
        <v>1.3</v>
      </c>
      <c r="B46" s="161" t="n">
        <f aca="false">+B45+1</f>
        <v>42</v>
      </c>
      <c r="C46" s="189" t="s">
        <v>160</v>
      </c>
      <c r="D46" s="204" t="n">
        <v>1.3</v>
      </c>
      <c r="E46" s="191" t="n">
        <v>-40</v>
      </c>
      <c r="F46" s="192" t="n">
        <f aca="false">E46/1000</f>
        <v>-0.04</v>
      </c>
      <c r="G46" s="193" t="n">
        <f aca="false">23</f>
        <v>23</v>
      </c>
      <c r="H46" s="178" t="n">
        <f aca="false">G46/2</f>
        <v>11.5</v>
      </c>
      <c r="J46" s="194" t="s">
        <v>161</v>
      </c>
      <c r="K46" s="205" t="n">
        <f aca="false">K45+0.01</f>
        <v>1.3</v>
      </c>
      <c r="L46" s="196"/>
      <c r="M46" s="197"/>
      <c r="O46" s="203" t="n">
        <v>1.3</v>
      </c>
      <c r="P46" s="199" t="n">
        <v>-0.04</v>
      </c>
      <c r="Q46" s="199" t="n">
        <v>-0.033</v>
      </c>
      <c r="R46" s="185" t="n">
        <f aca="false">(ABS(P46-Q46)/39)*1000</f>
        <v>0.179487179487179</v>
      </c>
      <c r="S46" s="185" t="n">
        <f aca="false">MAX(R46)</f>
        <v>0.179487179487179</v>
      </c>
      <c r="T46" s="186" t="n">
        <f aca="false">((((S46*12)/1000)))</f>
        <v>0.00215384615384615</v>
      </c>
      <c r="U46" s="186" t="n">
        <f aca="false">(((T46)*1000)/SQRT(3))</f>
        <v>1.24352365671612</v>
      </c>
      <c r="V46" s="186" t="n">
        <f aca="false">(((0.02)*1000)/SQRT(3))</f>
        <v>11.5470053837925</v>
      </c>
      <c r="W46" s="187"/>
    </row>
    <row r="47" customFormat="false" ht="16.5" hidden="false" customHeight="false" outlineLevel="0" collapsed="false">
      <c r="A47" s="173" t="n">
        <f aca="false">D47</f>
        <v>1.31</v>
      </c>
      <c r="B47" s="161" t="n">
        <f aca="false">+B46+1</f>
        <v>43</v>
      </c>
      <c r="C47" s="189" t="s">
        <v>162</v>
      </c>
      <c r="D47" s="190" t="n">
        <v>1.31</v>
      </c>
      <c r="E47" s="191" t="n">
        <v>89</v>
      </c>
      <c r="F47" s="192" t="n">
        <f aca="false">E47/1000</f>
        <v>0.089</v>
      </c>
      <c r="G47" s="193" t="n">
        <f aca="false">23</f>
        <v>23</v>
      </c>
      <c r="H47" s="178" t="n">
        <f aca="false">G47/2</f>
        <v>11.5</v>
      </c>
      <c r="J47" s="194" t="s">
        <v>163</v>
      </c>
      <c r="K47" s="195" t="n">
        <f aca="false">K46+0.01</f>
        <v>1.31</v>
      </c>
      <c r="L47" s="196"/>
      <c r="M47" s="197"/>
      <c r="O47" s="203" t="n">
        <v>1.31</v>
      </c>
      <c r="P47" s="199" t="n">
        <v>0.089</v>
      </c>
      <c r="Q47" s="199" t="n">
        <v>0.067</v>
      </c>
      <c r="R47" s="185" t="n">
        <f aca="false">(ABS(P47-Q47)/39)*1000</f>
        <v>0.564102564102564</v>
      </c>
      <c r="S47" s="185" t="n">
        <f aca="false">MAX(R47)</f>
        <v>0.564102564102564</v>
      </c>
      <c r="T47" s="186" t="n">
        <f aca="false">((((S47*12)/1000)))</f>
        <v>0.00676923076923077</v>
      </c>
      <c r="U47" s="186" t="n">
        <f aca="false">(((T47)*1000)/SQRT(3))</f>
        <v>3.90821720682208</v>
      </c>
      <c r="V47" s="186" t="n">
        <f aca="false">(((0.02)*1000)/SQRT(3))</f>
        <v>11.5470053837925</v>
      </c>
      <c r="W47" s="187"/>
    </row>
    <row r="48" customFormat="false" ht="16.5" hidden="false" customHeight="false" outlineLevel="0" collapsed="false">
      <c r="A48" s="173" t="n">
        <f aca="false">D48</f>
        <v>1.32</v>
      </c>
      <c r="B48" s="161" t="n">
        <f aca="false">+B47+1</f>
        <v>44</v>
      </c>
      <c r="C48" s="189" t="s">
        <v>164</v>
      </c>
      <c r="D48" s="190" t="n">
        <v>1.32</v>
      </c>
      <c r="E48" s="191" t="n">
        <v>87</v>
      </c>
      <c r="F48" s="192" t="n">
        <f aca="false">E48/1000</f>
        <v>0.087</v>
      </c>
      <c r="G48" s="193" t="n">
        <f aca="false">23</f>
        <v>23</v>
      </c>
      <c r="H48" s="178" t="n">
        <f aca="false">G48/2</f>
        <v>11.5</v>
      </c>
      <c r="J48" s="194" t="s">
        <v>165</v>
      </c>
      <c r="K48" s="195" t="n">
        <f aca="false">K47+0.01</f>
        <v>1.32</v>
      </c>
      <c r="L48" s="196"/>
      <c r="M48" s="197"/>
      <c r="O48" s="203" t="n">
        <v>1.32</v>
      </c>
      <c r="P48" s="199" t="n">
        <v>0.087</v>
      </c>
      <c r="Q48" s="199" t="n">
        <v>0.088</v>
      </c>
      <c r="R48" s="185" t="n">
        <f aca="false">(ABS(P48-Q48)/39)*1000</f>
        <v>0.0256410256410257</v>
      </c>
      <c r="S48" s="185" t="n">
        <f aca="false">MAX(R48)</f>
        <v>0.0256410256410257</v>
      </c>
      <c r="T48" s="186" t="n">
        <f aca="false">((((S48*12)/1000)))</f>
        <v>0.000307692307692308</v>
      </c>
      <c r="U48" s="186" t="n">
        <f aca="false">(((T48)*1000)/SQRT(3))</f>
        <v>0.177646236673731</v>
      </c>
      <c r="V48" s="186" t="n">
        <f aca="false">(((0.02)*1000)/SQRT(3))</f>
        <v>11.5470053837925</v>
      </c>
      <c r="W48" s="187"/>
    </row>
    <row r="49" customFormat="false" ht="16.5" hidden="false" customHeight="false" outlineLevel="0" collapsed="false">
      <c r="A49" s="173" t="n">
        <f aca="false">D49</f>
        <v>1.33</v>
      </c>
      <c r="B49" s="161" t="n">
        <f aca="false">+B48+1</f>
        <v>45</v>
      </c>
      <c r="C49" s="189" t="s">
        <v>166</v>
      </c>
      <c r="D49" s="190" t="n">
        <v>1.33</v>
      </c>
      <c r="E49" s="191" t="n">
        <v>-28</v>
      </c>
      <c r="F49" s="192" t="n">
        <f aca="false">E49/1000</f>
        <v>-0.028</v>
      </c>
      <c r="G49" s="193" t="n">
        <f aca="false">23</f>
        <v>23</v>
      </c>
      <c r="H49" s="178" t="n">
        <f aca="false">G49/2</f>
        <v>11.5</v>
      </c>
      <c r="J49" s="194" t="s">
        <v>167</v>
      </c>
      <c r="K49" s="195" t="n">
        <f aca="false">K48+0.01</f>
        <v>1.33</v>
      </c>
      <c r="L49" s="196"/>
      <c r="M49" s="197"/>
      <c r="O49" s="203" t="n">
        <v>1.33</v>
      </c>
      <c r="P49" s="199" t="n">
        <v>-0.028</v>
      </c>
      <c r="Q49" s="199" t="n">
        <v>-0.038</v>
      </c>
      <c r="R49" s="185" t="n">
        <f aca="false">(ABS(P49-Q49)/39)*1000</f>
        <v>0.256410256410256</v>
      </c>
      <c r="S49" s="185" t="n">
        <f aca="false">MAX(R49)</f>
        <v>0.256410256410256</v>
      </c>
      <c r="T49" s="186" t="n">
        <f aca="false">((((S49*12)/1000)))</f>
        <v>0.00307692307692308</v>
      </c>
      <c r="U49" s="186" t="n">
        <f aca="false">(((T49)*1000)/SQRT(3))</f>
        <v>1.77646236673731</v>
      </c>
      <c r="V49" s="186" t="n">
        <f aca="false">(((0.02)*1000)/SQRT(3))</f>
        <v>11.5470053837925</v>
      </c>
      <c r="W49" s="187"/>
    </row>
    <row r="50" customFormat="false" ht="16.5" hidden="false" customHeight="false" outlineLevel="0" collapsed="false">
      <c r="A50" s="173" t="n">
        <f aca="false">D50</f>
        <v>1.34</v>
      </c>
      <c r="B50" s="161" t="n">
        <f aca="false">+B49+1</f>
        <v>46</v>
      </c>
      <c r="C50" s="189" t="s">
        <v>168</v>
      </c>
      <c r="D50" s="190" t="n">
        <v>1.34</v>
      </c>
      <c r="E50" s="191" t="n">
        <v>57</v>
      </c>
      <c r="F50" s="192" t="n">
        <f aca="false">E50/1000</f>
        <v>0.057</v>
      </c>
      <c r="G50" s="193" t="n">
        <f aca="false">23</f>
        <v>23</v>
      </c>
      <c r="H50" s="178" t="n">
        <f aca="false">G50/2</f>
        <v>11.5</v>
      </c>
      <c r="J50" s="194" t="s">
        <v>169</v>
      </c>
      <c r="K50" s="195" t="n">
        <f aca="false">K49+0.01</f>
        <v>1.34</v>
      </c>
      <c r="L50" s="196"/>
      <c r="M50" s="197"/>
      <c r="O50" s="203" t="n">
        <v>1.34</v>
      </c>
      <c r="P50" s="199" t="n">
        <v>0.057</v>
      </c>
      <c r="Q50" s="199" t="n">
        <v>0.051</v>
      </c>
      <c r="R50" s="185" t="n">
        <f aca="false">(ABS(P50-Q50)/39)*1000</f>
        <v>0.153846153846154</v>
      </c>
      <c r="S50" s="185" t="n">
        <f aca="false">MAX(R50)</f>
        <v>0.153846153846154</v>
      </c>
      <c r="T50" s="186" t="n">
        <f aca="false">((((S50*12)/1000)))</f>
        <v>0.00184615384615385</v>
      </c>
      <c r="U50" s="186" t="n">
        <f aca="false">(((T50)*1000)/SQRT(3))</f>
        <v>1.06587742004239</v>
      </c>
      <c r="V50" s="186" t="n">
        <f aca="false">(((0.02)*1000)/SQRT(3))</f>
        <v>11.5470053837925</v>
      </c>
      <c r="W50" s="187"/>
    </row>
    <row r="51" customFormat="false" ht="16.5" hidden="false" customHeight="false" outlineLevel="0" collapsed="false">
      <c r="A51" s="173" t="n">
        <f aca="false">D51</f>
        <v>1.35</v>
      </c>
      <c r="B51" s="161" t="n">
        <f aca="false">+B50+1</f>
        <v>47</v>
      </c>
      <c r="C51" s="189" t="s">
        <v>170</v>
      </c>
      <c r="D51" s="190" t="n">
        <v>1.35</v>
      </c>
      <c r="E51" s="191" t="n">
        <v>133</v>
      </c>
      <c r="F51" s="192" t="n">
        <f aca="false">E51/1000</f>
        <v>0.133</v>
      </c>
      <c r="G51" s="193" t="n">
        <f aca="false">23</f>
        <v>23</v>
      </c>
      <c r="H51" s="178" t="n">
        <f aca="false">G51/2</f>
        <v>11.5</v>
      </c>
      <c r="J51" s="194" t="s">
        <v>171</v>
      </c>
      <c r="K51" s="195" t="n">
        <f aca="false">K50+0.01</f>
        <v>1.35</v>
      </c>
      <c r="L51" s="196"/>
      <c r="M51" s="197"/>
      <c r="O51" s="203" t="n">
        <v>1.35</v>
      </c>
      <c r="P51" s="199" t="n">
        <v>0.133</v>
      </c>
      <c r="Q51" s="199" t="n">
        <v>0.139</v>
      </c>
      <c r="R51" s="185" t="n">
        <f aca="false">(ABS(P51-Q51)/39)*1000</f>
        <v>0.153846153846154</v>
      </c>
      <c r="S51" s="185" t="n">
        <f aca="false">MAX(R51)</f>
        <v>0.153846153846154</v>
      </c>
      <c r="T51" s="186" t="n">
        <f aca="false">((((S51*12)/1000)))</f>
        <v>0.00184615384615385</v>
      </c>
      <c r="U51" s="186" t="n">
        <f aca="false">(((T51)*1000)/SQRT(3))</f>
        <v>1.06587742004239</v>
      </c>
      <c r="V51" s="186" t="n">
        <f aca="false">(((0.02)*1000)/SQRT(3))</f>
        <v>11.5470053837925</v>
      </c>
      <c r="W51" s="187"/>
    </row>
    <row r="52" customFormat="false" ht="16.5" hidden="false" customHeight="false" outlineLevel="0" collapsed="false">
      <c r="A52" s="173" t="n">
        <f aca="false">D52</f>
        <v>1.36</v>
      </c>
      <c r="B52" s="161" t="n">
        <f aca="false">+B51+1</f>
        <v>48</v>
      </c>
      <c r="C52" s="189" t="s">
        <v>172</v>
      </c>
      <c r="D52" s="190" t="n">
        <v>1.36</v>
      </c>
      <c r="E52" s="191" t="n">
        <v>-47</v>
      </c>
      <c r="F52" s="192" t="n">
        <f aca="false">E52/1000</f>
        <v>-0.047</v>
      </c>
      <c r="G52" s="193" t="n">
        <f aca="false">23</f>
        <v>23</v>
      </c>
      <c r="H52" s="178" t="n">
        <f aca="false">G52/2</f>
        <v>11.5</v>
      </c>
      <c r="J52" s="194" t="s">
        <v>173</v>
      </c>
      <c r="K52" s="195" t="n">
        <f aca="false">K51+0.01</f>
        <v>1.36</v>
      </c>
      <c r="L52" s="196"/>
      <c r="M52" s="197"/>
      <c r="O52" s="203" t="n">
        <v>1.36</v>
      </c>
      <c r="P52" s="199" t="n">
        <v>-0.047</v>
      </c>
      <c r="Q52" s="199" t="n">
        <v>-0.065</v>
      </c>
      <c r="R52" s="185" t="n">
        <f aca="false">(ABS(P52-Q52)/39)*1000</f>
        <v>0.461538461538462</v>
      </c>
      <c r="S52" s="185" t="n">
        <f aca="false">MAX(R52)</f>
        <v>0.461538461538462</v>
      </c>
      <c r="T52" s="186" t="n">
        <f aca="false">((((S52*12)/1000)))</f>
        <v>0.00553846153846154</v>
      </c>
      <c r="U52" s="186" t="n">
        <f aca="false">(((T52)*1000)/SQRT(3))</f>
        <v>3.19763226012716</v>
      </c>
      <c r="V52" s="186" t="n">
        <f aca="false">(((0.02)*1000)/SQRT(3))</f>
        <v>11.5470053837925</v>
      </c>
      <c r="W52" s="187"/>
    </row>
    <row r="53" customFormat="false" ht="16.5" hidden="false" customHeight="false" outlineLevel="0" collapsed="false">
      <c r="A53" s="173" t="n">
        <f aca="false">D53</f>
        <v>1.37</v>
      </c>
      <c r="B53" s="161" t="n">
        <f aca="false">+B52+1</f>
        <v>49</v>
      </c>
      <c r="C53" s="189" t="s">
        <v>174</v>
      </c>
      <c r="D53" s="190" t="n">
        <v>1.37</v>
      </c>
      <c r="E53" s="191" t="n">
        <v>72</v>
      </c>
      <c r="F53" s="192" t="n">
        <f aca="false">E53/1000</f>
        <v>0.072</v>
      </c>
      <c r="G53" s="193" t="n">
        <f aca="false">23</f>
        <v>23</v>
      </c>
      <c r="H53" s="178" t="n">
        <f aca="false">G53/2</f>
        <v>11.5</v>
      </c>
      <c r="J53" s="194" t="s">
        <v>175</v>
      </c>
      <c r="K53" s="195" t="n">
        <f aca="false">K52+0.01</f>
        <v>1.37</v>
      </c>
      <c r="L53" s="196"/>
      <c r="M53" s="197"/>
      <c r="O53" s="203" t="n">
        <v>1.37</v>
      </c>
      <c r="P53" s="199" t="n">
        <v>0.072</v>
      </c>
      <c r="Q53" s="199" t="n">
        <v>0.076</v>
      </c>
      <c r="R53" s="185" t="n">
        <f aca="false">(ABS(P53-Q53)/39)*1000</f>
        <v>0.102564102564103</v>
      </c>
      <c r="S53" s="185" t="n">
        <f aca="false">MAX(R53)</f>
        <v>0.102564102564103</v>
      </c>
      <c r="T53" s="186" t="n">
        <f aca="false">((((S53*12)/1000)))</f>
        <v>0.00123076923076923</v>
      </c>
      <c r="U53" s="186" t="n">
        <f aca="false">(((T53)*1000)/SQRT(3))</f>
        <v>0.710584946694925</v>
      </c>
      <c r="V53" s="186" t="n">
        <f aca="false">(((0.02)*1000)/SQRT(3))</f>
        <v>11.5470053837925</v>
      </c>
      <c r="W53" s="187"/>
    </row>
    <row r="54" customFormat="false" ht="16.5" hidden="false" customHeight="false" outlineLevel="0" collapsed="false">
      <c r="A54" s="173" t="n">
        <f aca="false">D54</f>
        <v>1.38</v>
      </c>
      <c r="B54" s="161" t="n">
        <f aca="false">+B53+1</f>
        <v>50</v>
      </c>
      <c r="C54" s="189" t="s">
        <v>176</v>
      </c>
      <c r="D54" s="190" t="n">
        <v>1.38</v>
      </c>
      <c r="E54" s="191" t="n">
        <v>93</v>
      </c>
      <c r="F54" s="192" t="n">
        <f aca="false">E54/1000</f>
        <v>0.093</v>
      </c>
      <c r="G54" s="193" t="n">
        <f aca="false">23</f>
        <v>23</v>
      </c>
      <c r="H54" s="178" t="n">
        <f aca="false">G54/2</f>
        <v>11.5</v>
      </c>
      <c r="J54" s="194" t="s">
        <v>177</v>
      </c>
      <c r="K54" s="195" t="n">
        <f aca="false">K53+0.01</f>
        <v>1.38</v>
      </c>
      <c r="L54" s="196"/>
      <c r="M54" s="197"/>
      <c r="O54" s="203" t="n">
        <v>1.38</v>
      </c>
      <c r="P54" s="199" t="n">
        <v>0.093</v>
      </c>
      <c r="Q54" s="199" t="n">
        <v>0.099</v>
      </c>
      <c r="R54" s="185" t="n">
        <f aca="false">(ABS(P54-Q54)/39)*1000</f>
        <v>0.153846153846154</v>
      </c>
      <c r="S54" s="185" t="n">
        <f aca="false">MAX(R54)</f>
        <v>0.153846153846154</v>
      </c>
      <c r="T54" s="186" t="n">
        <f aca="false">((((S54*12)/1000)))</f>
        <v>0.00184615384615385</v>
      </c>
      <c r="U54" s="186" t="n">
        <f aca="false">(((T54)*1000)/SQRT(3))</f>
        <v>1.06587742004239</v>
      </c>
      <c r="V54" s="186" t="n">
        <f aca="false">(((0.02)*1000)/SQRT(3))</f>
        <v>11.5470053837925</v>
      </c>
      <c r="W54" s="187"/>
    </row>
    <row r="55" customFormat="false" ht="16.5" hidden="false" customHeight="false" outlineLevel="0" collapsed="false">
      <c r="A55" s="173" t="n">
        <f aca="false">D55</f>
        <v>1.39</v>
      </c>
      <c r="B55" s="161" t="n">
        <f aca="false">+B54+1</f>
        <v>51</v>
      </c>
      <c r="C55" s="189" t="s">
        <v>178</v>
      </c>
      <c r="D55" s="190" t="n">
        <v>1.39</v>
      </c>
      <c r="E55" s="191" t="n">
        <v>41</v>
      </c>
      <c r="F55" s="192" t="n">
        <f aca="false">E55/1000</f>
        <v>0.041</v>
      </c>
      <c r="G55" s="193" t="n">
        <f aca="false">23</f>
        <v>23</v>
      </c>
      <c r="H55" s="178" t="n">
        <f aca="false">G55/2</f>
        <v>11.5</v>
      </c>
      <c r="J55" s="194" t="s">
        <v>179</v>
      </c>
      <c r="K55" s="195" t="n">
        <f aca="false">K54+0.01</f>
        <v>1.39</v>
      </c>
      <c r="L55" s="196"/>
      <c r="M55" s="197"/>
      <c r="O55" s="203" t="n">
        <v>1.39</v>
      </c>
      <c r="P55" s="199" t="n">
        <v>0.041</v>
      </c>
      <c r="Q55" s="199" t="n">
        <v>0.043</v>
      </c>
      <c r="R55" s="185" t="n">
        <f aca="false">(ABS(P55-Q55)/39)*1000</f>
        <v>0.0512820512820512</v>
      </c>
      <c r="S55" s="185" t="n">
        <f aca="false">MAX(R55)</f>
        <v>0.0512820512820512</v>
      </c>
      <c r="T55" s="186" t="n">
        <f aca="false">((((S55*12)/1000)))</f>
        <v>0.000615384615384614</v>
      </c>
      <c r="U55" s="186" t="n">
        <f aca="false">(((T55)*1000)/SQRT(3))</f>
        <v>0.355292473347461</v>
      </c>
      <c r="V55" s="186" t="n">
        <f aca="false">(((0.02)*1000)/SQRT(3))</f>
        <v>11.5470053837925</v>
      </c>
      <c r="W55" s="187"/>
    </row>
    <row r="56" customFormat="false" ht="16.5" hidden="false" customHeight="false" outlineLevel="0" collapsed="false">
      <c r="A56" s="173" t="n">
        <f aca="false">D56</f>
        <v>1.4</v>
      </c>
      <c r="B56" s="161" t="n">
        <f aca="false">+B55+1</f>
        <v>52</v>
      </c>
      <c r="C56" s="189" t="s">
        <v>180</v>
      </c>
      <c r="D56" s="204" t="n">
        <v>1.4</v>
      </c>
      <c r="E56" s="191" t="n">
        <v>34</v>
      </c>
      <c r="F56" s="192" t="n">
        <f aca="false">E56/1000</f>
        <v>0.034</v>
      </c>
      <c r="G56" s="193" t="n">
        <f aca="false">23</f>
        <v>23</v>
      </c>
      <c r="H56" s="178" t="n">
        <f aca="false">G56/2</f>
        <v>11.5</v>
      </c>
      <c r="J56" s="194" t="s">
        <v>181</v>
      </c>
      <c r="K56" s="205" t="n">
        <f aca="false">K55+0.01</f>
        <v>1.4</v>
      </c>
      <c r="L56" s="196"/>
      <c r="M56" s="197"/>
      <c r="O56" s="203" t="n">
        <v>1.4</v>
      </c>
      <c r="P56" s="199" t="n">
        <v>0.034</v>
      </c>
      <c r="Q56" s="199" t="n">
        <v>0.018</v>
      </c>
      <c r="R56" s="185" t="n">
        <f aca="false">(ABS(P56-Q56)/39)*1000</f>
        <v>0.41025641025641</v>
      </c>
      <c r="S56" s="185" t="n">
        <f aca="false">MAX(R56)</f>
        <v>0.41025641025641</v>
      </c>
      <c r="T56" s="186" t="n">
        <f aca="false">((((S56*12)/1000)))</f>
        <v>0.00492307692307692</v>
      </c>
      <c r="U56" s="186" t="n">
        <f aca="false">(((T56)*1000)/SQRT(3))</f>
        <v>2.8423397867797</v>
      </c>
      <c r="V56" s="186" t="n">
        <f aca="false">(((0.02)*1000)/SQRT(3))</f>
        <v>11.5470053837925</v>
      </c>
      <c r="W56" s="187"/>
    </row>
    <row r="57" customFormat="false" ht="16.5" hidden="false" customHeight="false" outlineLevel="0" collapsed="false">
      <c r="A57" s="173" t="n">
        <f aca="false">D57</f>
        <v>1.41</v>
      </c>
      <c r="B57" s="161" t="n">
        <f aca="false">+B56+1</f>
        <v>53</v>
      </c>
      <c r="C57" s="189" t="s">
        <v>182</v>
      </c>
      <c r="D57" s="190" t="n">
        <v>1.41</v>
      </c>
      <c r="E57" s="191" t="n">
        <v>130</v>
      </c>
      <c r="F57" s="192" t="n">
        <f aca="false">E57/1000</f>
        <v>0.13</v>
      </c>
      <c r="G57" s="193" t="n">
        <f aca="false">23</f>
        <v>23</v>
      </c>
      <c r="H57" s="178" t="n">
        <f aca="false">G57/2</f>
        <v>11.5</v>
      </c>
      <c r="J57" s="194" t="s">
        <v>183</v>
      </c>
      <c r="K57" s="195" t="n">
        <f aca="false">K56+0.01</f>
        <v>1.41</v>
      </c>
      <c r="L57" s="196"/>
      <c r="M57" s="197"/>
      <c r="O57" s="203" t="n">
        <v>1.41</v>
      </c>
      <c r="P57" s="199" t="n">
        <v>0.13</v>
      </c>
      <c r="Q57" s="199" t="n">
        <v>0.113</v>
      </c>
      <c r="R57" s="185" t="n">
        <f aca="false">(ABS(P57-Q57)/39)*1000</f>
        <v>0.435897435897436</v>
      </c>
      <c r="S57" s="185" t="n">
        <f aca="false">MAX(R57)</f>
        <v>0.435897435897436</v>
      </c>
      <c r="T57" s="186" t="n">
        <f aca="false">((((S57*12)/1000)))</f>
        <v>0.00523076923076923</v>
      </c>
      <c r="U57" s="186" t="n">
        <f aca="false">(((T57)*1000)/SQRT(3))</f>
        <v>3.01998602345343</v>
      </c>
      <c r="V57" s="186" t="n">
        <f aca="false">(((0.02)*1000)/SQRT(3))</f>
        <v>11.5470053837925</v>
      </c>
      <c r="W57" s="187"/>
    </row>
    <row r="58" customFormat="false" ht="16.5" hidden="false" customHeight="false" outlineLevel="0" collapsed="false">
      <c r="A58" s="173" t="n">
        <f aca="false">D58</f>
        <v>1.42</v>
      </c>
      <c r="B58" s="161" t="n">
        <f aca="false">+B57+1</f>
        <v>54</v>
      </c>
      <c r="C58" s="189" t="s">
        <v>184</v>
      </c>
      <c r="D58" s="190" t="n">
        <v>1.42</v>
      </c>
      <c r="E58" s="191" t="n">
        <v>68</v>
      </c>
      <c r="F58" s="192" t="n">
        <f aca="false">E58/1000</f>
        <v>0.068</v>
      </c>
      <c r="G58" s="193" t="n">
        <f aca="false">23</f>
        <v>23</v>
      </c>
      <c r="H58" s="178" t="n">
        <f aca="false">G58/2</f>
        <v>11.5</v>
      </c>
      <c r="J58" s="194" t="s">
        <v>185</v>
      </c>
      <c r="K58" s="195" t="n">
        <f aca="false">K57+0.01</f>
        <v>1.42</v>
      </c>
      <c r="L58" s="196"/>
      <c r="M58" s="197"/>
      <c r="O58" s="203" t="n">
        <v>1.42</v>
      </c>
      <c r="P58" s="199" t="n">
        <v>0.068</v>
      </c>
      <c r="Q58" s="199" t="n">
        <v>0.058</v>
      </c>
      <c r="R58" s="185" t="n">
        <f aca="false">(ABS(P58-Q58)/39)*1000</f>
        <v>0.256410256410256</v>
      </c>
      <c r="S58" s="185" t="n">
        <f aca="false">MAX(R58)</f>
        <v>0.256410256410256</v>
      </c>
      <c r="T58" s="186" t="n">
        <f aca="false">((((S58*12)/1000)))</f>
        <v>0.00307692307692308</v>
      </c>
      <c r="U58" s="186" t="n">
        <f aca="false">(((T58)*1000)/SQRT(3))</f>
        <v>1.77646236673731</v>
      </c>
      <c r="V58" s="186" t="n">
        <f aca="false">(((0.02)*1000)/SQRT(3))</f>
        <v>11.5470053837925</v>
      </c>
      <c r="W58" s="187"/>
    </row>
    <row r="59" customFormat="false" ht="16.5" hidden="false" customHeight="false" outlineLevel="0" collapsed="false">
      <c r="A59" s="173" t="n">
        <f aca="false">D59</f>
        <v>1.43</v>
      </c>
      <c r="B59" s="161" t="n">
        <f aca="false">+B58+1</f>
        <v>55</v>
      </c>
      <c r="C59" s="189" t="s">
        <v>186</v>
      </c>
      <c r="D59" s="190" t="n">
        <v>1.43</v>
      </c>
      <c r="E59" s="191" t="n">
        <v>18</v>
      </c>
      <c r="F59" s="192" t="n">
        <f aca="false">E59/1000</f>
        <v>0.018</v>
      </c>
      <c r="G59" s="193" t="n">
        <f aca="false">23</f>
        <v>23</v>
      </c>
      <c r="H59" s="178" t="n">
        <f aca="false">G59/2</f>
        <v>11.5</v>
      </c>
      <c r="J59" s="194" t="s">
        <v>187</v>
      </c>
      <c r="K59" s="195" t="n">
        <f aca="false">K58+0.01</f>
        <v>1.43</v>
      </c>
      <c r="L59" s="196"/>
      <c r="M59" s="197"/>
      <c r="O59" s="203" t="n">
        <v>1.43</v>
      </c>
      <c r="P59" s="199" t="n">
        <v>0.018</v>
      </c>
      <c r="Q59" s="199" t="n">
        <v>0.007</v>
      </c>
      <c r="R59" s="185" t="n">
        <f aca="false">(ABS(P59-Q59)/39)*1000</f>
        <v>0.282051282051282</v>
      </c>
      <c r="S59" s="185" t="n">
        <f aca="false">MAX(R59)</f>
        <v>0.282051282051282</v>
      </c>
      <c r="T59" s="186" t="n">
        <f aca="false">((((S59*12)/1000)))</f>
        <v>0.00338461538461539</v>
      </c>
      <c r="U59" s="186" t="n">
        <f aca="false">(((T59)*1000)/SQRT(3))</f>
        <v>1.95410860341104</v>
      </c>
      <c r="V59" s="186" t="n">
        <f aca="false">(((0.02)*1000)/SQRT(3))</f>
        <v>11.5470053837925</v>
      </c>
      <c r="W59" s="187"/>
    </row>
    <row r="60" customFormat="false" ht="16.5" hidden="false" customHeight="false" outlineLevel="0" collapsed="false">
      <c r="A60" s="173" t="n">
        <f aca="false">D60</f>
        <v>1.44</v>
      </c>
      <c r="B60" s="161" t="n">
        <f aca="false">+B59+1</f>
        <v>56</v>
      </c>
      <c r="C60" s="189" t="s">
        <v>188</v>
      </c>
      <c r="D60" s="190" t="n">
        <v>1.44</v>
      </c>
      <c r="E60" s="191" t="n">
        <v>142</v>
      </c>
      <c r="F60" s="192" t="n">
        <f aca="false">E60/1000</f>
        <v>0.142</v>
      </c>
      <c r="G60" s="193" t="n">
        <f aca="false">23</f>
        <v>23</v>
      </c>
      <c r="H60" s="178" t="n">
        <f aca="false">G60/2</f>
        <v>11.5</v>
      </c>
      <c r="J60" s="194" t="s">
        <v>189</v>
      </c>
      <c r="K60" s="195" t="n">
        <f aca="false">K59+0.01</f>
        <v>1.44</v>
      </c>
      <c r="L60" s="196"/>
      <c r="M60" s="197"/>
      <c r="O60" s="203" t="n">
        <v>1.44</v>
      </c>
      <c r="P60" s="199" t="n">
        <v>0.142</v>
      </c>
      <c r="Q60" s="199" t="n">
        <v>0.119</v>
      </c>
      <c r="R60" s="185" t="n">
        <f aca="false">(ABS(P60-Q60)/39)*1000</f>
        <v>0.58974358974359</v>
      </c>
      <c r="S60" s="185" t="n">
        <f aca="false">MAX(R60)</f>
        <v>0.58974358974359</v>
      </c>
      <c r="T60" s="186" t="n">
        <f aca="false">((((S60*12)/1000)))</f>
        <v>0.00707692307692308</v>
      </c>
      <c r="U60" s="186" t="n">
        <f aca="false">(((T60)*1000)/SQRT(3))</f>
        <v>4.08586344349581</v>
      </c>
      <c r="V60" s="186" t="n">
        <f aca="false">(((0.02)*1000)/SQRT(3))</f>
        <v>11.5470053837925</v>
      </c>
      <c r="W60" s="187"/>
    </row>
    <row r="61" customFormat="false" ht="16.5" hidden="false" customHeight="false" outlineLevel="0" collapsed="false">
      <c r="A61" s="173" t="n">
        <f aca="false">D61</f>
        <v>1.45</v>
      </c>
      <c r="B61" s="161" t="n">
        <f aca="false">+B60+1</f>
        <v>57</v>
      </c>
      <c r="C61" s="189" t="s">
        <v>190</v>
      </c>
      <c r="D61" s="190" t="n">
        <v>1.45</v>
      </c>
      <c r="E61" s="191" t="n">
        <v>17</v>
      </c>
      <c r="F61" s="192" t="n">
        <f aca="false">E61/1000</f>
        <v>0.017</v>
      </c>
      <c r="G61" s="193" t="n">
        <f aca="false">23</f>
        <v>23</v>
      </c>
      <c r="H61" s="178" t="n">
        <f aca="false">G61/2</f>
        <v>11.5</v>
      </c>
      <c r="J61" s="194" t="s">
        <v>191</v>
      </c>
      <c r="K61" s="195" t="n">
        <f aca="false">K60+0.01</f>
        <v>1.45</v>
      </c>
      <c r="L61" s="196"/>
      <c r="M61" s="197"/>
      <c r="O61" s="203" t="n">
        <v>1.45</v>
      </c>
      <c r="P61" s="199" t="n">
        <v>0.017</v>
      </c>
      <c r="Q61" s="199" t="n">
        <v>0.027</v>
      </c>
      <c r="R61" s="185" t="n">
        <f aca="false">(ABS(P61-Q61)/39)*1000</f>
        <v>0.256410256410256</v>
      </c>
      <c r="S61" s="185" t="n">
        <f aca="false">MAX(R61)</f>
        <v>0.256410256410256</v>
      </c>
      <c r="T61" s="186" t="n">
        <f aca="false">((((S61*12)/1000)))</f>
        <v>0.00307692307692308</v>
      </c>
      <c r="U61" s="186" t="n">
        <f aca="false">(((T61)*1000)/SQRT(3))</f>
        <v>1.77646236673731</v>
      </c>
      <c r="V61" s="186" t="n">
        <f aca="false">(((0.02)*1000)/SQRT(3))</f>
        <v>11.5470053837925</v>
      </c>
      <c r="W61" s="187"/>
    </row>
    <row r="62" customFormat="false" ht="16.5" hidden="false" customHeight="false" outlineLevel="0" collapsed="false">
      <c r="A62" s="173" t="n">
        <f aca="false">D62</f>
        <v>1.46</v>
      </c>
      <c r="B62" s="161" t="n">
        <f aca="false">+B61+1</f>
        <v>58</v>
      </c>
      <c r="C62" s="189" t="s">
        <v>192</v>
      </c>
      <c r="D62" s="190" t="n">
        <v>1.46</v>
      </c>
      <c r="E62" s="191" t="n">
        <v>-53</v>
      </c>
      <c r="F62" s="192" t="n">
        <f aca="false">E62/1000</f>
        <v>-0.053</v>
      </c>
      <c r="G62" s="193" t="n">
        <f aca="false">23</f>
        <v>23</v>
      </c>
      <c r="H62" s="178" t="n">
        <f aca="false">G62/2</f>
        <v>11.5</v>
      </c>
      <c r="J62" s="194" t="s">
        <v>193</v>
      </c>
      <c r="K62" s="195" t="n">
        <f aca="false">K61+0.01</f>
        <v>1.46</v>
      </c>
      <c r="L62" s="196"/>
      <c r="M62" s="197"/>
      <c r="O62" s="203" t="n">
        <v>1.46</v>
      </c>
      <c r="P62" s="199" t="n">
        <v>-0.053</v>
      </c>
      <c r="Q62" s="199" t="n">
        <v>-0.043</v>
      </c>
      <c r="R62" s="185" t="n">
        <f aca="false">(ABS(P62-Q62)/39)*1000</f>
        <v>0.256410256410256</v>
      </c>
      <c r="S62" s="185" t="n">
        <f aca="false">MAX(R62)</f>
        <v>0.256410256410256</v>
      </c>
      <c r="T62" s="186" t="n">
        <f aca="false">((((S62*12)/1000)))</f>
        <v>0.00307692307692308</v>
      </c>
      <c r="U62" s="186" t="n">
        <f aca="false">(((T62)*1000)/SQRT(3))</f>
        <v>1.77646236673731</v>
      </c>
      <c r="V62" s="186" t="n">
        <f aca="false">(((0.02)*1000)/SQRT(3))</f>
        <v>11.5470053837925</v>
      </c>
      <c r="W62" s="187"/>
    </row>
    <row r="63" customFormat="false" ht="16.5" hidden="false" customHeight="false" outlineLevel="0" collapsed="false">
      <c r="A63" s="173" t="n">
        <f aca="false">D63</f>
        <v>1.47</v>
      </c>
      <c r="B63" s="161" t="n">
        <f aca="false">+B62+1</f>
        <v>59</v>
      </c>
      <c r="C63" s="189" t="s">
        <v>194</v>
      </c>
      <c r="D63" s="190" t="n">
        <v>1.47</v>
      </c>
      <c r="E63" s="191" t="n">
        <v>93</v>
      </c>
      <c r="F63" s="192" t="n">
        <f aca="false">E63/1000</f>
        <v>0.093</v>
      </c>
      <c r="G63" s="193" t="n">
        <f aca="false">23</f>
        <v>23</v>
      </c>
      <c r="H63" s="178" t="n">
        <f aca="false">G63/2</f>
        <v>11.5</v>
      </c>
      <c r="J63" s="194" t="s">
        <v>195</v>
      </c>
      <c r="K63" s="195" t="n">
        <f aca="false">K62+0.01</f>
        <v>1.47</v>
      </c>
      <c r="L63" s="196"/>
      <c r="M63" s="197"/>
      <c r="O63" s="203" t="n">
        <v>1.47</v>
      </c>
      <c r="P63" s="199" t="n">
        <v>0.093</v>
      </c>
      <c r="Q63" s="199" t="n">
        <v>0.102</v>
      </c>
      <c r="R63" s="185" t="n">
        <f aca="false">(ABS(P63-Q63)/39)*1000</f>
        <v>0.230769230769231</v>
      </c>
      <c r="S63" s="185" t="n">
        <f aca="false">MAX(R63)</f>
        <v>0.230769230769231</v>
      </c>
      <c r="T63" s="186" t="n">
        <f aca="false">((((S63*12)/1000)))</f>
        <v>0.00276923076923077</v>
      </c>
      <c r="U63" s="186" t="n">
        <f aca="false">(((T63)*1000)/SQRT(3))</f>
        <v>1.59881613006358</v>
      </c>
      <c r="V63" s="186" t="n">
        <f aca="false">(((0.02)*1000)/SQRT(3))</f>
        <v>11.5470053837925</v>
      </c>
      <c r="W63" s="187"/>
    </row>
    <row r="64" customFormat="false" ht="16.5" hidden="false" customHeight="false" outlineLevel="0" collapsed="false">
      <c r="A64" s="173" t="n">
        <f aca="false">D64</f>
        <v>1.48</v>
      </c>
      <c r="B64" s="161" t="n">
        <f aca="false">+B63+1</f>
        <v>60</v>
      </c>
      <c r="C64" s="189" t="s">
        <v>196</v>
      </c>
      <c r="D64" s="190" t="n">
        <v>1.48</v>
      </c>
      <c r="E64" s="191" t="n">
        <v>17</v>
      </c>
      <c r="F64" s="192" t="n">
        <f aca="false">E64/1000</f>
        <v>0.017</v>
      </c>
      <c r="G64" s="193" t="n">
        <f aca="false">23</f>
        <v>23</v>
      </c>
      <c r="H64" s="178" t="n">
        <f aca="false">G64/2</f>
        <v>11.5</v>
      </c>
      <c r="J64" s="194" t="s">
        <v>197</v>
      </c>
      <c r="K64" s="195" t="n">
        <f aca="false">K63+0.01</f>
        <v>1.48</v>
      </c>
      <c r="L64" s="196"/>
      <c r="M64" s="197"/>
      <c r="O64" s="203" t="n">
        <v>1.48</v>
      </c>
      <c r="P64" s="199" t="n">
        <v>0.017</v>
      </c>
      <c r="Q64" s="199" t="n">
        <v>0.004</v>
      </c>
      <c r="R64" s="185" t="n">
        <f aca="false">(ABS(P64-Q64)/39)*1000</f>
        <v>0.333333333333333</v>
      </c>
      <c r="S64" s="185" t="n">
        <f aca="false">MAX(R64)</f>
        <v>0.333333333333333</v>
      </c>
      <c r="T64" s="186" t="n">
        <f aca="false">((((S64*12)/1000)))</f>
        <v>0.004</v>
      </c>
      <c r="U64" s="186" t="n">
        <f aca="false">(((T64)*1000)/SQRT(3))</f>
        <v>2.3094010767585</v>
      </c>
      <c r="V64" s="186" t="n">
        <f aca="false">(((0.02)*1000)/SQRT(3))</f>
        <v>11.5470053837925</v>
      </c>
      <c r="W64" s="187"/>
    </row>
    <row r="65" customFormat="false" ht="16.5" hidden="false" customHeight="false" outlineLevel="0" collapsed="false">
      <c r="A65" s="173" t="n">
        <f aca="false">D65</f>
        <v>1.49</v>
      </c>
      <c r="B65" s="161" t="n">
        <f aca="false">+B64+1</f>
        <v>61</v>
      </c>
      <c r="C65" s="189" t="s">
        <v>198</v>
      </c>
      <c r="D65" s="190" t="n">
        <v>1.49</v>
      </c>
      <c r="E65" s="191" t="n">
        <v>-14</v>
      </c>
      <c r="F65" s="192" t="n">
        <f aca="false">E65/1000</f>
        <v>-0.014</v>
      </c>
      <c r="G65" s="193" t="n">
        <f aca="false">23</f>
        <v>23</v>
      </c>
      <c r="H65" s="178" t="n">
        <f aca="false">G65/2</f>
        <v>11.5</v>
      </c>
      <c r="J65" s="194" t="s">
        <v>199</v>
      </c>
      <c r="K65" s="195" t="n">
        <f aca="false">K64+0.01</f>
        <v>1.49</v>
      </c>
      <c r="L65" s="196"/>
      <c r="M65" s="197"/>
      <c r="O65" s="203" t="n">
        <v>1.49</v>
      </c>
      <c r="P65" s="199" t="n">
        <v>-0.014</v>
      </c>
      <c r="Q65" s="199" t="n">
        <v>0.001</v>
      </c>
      <c r="R65" s="185" t="n">
        <f aca="false">(ABS(P65-Q65)/39)*1000</f>
        <v>0.384615384615385</v>
      </c>
      <c r="S65" s="185" t="n">
        <f aca="false">MAX(R65)</f>
        <v>0.384615384615385</v>
      </c>
      <c r="T65" s="186" t="n">
        <f aca="false">((((S65*12)/1000)))</f>
        <v>0.00461538461538462</v>
      </c>
      <c r="U65" s="186" t="n">
        <f aca="false">(((T65)*1000)/SQRT(3))</f>
        <v>2.66469355010597</v>
      </c>
      <c r="V65" s="186" t="n">
        <f aca="false">(((0.02)*1000)/SQRT(3))</f>
        <v>11.5470053837925</v>
      </c>
      <c r="W65" s="187"/>
    </row>
    <row r="66" customFormat="false" ht="16.5" hidden="false" customHeight="false" outlineLevel="0" collapsed="false">
      <c r="A66" s="173" t="n">
        <f aca="false">D66</f>
        <v>1.5</v>
      </c>
      <c r="B66" s="161" t="n">
        <f aca="false">+B65+1</f>
        <v>62</v>
      </c>
      <c r="C66" s="189" t="s">
        <v>200</v>
      </c>
      <c r="D66" s="204" t="n">
        <v>1.5</v>
      </c>
      <c r="E66" s="191" t="n">
        <v>144</v>
      </c>
      <c r="F66" s="192" t="n">
        <f aca="false">E66/1000</f>
        <v>0.144</v>
      </c>
      <c r="G66" s="193" t="n">
        <f aca="false">23</f>
        <v>23</v>
      </c>
      <c r="H66" s="178" t="n">
        <f aca="false">G66/2</f>
        <v>11.5</v>
      </c>
      <c r="J66" s="194" t="s">
        <v>201</v>
      </c>
      <c r="K66" s="205" t="n">
        <f aca="false">K65+0.01</f>
        <v>1.5</v>
      </c>
      <c r="L66" s="196"/>
      <c r="M66" s="197"/>
      <c r="O66" s="203" t="n">
        <v>1.5</v>
      </c>
      <c r="P66" s="199" t="n">
        <v>0.144</v>
      </c>
      <c r="Q66" s="199" t="n">
        <v>0.141</v>
      </c>
      <c r="R66" s="185" t="n">
        <f aca="false">(ABS(P66-Q66)/39)*1000</f>
        <v>0.076923076923077</v>
      </c>
      <c r="S66" s="185" t="n">
        <f aca="false">MAX(R66)</f>
        <v>0.076923076923077</v>
      </c>
      <c r="T66" s="186" t="n">
        <f aca="false">((((S66*12)/1000)))</f>
        <v>0.000923076923076924</v>
      </c>
      <c r="U66" s="186" t="n">
        <f aca="false">(((T66)*1000)/SQRT(3))</f>
        <v>0.532938710021194</v>
      </c>
      <c r="V66" s="186" t="n">
        <f aca="false">(((0.02)*1000)/SQRT(3))</f>
        <v>11.5470053837925</v>
      </c>
      <c r="W66" s="187"/>
    </row>
    <row r="67" customFormat="false" ht="16.5" hidden="false" customHeight="false" outlineLevel="0" collapsed="false">
      <c r="A67" s="173" t="n">
        <f aca="false">D67</f>
        <v>1.6</v>
      </c>
      <c r="B67" s="161" t="n">
        <f aca="false">+B66+1</f>
        <v>63</v>
      </c>
      <c r="C67" s="206" t="s">
        <v>202</v>
      </c>
      <c r="D67" s="207" t="n">
        <v>1.6</v>
      </c>
      <c r="E67" s="208" t="n">
        <v>0.07</v>
      </c>
      <c r="F67" s="209" t="n">
        <f aca="false">E67/1000</f>
        <v>7E-005</v>
      </c>
      <c r="G67" s="210" t="n">
        <v>35</v>
      </c>
      <c r="H67" s="178" t="n">
        <f aca="false">G67/2</f>
        <v>17.5</v>
      </c>
      <c r="J67" s="206" t="s">
        <v>203</v>
      </c>
      <c r="K67" s="207" t="n">
        <v>1.6</v>
      </c>
      <c r="L67" s="208" t="n">
        <f aca="false">+L5+L26</f>
        <v>0</v>
      </c>
      <c r="M67" s="210" t="n">
        <f aca="false">SQRT((M5^2)+(M26^2))</f>
        <v>0</v>
      </c>
      <c r="O67" s="211" t="n">
        <v>1.6</v>
      </c>
      <c r="P67" s="212" t="n">
        <v>0.02</v>
      </c>
      <c r="Q67" s="212" t="n">
        <v>0.02</v>
      </c>
      <c r="R67" s="213" t="n">
        <f aca="false">(ABS(P67-Q67)/39)*1000</f>
        <v>0</v>
      </c>
      <c r="S67" s="213" t="n">
        <f aca="false">MAX(R67)</f>
        <v>0</v>
      </c>
      <c r="T67" s="214" t="n">
        <f aca="false">((((S67*12)/1000)))</f>
        <v>0</v>
      </c>
      <c r="U67" s="214" t="n">
        <f aca="false">(((T67)*1000)/SQRT(3))</f>
        <v>0</v>
      </c>
      <c r="V67" s="214" t="n">
        <f aca="false">(((0.02)*1000)/SQRT(3))</f>
        <v>11.5470053837925</v>
      </c>
      <c r="W67" s="187"/>
    </row>
    <row r="68" customFormat="false" ht="16.5" hidden="false" customHeight="false" outlineLevel="0" collapsed="false">
      <c r="A68" s="173" t="n">
        <f aca="false">D68</f>
        <v>1.7</v>
      </c>
      <c r="B68" s="161" t="n">
        <f aca="false">+B67+1</f>
        <v>64</v>
      </c>
      <c r="C68" s="206" t="s">
        <v>204</v>
      </c>
      <c r="D68" s="207" t="n">
        <v>1.7</v>
      </c>
      <c r="E68" s="208" t="n">
        <v>0.03</v>
      </c>
      <c r="F68" s="209" t="n">
        <f aca="false">E68/1000</f>
        <v>3E-005</v>
      </c>
      <c r="G68" s="210" t="n">
        <v>35</v>
      </c>
      <c r="H68" s="178" t="n">
        <f aca="false">G68/2</f>
        <v>17.5</v>
      </c>
      <c r="J68" s="206" t="s">
        <v>205</v>
      </c>
      <c r="K68" s="207" t="n">
        <v>1.7</v>
      </c>
      <c r="L68" s="208" t="n">
        <f aca="false">+L5+L36</f>
        <v>0</v>
      </c>
      <c r="M68" s="210" t="n">
        <f aca="false">+SQRT((M5^2)+(M36^2))</f>
        <v>0</v>
      </c>
      <c r="O68" s="211" t="n">
        <v>1.7</v>
      </c>
      <c r="P68" s="212" t="n">
        <v>0.02</v>
      </c>
      <c r="Q68" s="212" t="n">
        <v>0.02</v>
      </c>
      <c r="R68" s="213" t="n">
        <f aca="false">(ABS(P68-Q68)/39)*1000</f>
        <v>0</v>
      </c>
      <c r="S68" s="213" t="n">
        <f aca="false">MAX(R68)</f>
        <v>0</v>
      </c>
      <c r="T68" s="214" t="n">
        <f aca="false">((((S68*12)/1000)))</f>
        <v>0</v>
      </c>
      <c r="U68" s="214" t="n">
        <f aca="false">(((T68)*1000)/SQRT(3))</f>
        <v>0</v>
      </c>
      <c r="V68" s="214" t="n">
        <f aca="false">(((0.02)*1000)/SQRT(3))</f>
        <v>11.5470053837925</v>
      </c>
      <c r="W68" s="187"/>
    </row>
    <row r="69" customFormat="false" ht="16.5" hidden="false" customHeight="false" outlineLevel="0" collapsed="false">
      <c r="A69" s="173" t="n">
        <f aca="false">D69</f>
        <v>1.8</v>
      </c>
      <c r="B69" s="161" t="n">
        <f aca="false">+B68+1</f>
        <v>65</v>
      </c>
      <c r="C69" s="206" t="s">
        <v>206</v>
      </c>
      <c r="D69" s="207" t="n">
        <v>1.8</v>
      </c>
      <c r="E69" s="208" t="n">
        <v>-0.04</v>
      </c>
      <c r="F69" s="209" t="n">
        <f aca="false">E69/1000</f>
        <v>-4E-005</v>
      </c>
      <c r="G69" s="210" t="n">
        <v>35</v>
      </c>
      <c r="H69" s="178" t="n">
        <f aca="false">G69/2</f>
        <v>17.5</v>
      </c>
      <c r="J69" s="206" t="s">
        <v>207</v>
      </c>
      <c r="K69" s="207" t="n">
        <v>1.8</v>
      </c>
      <c r="L69" s="208" t="n">
        <f aca="false">+L5+L46</f>
        <v>0</v>
      </c>
      <c r="M69" s="210" t="n">
        <f aca="false">+SQRT((M5^2)+(M46^2))</f>
        <v>0</v>
      </c>
      <c r="O69" s="211" t="n">
        <v>1.8</v>
      </c>
      <c r="P69" s="212" t="n">
        <v>0.02</v>
      </c>
      <c r="Q69" s="212" t="n">
        <v>0.02</v>
      </c>
      <c r="R69" s="213" t="n">
        <f aca="false">(ABS(P69-Q69)/39)*1000</f>
        <v>0</v>
      </c>
      <c r="S69" s="213" t="n">
        <f aca="false">MAX(R69)</f>
        <v>0</v>
      </c>
      <c r="T69" s="214" t="n">
        <f aca="false">((((S69*12)/1000)))</f>
        <v>0</v>
      </c>
      <c r="U69" s="214" t="n">
        <f aca="false">(((T69)*1000)/SQRT(3))</f>
        <v>0</v>
      </c>
      <c r="V69" s="214" t="n">
        <f aca="false">(((0.02)*1000)/SQRT(3))</f>
        <v>11.5470053837925</v>
      </c>
      <c r="W69" s="187"/>
    </row>
    <row r="70" customFormat="false" ht="16.5" hidden="false" customHeight="false" outlineLevel="0" collapsed="false">
      <c r="A70" s="173" t="n">
        <f aca="false">D70</f>
        <v>1.9</v>
      </c>
      <c r="B70" s="161" t="n">
        <f aca="false">+B69+1</f>
        <v>66</v>
      </c>
      <c r="C70" s="206" t="s">
        <v>208</v>
      </c>
      <c r="D70" s="207" t="n">
        <v>1.9</v>
      </c>
      <c r="E70" s="208" t="n">
        <v>0.116</v>
      </c>
      <c r="F70" s="209" t="n">
        <f aca="false">E70/1000</f>
        <v>0.000116</v>
      </c>
      <c r="G70" s="210" t="n">
        <v>35</v>
      </c>
      <c r="H70" s="178" t="n">
        <f aca="false">G70/2</f>
        <v>17.5</v>
      </c>
      <c r="J70" s="206" t="s">
        <v>209</v>
      </c>
      <c r="K70" s="207" t="n">
        <v>1.9</v>
      </c>
      <c r="L70" s="208" t="n">
        <f aca="false">+L5+L56</f>
        <v>0</v>
      </c>
      <c r="M70" s="210" t="n">
        <f aca="false">+SQRT((M5^2)+(M56^2))</f>
        <v>0</v>
      </c>
      <c r="O70" s="211" t="n">
        <v>1.9</v>
      </c>
      <c r="P70" s="212" t="n">
        <v>0.02</v>
      </c>
      <c r="Q70" s="212" t="n">
        <v>0.02</v>
      </c>
      <c r="R70" s="213" t="n">
        <f aca="false">(ABS(P70-Q70)/39)*1000</f>
        <v>0</v>
      </c>
      <c r="S70" s="213" t="n">
        <f aca="false">MAX(R70)</f>
        <v>0</v>
      </c>
      <c r="T70" s="214" t="n">
        <f aca="false">((((S70*12)/1000)))</f>
        <v>0</v>
      </c>
      <c r="U70" s="214" t="n">
        <f aca="false">(((T70)*1000)/SQRT(3))</f>
        <v>0</v>
      </c>
      <c r="V70" s="214" t="n">
        <f aca="false">(((0.02)*1000)/SQRT(3))</f>
        <v>11.5470053837925</v>
      </c>
      <c r="W70" s="187"/>
    </row>
    <row r="71" customFormat="false" ht="16.5" hidden="false" customHeight="false" outlineLevel="0" collapsed="false">
      <c r="A71" s="173" t="n">
        <f aca="false">D71</f>
        <v>2</v>
      </c>
      <c r="B71" s="161" t="n">
        <f aca="false">+B70+1</f>
        <v>67</v>
      </c>
      <c r="C71" s="189" t="s">
        <v>210</v>
      </c>
      <c r="D71" s="204" t="n">
        <v>2</v>
      </c>
      <c r="E71" s="191" t="n">
        <v>12</v>
      </c>
      <c r="F71" s="192" t="n">
        <f aca="false">E71/1000</f>
        <v>0.012</v>
      </c>
      <c r="G71" s="193" t="n">
        <f aca="false">23</f>
        <v>23</v>
      </c>
      <c r="H71" s="178" t="n">
        <f aca="false">G71/2</f>
        <v>11.5</v>
      </c>
      <c r="J71" s="194" t="s">
        <v>211</v>
      </c>
      <c r="K71" s="205" t="n">
        <v>2</v>
      </c>
      <c r="L71" s="196"/>
      <c r="M71" s="197"/>
      <c r="O71" s="203" t="n">
        <v>2</v>
      </c>
      <c r="P71" s="199" t="n">
        <v>0.012</v>
      </c>
      <c r="Q71" s="199" t="n">
        <v>0.02</v>
      </c>
      <c r="R71" s="215" t="n">
        <f aca="false">(ABS(P71-Q71)/39)*1000</f>
        <v>0.205128205128205</v>
      </c>
      <c r="S71" s="215" t="n">
        <f aca="false">MAX(R71)</f>
        <v>0.205128205128205</v>
      </c>
      <c r="T71" s="186" t="n">
        <f aca="false">((((S71*12)/1000)))</f>
        <v>0.00246153846153846</v>
      </c>
      <c r="U71" s="186" t="n">
        <f aca="false">(((T71)*1000)/SQRT(3))</f>
        <v>1.42116989338985</v>
      </c>
      <c r="V71" s="216" t="n">
        <f aca="false">(((0.02)*1000)/SQRT(3))</f>
        <v>11.5470053837925</v>
      </c>
      <c r="W71" s="187"/>
    </row>
    <row r="72" customFormat="false" ht="16.5" hidden="false" customHeight="false" outlineLevel="0" collapsed="false">
      <c r="A72" s="173" t="n">
        <f aca="false">D72</f>
        <v>2.5</v>
      </c>
      <c r="B72" s="161" t="n">
        <f aca="false">+B71+1</f>
        <v>68</v>
      </c>
      <c r="C72" s="189" t="s">
        <v>212</v>
      </c>
      <c r="D72" s="204" t="n">
        <v>2.5</v>
      </c>
      <c r="E72" s="191" t="n">
        <v>-125</v>
      </c>
      <c r="F72" s="192" t="n">
        <f aca="false">E72/1000</f>
        <v>-0.125</v>
      </c>
      <c r="G72" s="193" t="n">
        <f aca="false">23</f>
        <v>23</v>
      </c>
      <c r="H72" s="178" t="n">
        <f aca="false">G72/2</f>
        <v>11.5</v>
      </c>
      <c r="J72" s="194" t="s">
        <v>213</v>
      </c>
      <c r="K72" s="205" t="n">
        <f aca="false">K71+0.5</f>
        <v>2.5</v>
      </c>
      <c r="L72" s="196"/>
      <c r="M72" s="197"/>
      <c r="O72" s="203" t="n">
        <v>2.5</v>
      </c>
      <c r="P72" s="199" t="n">
        <v>-0.125</v>
      </c>
      <c r="Q72" s="199" t="n">
        <v>-0.131</v>
      </c>
      <c r="R72" s="185" t="n">
        <f aca="false">(ABS(P72-Q72)/39)*1000</f>
        <v>0.153846153846154</v>
      </c>
      <c r="S72" s="185" t="n">
        <f aca="false">MAX(R72)</f>
        <v>0.153846153846154</v>
      </c>
      <c r="T72" s="186" t="n">
        <f aca="false">((((S72*12)/1000)))</f>
        <v>0.00184615384615385</v>
      </c>
      <c r="U72" s="186" t="n">
        <f aca="false">(((T72)*1000)/SQRT(3))</f>
        <v>1.06587742004239</v>
      </c>
      <c r="V72" s="186" t="n">
        <f aca="false">(((0.02)*1000)/SQRT(3))</f>
        <v>11.5470053837925</v>
      </c>
      <c r="W72" s="187"/>
    </row>
    <row r="73" customFormat="false" ht="16.5" hidden="false" customHeight="false" outlineLevel="0" collapsed="false">
      <c r="A73" s="173" t="n">
        <f aca="false">D73</f>
        <v>3</v>
      </c>
      <c r="B73" s="161" t="n">
        <f aca="false">+B72+1</f>
        <v>69</v>
      </c>
      <c r="C73" s="189" t="s">
        <v>214</v>
      </c>
      <c r="D73" s="204" t="n">
        <v>3</v>
      </c>
      <c r="E73" s="191" t="n">
        <v>9</v>
      </c>
      <c r="F73" s="192" t="n">
        <f aca="false">E73/1000</f>
        <v>0.009</v>
      </c>
      <c r="G73" s="193" t="n">
        <f aca="false">23</f>
        <v>23</v>
      </c>
      <c r="H73" s="178" t="n">
        <f aca="false">G73/2</f>
        <v>11.5</v>
      </c>
      <c r="J73" s="194" t="s">
        <v>215</v>
      </c>
      <c r="K73" s="205" t="n">
        <f aca="false">K72+0.5</f>
        <v>3</v>
      </c>
      <c r="L73" s="196"/>
      <c r="M73" s="197"/>
      <c r="O73" s="203" t="n">
        <v>3</v>
      </c>
      <c r="P73" s="199" t="n">
        <v>0.009</v>
      </c>
      <c r="Q73" s="199" t="n">
        <f aca="false">0/1000</f>
        <v>0</v>
      </c>
      <c r="R73" s="185" t="n">
        <f aca="false">(ABS(P73-Q73)/39)*1000</f>
        <v>0.230769230769231</v>
      </c>
      <c r="S73" s="185" t="n">
        <f aca="false">MAX(R73)</f>
        <v>0.230769230769231</v>
      </c>
      <c r="T73" s="186" t="n">
        <f aca="false">((((S73*12)/1000)))</f>
        <v>0.00276923076923077</v>
      </c>
      <c r="U73" s="186" t="n">
        <f aca="false">(((T73)*1000)/SQRT(3))</f>
        <v>1.59881613006358</v>
      </c>
      <c r="V73" s="186" t="n">
        <f aca="false">(((0.02)*1000)/SQRT(3))</f>
        <v>11.5470053837925</v>
      </c>
      <c r="W73" s="187"/>
    </row>
    <row r="74" customFormat="false" ht="16.5" hidden="false" customHeight="false" outlineLevel="0" collapsed="false">
      <c r="A74" s="173" t="n">
        <f aca="false">D74</f>
        <v>3.5</v>
      </c>
      <c r="B74" s="161" t="n">
        <f aca="false">+B73+1</f>
        <v>70</v>
      </c>
      <c r="C74" s="189" t="s">
        <v>216</v>
      </c>
      <c r="D74" s="204" t="n">
        <v>3.5</v>
      </c>
      <c r="E74" s="191" t="n">
        <v>70</v>
      </c>
      <c r="F74" s="192" t="n">
        <f aca="false">E74/1000</f>
        <v>0.07</v>
      </c>
      <c r="G74" s="193" t="n">
        <f aca="false">23</f>
        <v>23</v>
      </c>
      <c r="H74" s="178" t="n">
        <f aca="false">G74/2</f>
        <v>11.5</v>
      </c>
      <c r="J74" s="194" t="s">
        <v>217</v>
      </c>
      <c r="K74" s="205" t="n">
        <f aca="false">K73+0.5</f>
        <v>3.5</v>
      </c>
      <c r="L74" s="196"/>
      <c r="M74" s="197"/>
      <c r="O74" s="203" t="n">
        <v>3.5</v>
      </c>
      <c r="P74" s="199" t="n">
        <v>0.07</v>
      </c>
      <c r="Q74" s="199" t="n">
        <v>0.069</v>
      </c>
      <c r="R74" s="185" t="n">
        <f aca="false">(ABS(P74-Q74)/39)*1000</f>
        <v>0.0256410256410257</v>
      </c>
      <c r="S74" s="185" t="n">
        <f aca="false">MAX(R74)</f>
        <v>0.0256410256410257</v>
      </c>
      <c r="T74" s="186" t="n">
        <f aca="false">((((S74*12)/1000)))</f>
        <v>0.000307692307692308</v>
      </c>
      <c r="U74" s="186" t="n">
        <f aca="false">(((T74)*1000)/SQRT(3))</f>
        <v>0.177646236673731</v>
      </c>
      <c r="V74" s="186" t="n">
        <f aca="false">(((0.02)*1000)/SQRT(3))</f>
        <v>11.5470053837925</v>
      </c>
      <c r="W74" s="187"/>
    </row>
    <row r="75" customFormat="false" ht="16.5" hidden="false" customHeight="false" outlineLevel="0" collapsed="false">
      <c r="A75" s="173" t="n">
        <f aca="false">D75</f>
        <v>4</v>
      </c>
      <c r="B75" s="161" t="n">
        <f aca="false">+B74+1</f>
        <v>71</v>
      </c>
      <c r="C75" s="189" t="s">
        <v>218</v>
      </c>
      <c r="D75" s="204" t="n">
        <v>4</v>
      </c>
      <c r="E75" s="191" t="n">
        <v>-48</v>
      </c>
      <c r="F75" s="192" t="n">
        <f aca="false">E75/1000</f>
        <v>-0.048</v>
      </c>
      <c r="G75" s="193" t="n">
        <f aca="false">23</f>
        <v>23</v>
      </c>
      <c r="H75" s="178" t="n">
        <f aca="false">G75/2</f>
        <v>11.5</v>
      </c>
      <c r="J75" s="194" t="s">
        <v>219</v>
      </c>
      <c r="K75" s="205" t="n">
        <f aca="false">K74+0.5</f>
        <v>4</v>
      </c>
      <c r="L75" s="196"/>
      <c r="M75" s="197"/>
      <c r="O75" s="203" t="n">
        <v>4</v>
      </c>
      <c r="P75" s="199" t="n">
        <v>-0.048</v>
      </c>
      <c r="Q75" s="199" t="n">
        <v>-0.044</v>
      </c>
      <c r="R75" s="185" t="n">
        <f aca="false">(ABS(P75-Q75)/39)*1000</f>
        <v>0.102564102564103</v>
      </c>
      <c r="S75" s="185" t="n">
        <f aca="false">MAX(R75)</f>
        <v>0.102564102564103</v>
      </c>
      <c r="T75" s="186" t="n">
        <f aca="false">((((S75*12)/1000)))</f>
        <v>0.00123076923076923</v>
      </c>
      <c r="U75" s="186" t="n">
        <f aca="false">(((T75)*1000)/SQRT(3))</f>
        <v>0.710584946694925</v>
      </c>
      <c r="V75" s="186" t="n">
        <f aca="false">(((0.02)*1000)/SQRT(3))</f>
        <v>11.5470053837925</v>
      </c>
      <c r="W75" s="187"/>
    </row>
    <row r="76" customFormat="false" ht="16.5" hidden="false" customHeight="false" outlineLevel="0" collapsed="false">
      <c r="A76" s="173" t="n">
        <f aca="false">D76</f>
        <v>4.5</v>
      </c>
      <c r="B76" s="161" t="n">
        <f aca="false">+B75+1</f>
        <v>72</v>
      </c>
      <c r="C76" s="189" t="s">
        <v>220</v>
      </c>
      <c r="D76" s="204" t="n">
        <v>4.5</v>
      </c>
      <c r="E76" s="191" t="n">
        <v>83</v>
      </c>
      <c r="F76" s="192" t="n">
        <f aca="false">E76/1000</f>
        <v>0.083</v>
      </c>
      <c r="G76" s="193" t="n">
        <f aca="false">23</f>
        <v>23</v>
      </c>
      <c r="H76" s="178" t="n">
        <f aca="false">G76/2</f>
        <v>11.5</v>
      </c>
      <c r="J76" s="194" t="s">
        <v>221</v>
      </c>
      <c r="K76" s="205" t="n">
        <f aca="false">K75+0.5</f>
        <v>4.5</v>
      </c>
      <c r="L76" s="196"/>
      <c r="M76" s="197"/>
      <c r="O76" s="203" t="n">
        <v>4.5</v>
      </c>
      <c r="P76" s="199" t="n">
        <v>0.083</v>
      </c>
      <c r="Q76" s="199" t="n">
        <v>0.084</v>
      </c>
      <c r="R76" s="185" t="n">
        <f aca="false">(ABS(P76-Q76)/39)*1000</f>
        <v>0.0256410256410257</v>
      </c>
      <c r="S76" s="185" t="n">
        <f aca="false">MAX(R76)</f>
        <v>0.0256410256410257</v>
      </c>
      <c r="T76" s="186" t="n">
        <f aca="false">((((S76*12)/1000)))</f>
        <v>0.000307692307692308</v>
      </c>
      <c r="U76" s="186" t="n">
        <f aca="false">(((T76)*1000)/SQRT(3))</f>
        <v>0.177646236673731</v>
      </c>
      <c r="V76" s="186" t="n">
        <f aca="false">(((0.02)*1000)/SQRT(3))</f>
        <v>11.5470053837925</v>
      </c>
      <c r="W76" s="187"/>
    </row>
    <row r="77" customFormat="false" ht="16.5" hidden="false" customHeight="false" outlineLevel="0" collapsed="false">
      <c r="A77" s="173" t="n">
        <f aca="false">D77</f>
        <v>5</v>
      </c>
      <c r="B77" s="161" t="n">
        <f aca="false">+B76+1</f>
        <v>73</v>
      </c>
      <c r="C77" s="189" t="s">
        <v>222</v>
      </c>
      <c r="D77" s="204" t="n">
        <v>5</v>
      </c>
      <c r="E77" s="191" t="n">
        <v>47</v>
      </c>
      <c r="F77" s="192" t="n">
        <f aca="false">E77/1000</f>
        <v>0.047</v>
      </c>
      <c r="G77" s="193" t="n">
        <f aca="false">23</f>
        <v>23</v>
      </c>
      <c r="H77" s="178" t="n">
        <f aca="false">G77/2</f>
        <v>11.5</v>
      </c>
      <c r="J77" s="194" t="s">
        <v>223</v>
      </c>
      <c r="K77" s="205" t="n">
        <f aca="false">K76+0.5</f>
        <v>5</v>
      </c>
      <c r="L77" s="196"/>
      <c r="M77" s="197"/>
      <c r="O77" s="203" t="n">
        <v>5</v>
      </c>
      <c r="P77" s="199" t="n">
        <v>0.047</v>
      </c>
      <c r="Q77" s="199" t="n">
        <v>0.044</v>
      </c>
      <c r="R77" s="185" t="n">
        <f aca="false">(ABS(P77-Q77)/39)*1000</f>
        <v>0.076923076923077</v>
      </c>
      <c r="S77" s="185" t="n">
        <f aca="false">MAX(R77)</f>
        <v>0.076923076923077</v>
      </c>
      <c r="T77" s="186" t="n">
        <f aca="false">((((S77*12)/1000)))</f>
        <v>0.000923076923076924</v>
      </c>
      <c r="U77" s="186" t="n">
        <f aca="false">(((T77)*1000)/SQRT(3))</f>
        <v>0.532938710021194</v>
      </c>
      <c r="V77" s="186" t="n">
        <f aca="false">(((0.02)*1000)/SQRT(3))</f>
        <v>11.5470053837925</v>
      </c>
      <c r="W77" s="187"/>
    </row>
    <row r="78" customFormat="false" ht="16.5" hidden="false" customHeight="false" outlineLevel="0" collapsed="false">
      <c r="A78" s="173" t="n">
        <f aca="false">D78</f>
        <v>5.5</v>
      </c>
      <c r="B78" s="161" t="n">
        <f aca="false">+B77+1</f>
        <v>74</v>
      </c>
      <c r="C78" s="189" t="s">
        <v>224</v>
      </c>
      <c r="D78" s="204" t="n">
        <v>5.5</v>
      </c>
      <c r="E78" s="191" t="n">
        <v>11</v>
      </c>
      <c r="F78" s="192" t="n">
        <f aca="false">E78/1000</f>
        <v>0.011</v>
      </c>
      <c r="G78" s="193" t="n">
        <f aca="false">23</f>
        <v>23</v>
      </c>
      <c r="H78" s="178" t="n">
        <f aca="false">G78/2</f>
        <v>11.5</v>
      </c>
      <c r="J78" s="194" t="s">
        <v>225</v>
      </c>
      <c r="K78" s="205" t="n">
        <f aca="false">K77+0.5</f>
        <v>5.5</v>
      </c>
      <c r="L78" s="196"/>
      <c r="M78" s="197"/>
      <c r="O78" s="203" t="n">
        <v>5.5</v>
      </c>
      <c r="P78" s="199" t="n">
        <v>0.011</v>
      </c>
      <c r="Q78" s="199" t="n">
        <v>0.013</v>
      </c>
      <c r="R78" s="185" t="n">
        <f aca="false">(ABS(P78-Q78)/39)*1000</f>
        <v>0.0512820512820513</v>
      </c>
      <c r="S78" s="185" t="n">
        <f aca="false">MAX(R78)</f>
        <v>0.0512820512820513</v>
      </c>
      <c r="T78" s="186" t="n">
        <f aca="false">((((S78*12)/1000)))</f>
        <v>0.000615384615384615</v>
      </c>
      <c r="U78" s="186" t="n">
        <f aca="false">(((T78)*1000)/SQRT(3))</f>
        <v>0.355292473347462</v>
      </c>
      <c r="V78" s="186" t="n">
        <f aca="false">(((0.02)*1000)/SQRT(3))</f>
        <v>11.5470053837925</v>
      </c>
      <c r="W78" s="187"/>
    </row>
    <row r="79" customFormat="false" ht="16.5" hidden="false" customHeight="false" outlineLevel="0" collapsed="false">
      <c r="A79" s="173" t="n">
        <f aca="false">D79</f>
        <v>6</v>
      </c>
      <c r="B79" s="161" t="n">
        <f aca="false">+B78+1</f>
        <v>75</v>
      </c>
      <c r="C79" s="189" t="s">
        <v>226</v>
      </c>
      <c r="D79" s="204" t="n">
        <v>6</v>
      </c>
      <c r="E79" s="191" t="n">
        <v>75</v>
      </c>
      <c r="F79" s="192" t="n">
        <f aca="false">E79/1000</f>
        <v>0.075</v>
      </c>
      <c r="G79" s="193" t="n">
        <f aca="false">23</f>
        <v>23</v>
      </c>
      <c r="H79" s="178" t="n">
        <f aca="false">G79/2</f>
        <v>11.5</v>
      </c>
      <c r="J79" s="194" t="s">
        <v>227</v>
      </c>
      <c r="K79" s="205" t="n">
        <f aca="false">K78+0.5</f>
        <v>6</v>
      </c>
      <c r="L79" s="196"/>
      <c r="M79" s="197"/>
      <c r="O79" s="203" t="n">
        <v>6</v>
      </c>
      <c r="P79" s="199" t="n">
        <v>0.075</v>
      </c>
      <c r="Q79" s="199" t="n">
        <v>0.062</v>
      </c>
      <c r="R79" s="185" t="n">
        <f aca="false">(ABS(P79-Q79)/39)*1000</f>
        <v>0.333333333333333</v>
      </c>
      <c r="S79" s="185" t="n">
        <f aca="false">MAX(R79)</f>
        <v>0.333333333333333</v>
      </c>
      <c r="T79" s="186" t="n">
        <f aca="false">((((S79*12)/1000)))</f>
        <v>0.004</v>
      </c>
      <c r="U79" s="186" t="n">
        <f aca="false">(((T79)*1000)/SQRT(3))</f>
        <v>2.3094010767585</v>
      </c>
      <c r="V79" s="186" t="n">
        <f aca="false">(((0.02)*1000)/SQRT(3))</f>
        <v>11.5470053837925</v>
      </c>
      <c r="W79" s="187"/>
    </row>
    <row r="80" customFormat="false" ht="16.5" hidden="false" customHeight="false" outlineLevel="0" collapsed="false">
      <c r="A80" s="173" t="n">
        <f aca="false">D80</f>
        <v>6.5</v>
      </c>
      <c r="B80" s="161" t="n">
        <f aca="false">+B79+1</f>
        <v>76</v>
      </c>
      <c r="C80" s="189" t="s">
        <v>228</v>
      </c>
      <c r="D80" s="204" t="n">
        <v>6.5</v>
      </c>
      <c r="E80" s="191" t="n">
        <v>129</v>
      </c>
      <c r="F80" s="192" t="n">
        <f aca="false">E80/1000</f>
        <v>0.129</v>
      </c>
      <c r="G80" s="193" t="n">
        <f aca="false">23</f>
        <v>23</v>
      </c>
      <c r="H80" s="178" t="n">
        <f aca="false">G80/2</f>
        <v>11.5</v>
      </c>
      <c r="J80" s="194" t="s">
        <v>229</v>
      </c>
      <c r="K80" s="205" t="n">
        <f aca="false">K79+0.5</f>
        <v>6.5</v>
      </c>
      <c r="L80" s="196"/>
      <c r="M80" s="197"/>
      <c r="O80" s="203" t="n">
        <v>6.5</v>
      </c>
      <c r="P80" s="199" t="n">
        <v>0.129</v>
      </c>
      <c r="Q80" s="199" t="n">
        <v>0.096</v>
      </c>
      <c r="R80" s="185" t="n">
        <f aca="false">(ABS(P80-Q80)/39)*1000</f>
        <v>0.846153846153846</v>
      </c>
      <c r="S80" s="185" t="n">
        <f aca="false">MAX(R80)</f>
        <v>0.846153846153846</v>
      </c>
      <c r="T80" s="186" t="n">
        <f aca="false">((((S80*12)/1000)))</f>
        <v>0.0101538461538462</v>
      </c>
      <c r="U80" s="186" t="n">
        <f aca="false">(((T80)*1000)/SQRT(3))</f>
        <v>5.86232581023312</v>
      </c>
      <c r="V80" s="186" t="n">
        <f aca="false">(((0.02)*1000)/SQRT(3))</f>
        <v>11.5470053837925</v>
      </c>
      <c r="W80" s="187"/>
    </row>
    <row r="81" customFormat="false" ht="16.5" hidden="false" customHeight="false" outlineLevel="0" collapsed="false">
      <c r="A81" s="173" t="n">
        <f aca="false">D81</f>
        <v>7</v>
      </c>
      <c r="B81" s="161" t="n">
        <f aca="false">+B80+1</f>
        <v>77</v>
      </c>
      <c r="C81" s="189" t="s">
        <v>230</v>
      </c>
      <c r="D81" s="204" t="n">
        <v>7</v>
      </c>
      <c r="E81" s="191" t="n">
        <v>-44</v>
      </c>
      <c r="F81" s="192" t="n">
        <f aca="false">E81/1000</f>
        <v>-0.044</v>
      </c>
      <c r="G81" s="193" t="n">
        <f aca="false">23</f>
        <v>23</v>
      </c>
      <c r="H81" s="178" t="n">
        <f aca="false">G81/2</f>
        <v>11.5</v>
      </c>
      <c r="J81" s="194" t="s">
        <v>231</v>
      </c>
      <c r="K81" s="205" t="n">
        <f aca="false">K80+0.5</f>
        <v>7</v>
      </c>
      <c r="L81" s="196"/>
      <c r="M81" s="197"/>
      <c r="O81" s="203" t="n">
        <v>7</v>
      </c>
      <c r="P81" s="199" t="n">
        <v>-0.044</v>
      </c>
      <c r="Q81" s="199" t="n">
        <v>-0.048</v>
      </c>
      <c r="R81" s="185" t="n">
        <f aca="false">(ABS(P81-Q81)/39)*1000</f>
        <v>0.102564102564103</v>
      </c>
      <c r="S81" s="185" t="n">
        <f aca="false">MAX(R81)</f>
        <v>0.102564102564103</v>
      </c>
      <c r="T81" s="186" t="n">
        <f aca="false">((((S81*12)/1000)))</f>
        <v>0.00123076923076923</v>
      </c>
      <c r="U81" s="186" t="n">
        <f aca="false">(((T81)*1000)/SQRT(3))</f>
        <v>0.710584946694925</v>
      </c>
      <c r="V81" s="186" t="n">
        <f aca="false">(((0.02)*1000)/SQRT(3))</f>
        <v>11.5470053837925</v>
      </c>
      <c r="W81" s="187"/>
    </row>
    <row r="82" customFormat="false" ht="16.5" hidden="false" customHeight="false" outlineLevel="0" collapsed="false">
      <c r="A82" s="173" t="n">
        <f aca="false">D82</f>
        <v>7.5</v>
      </c>
      <c r="B82" s="161" t="n">
        <f aca="false">+B81+1</f>
        <v>78</v>
      </c>
      <c r="C82" s="189" t="s">
        <v>232</v>
      </c>
      <c r="D82" s="204" t="n">
        <v>7.5</v>
      </c>
      <c r="E82" s="191" t="n">
        <v>46</v>
      </c>
      <c r="F82" s="192" t="n">
        <f aca="false">E82/1000</f>
        <v>0.046</v>
      </c>
      <c r="G82" s="193" t="n">
        <f aca="false">23</f>
        <v>23</v>
      </c>
      <c r="H82" s="178" t="n">
        <f aca="false">G82/2</f>
        <v>11.5</v>
      </c>
      <c r="J82" s="194" t="s">
        <v>233</v>
      </c>
      <c r="K82" s="205" t="n">
        <f aca="false">K81+0.5</f>
        <v>7.5</v>
      </c>
      <c r="L82" s="196"/>
      <c r="M82" s="197"/>
      <c r="O82" s="203" t="n">
        <v>7.5</v>
      </c>
      <c r="P82" s="199" t="n">
        <v>0.046</v>
      </c>
      <c r="Q82" s="199" t="n">
        <v>0.023</v>
      </c>
      <c r="R82" s="185" t="n">
        <f aca="false">(ABS(P82-Q82)/39)*1000</f>
        <v>0.58974358974359</v>
      </c>
      <c r="S82" s="185" t="n">
        <f aca="false">MAX(R82)</f>
        <v>0.58974358974359</v>
      </c>
      <c r="T82" s="186" t="n">
        <f aca="false">((((S82*12)/1000)))</f>
        <v>0.00707692307692308</v>
      </c>
      <c r="U82" s="186" t="n">
        <f aca="false">(((T82)*1000)/SQRT(3))</f>
        <v>4.08586344349581</v>
      </c>
      <c r="V82" s="186" t="n">
        <f aca="false">(((0.02)*1000)/SQRT(3))</f>
        <v>11.5470053837925</v>
      </c>
      <c r="W82" s="187"/>
    </row>
    <row r="83" customFormat="false" ht="16.5" hidden="false" customHeight="false" outlineLevel="0" collapsed="false">
      <c r="A83" s="173" t="n">
        <f aca="false">D83</f>
        <v>8</v>
      </c>
      <c r="B83" s="161" t="n">
        <f aca="false">+B82+1</f>
        <v>79</v>
      </c>
      <c r="C83" s="189" t="s">
        <v>234</v>
      </c>
      <c r="D83" s="204" t="n">
        <v>8</v>
      </c>
      <c r="E83" s="191" t="n">
        <v>-99</v>
      </c>
      <c r="F83" s="192" t="n">
        <f aca="false">E83/1000</f>
        <v>-0.099</v>
      </c>
      <c r="G83" s="193" t="n">
        <f aca="false">23</f>
        <v>23</v>
      </c>
      <c r="H83" s="178" t="n">
        <f aca="false">G83/2</f>
        <v>11.5</v>
      </c>
      <c r="J83" s="194" t="s">
        <v>235</v>
      </c>
      <c r="K83" s="205" t="n">
        <f aca="false">K82+0.5</f>
        <v>8</v>
      </c>
      <c r="L83" s="196"/>
      <c r="M83" s="197"/>
      <c r="O83" s="203" t="n">
        <v>8</v>
      </c>
      <c r="P83" s="199" t="n">
        <v>-0.099</v>
      </c>
      <c r="Q83" s="199" t="n">
        <v>-0.12</v>
      </c>
      <c r="R83" s="185" t="n">
        <f aca="false">(ABS(P83-Q83)/39)*1000</f>
        <v>0.538461538461538</v>
      </c>
      <c r="S83" s="185" t="n">
        <f aca="false">MAX(R83)</f>
        <v>0.538461538461538</v>
      </c>
      <c r="T83" s="186" t="n">
        <f aca="false">((((S83*12)/1000)))</f>
        <v>0.00646153846153846</v>
      </c>
      <c r="U83" s="186" t="n">
        <f aca="false">(((T83)*1000)/SQRT(3))</f>
        <v>3.73057097014835</v>
      </c>
      <c r="V83" s="186" t="n">
        <f aca="false">(((0.02)*1000)/SQRT(3))</f>
        <v>11.5470053837925</v>
      </c>
      <c r="W83" s="187"/>
    </row>
    <row r="84" customFormat="false" ht="16.5" hidden="false" customHeight="false" outlineLevel="0" collapsed="false">
      <c r="A84" s="173" t="n">
        <f aca="false">D84</f>
        <v>8.5</v>
      </c>
      <c r="B84" s="161" t="n">
        <f aca="false">+B83+1</f>
        <v>80</v>
      </c>
      <c r="C84" s="189" t="s">
        <v>236</v>
      </c>
      <c r="D84" s="204" t="n">
        <v>8.5</v>
      </c>
      <c r="E84" s="191" t="n">
        <v>95</v>
      </c>
      <c r="F84" s="192" t="n">
        <f aca="false">E84/1000</f>
        <v>0.095</v>
      </c>
      <c r="G84" s="193" t="n">
        <f aca="false">23</f>
        <v>23</v>
      </c>
      <c r="H84" s="178" t="n">
        <f aca="false">G84/2</f>
        <v>11.5</v>
      </c>
      <c r="J84" s="194" t="s">
        <v>237</v>
      </c>
      <c r="K84" s="205" t="n">
        <f aca="false">K83+0.5</f>
        <v>8.5</v>
      </c>
      <c r="L84" s="196"/>
      <c r="M84" s="197"/>
      <c r="O84" s="203" t="n">
        <v>8.5</v>
      </c>
      <c r="P84" s="199" t="n">
        <v>0.095</v>
      </c>
      <c r="Q84" s="199" t="n">
        <v>0.067</v>
      </c>
      <c r="R84" s="185" t="n">
        <f aca="false">(ABS(P84-Q84)/39)*1000</f>
        <v>0.717948717948718</v>
      </c>
      <c r="S84" s="185" t="n">
        <f aca="false">MAX(R84)</f>
        <v>0.717948717948718</v>
      </c>
      <c r="T84" s="186" t="n">
        <f aca="false">((((S84*12)/1000)))</f>
        <v>0.00861538461538461</v>
      </c>
      <c r="U84" s="186" t="n">
        <f aca="false">(((T84)*1000)/SQRT(3))</f>
        <v>4.97409462686447</v>
      </c>
      <c r="V84" s="186" t="n">
        <f aca="false">(((0.02)*1000)/SQRT(3))</f>
        <v>11.5470053837925</v>
      </c>
      <c r="W84" s="187"/>
    </row>
    <row r="85" customFormat="false" ht="16.5" hidden="false" customHeight="false" outlineLevel="0" collapsed="false">
      <c r="A85" s="173" t="n">
        <f aca="false">D85</f>
        <v>9</v>
      </c>
      <c r="B85" s="161" t="n">
        <f aca="false">+B84+1</f>
        <v>81</v>
      </c>
      <c r="C85" s="189" t="s">
        <v>238</v>
      </c>
      <c r="D85" s="204" t="n">
        <v>9</v>
      </c>
      <c r="E85" s="191" t="n">
        <v>24</v>
      </c>
      <c r="F85" s="192" t="n">
        <f aca="false">E85/1000</f>
        <v>0.024</v>
      </c>
      <c r="G85" s="193" t="n">
        <f aca="false">23</f>
        <v>23</v>
      </c>
      <c r="H85" s="178" t="n">
        <f aca="false">G85/2</f>
        <v>11.5</v>
      </c>
      <c r="J85" s="194" t="s">
        <v>239</v>
      </c>
      <c r="K85" s="205" t="n">
        <f aca="false">K84+0.5</f>
        <v>9</v>
      </c>
      <c r="L85" s="196"/>
      <c r="M85" s="197"/>
      <c r="O85" s="203" t="n">
        <v>9</v>
      </c>
      <c r="P85" s="199" t="n">
        <v>0.024</v>
      </c>
      <c r="Q85" s="199" t="n">
        <v>0.006</v>
      </c>
      <c r="R85" s="185" t="n">
        <f aca="false">(ABS(P85-Q85)/39)*1000</f>
        <v>0.461538461538462</v>
      </c>
      <c r="S85" s="185" t="n">
        <f aca="false">MAX(R85)</f>
        <v>0.461538461538462</v>
      </c>
      <c r="T85" s="186" t="n">
        <f aca="false">((((S85*12)/1000)))</f>
        <v>0.00553846153846154</v>
      </c>
      <c r="U85" s="186" t="n">
        <f aca="false">(((T85)*1000)/SQRT(3))</f>
        <v>3.19763226012716</v>
      </c>
      <c r="V85" s="186" t="n">
        <f aca="false">(((0.02)*1000)/SQRT(3))</f>
        <v>11.5470053837925</v>
      </c>
      <c r="W85" s="187"/>
    </row>
    <row r="86" customFormat="false" ht="16.5" hidden="false" customHeight="false" outlineLevel="0" collapsed="false">
      <c r="A86" s="173" t="n">
        <f aca="false">D86</f>
        <v>9.5</v>
      </c>
      <c r="B86" s="161" t="n">
        <f aca="false">+B85+1</f>
        <v>82</v>
      </c>
      <c r="C86" s="189" t="s">
        <v>240</v>
      </c>
      <c r="D86" s="204" t="n">
        <v>9.5</v>
      </c>
      <c r="E86" s="191" t="n">
        <v>28</v>
      </c>
      <c r="F86" s="192" t="n">
        <f aca="false">E86/1000</f>
        <v>0.028</v>
      </c>
      <c r="G86" s="193" t="n">
        <f aca="false">23</f>
        <v>23</v>
      </c>
      <c r="H86" s="178" t="n">
        <f aca="false">G86/2</f>
        <v>11.5</v>
      </c>
      <c r="J86" s="194" t="s">
        <v>241</v>
      </c>
      <c r="K86" s="205" t="n">
        <f aca="false">K85+0.5</f>
        <v>9.5</v>
      </c>
      <c r="L86" s="196"/>
      <c r="M86" s="197"/>
      <c r="O86" s="203" t="n">
        <v>9.5</v>
      </c>
      <c r="P86" s="199" t="n">
        <v>0.028</v>
      </c>
      <c r="Q86" s="199" t="n">
        <v>0.033</v>
      </c>
      <c r="R86" s="185" t="n">
        <f aca="false">(ABS(P86-Q86)/39)*1000</f>
        <v>0.128205128205128</v>
      </c>
      <c r="S86" s="185" t="n">
        <f aca="false">MAX(R86)</f>
        <v>0.128205128205128</v>
      </c>
      <c r="T86" s="186" t="n">
        <f aca="false">((((S86*12)/1000)))</f>
        <v>0.00153846153846154</v>
      </c>
      <c r="U86" s="186" t="n">
        <f aca="false">(((T86)*1000)/SQRT(3))</f>
        <v>0.888231183368655</v>
      </c>
      <c r="V86" s="186" t="n">
        <f aca="false">(((0.02)*1000)/SQRT(3))</f>
        <v>11.5470053837925</v>
      </c>
      <c r="W86" s="187"/>
    </row>
    <row r="87" customFormat="false" ht="16.5" hidden="false" customHeight="false" outlineLevel="0" collapsed="false">
      <c r="A87" s="173" t="n">
        <f aca="false">D87</f>
        <v>10</v>
      </c>
      <c r="B87" s="161" t="n">
        <f aca="false">+B86+1</f>
        <v>83</v>
      </c>
      <c r="C87" s="189" t="s">
        <v>242</v>
      </c>
      <c r="D87" s="204" t="n">
        <v>10</v>
      </c>
      <c r="E87" s="191" t="n">
        <v>-127</v>
      </c>
      <c r="F87" s="192" t="n">
        <f aca="false">E87/1000</f>
        <v>-0.127</v>
      </c>
      <c r="G87" s="193" t="n">
        <f aca="false">23</f>
        <v>23</v>
      </c>
      <c r="H87" s="178" t="n">
        <f aca="false">G87/2</f>
        <v>11.5</v>
      </c>
      <c r="J87" s="194" t="s">
        <v>243</v>
      </c>
      <c r="K87" s="205" t="n">
        <f aca="false">K86+0.5</f>
        <v>10</v>
      </c>
      <c r="L87" s="196"/>
      <c r="M87" s="197"/>
      <c r="O87" s="203" t="n">
        <v>10</v>
      </c>
      <c r="P87" s="199" t="n">
        <v>-0.127</v>
      </c>
      <c r="Q87" s="199" t="n">
        <v>-0.126</v>
      </c>
      <c r="R87" s="185" t="n">
        <f aca="false">(ABS(P87-Q87)/39)*1000</f>
        <v>0.0256410256410257</v>
      </c>
      <c r="S87" s="185" t="n">
        <f aca="false">MAX(R87)</f>
        <v>0.0256410256410257</v>
      </c>
      <c r="T87" s="186" t="n">
        <f aca="false">((((S87*12)/1000)))</f>
        <v>0.000307692307692308</v>
      </c>
      <c r="U87" s="186" t="n">
        <f aca="false">(((T87)*1000)/SQRT(3))</f>
        <v>0.177646236673731</v>
      </c>
      <c r="V87" s="186" t="n">
        <f aca="false">(((0.02)*1000)/SQRT(3))</f>
        <v>11.5470053837925</v>
      </c>
      <c r="W87" s="187"/>
    </row>
    <row r="88" customFormat="false" ht="16.5" hidden="false" customHeight="false" outlineLevel="0" collapsed="false">
      <c r="A88" s="173" t="n">
        <f aca="false">D88</f>
        <v>10.5</v>
      </c>
      <c r="B88" s="161" t="n">
        <f aca="false">+B87+1</f>
        <v>84</v>
      </c>
      <c r="C88" s="189" t="s">
        <v>244</v>
      </c>
      <c r="D88" s="204" t="n">
        <v>10.5</v>
      </c>
      <c r="E88" s="191" t="n">
        <v>-19</v>
      </c>
      <c r="F88" s="192" t="n">
        <f aca="false">E88/1000</f>
        <v>-0.019</v>
      </c>
      <c r="G88" s="193" t="n">
        <f aca="false">24</f>
        <v>24</v>
      </c>
      <c r="H88" s="178" t="n">
        <f aca="false">G88/2</f>
        <v>12</v>
      </c>
      <c r="J88" s="194" t="s">
        <v>245</v>
      </c>
      <c r="K88" s="205" t="n">
        <f aca="false">K87+0.5</f>
        <v>10.5</v>
      </c>
      <c r="L88" s="196"/>
      <c r="M88" s="197"/>
      <c r="O88" s="203" t="n">
        <v>10.5</v>
      </c>
      <c r="P88" s="199" t="n">
        <v>-0.019</v>
      </c>
      <c r="Q88" s="199" t="n">
        <v>-0.024</v>
      </c>
      <c r="R88" s="185" t="n">
        <f aca="false">(ABS(P88-Q88)/39)*1000</f>
        <v>0.128205128205128</v>
      </c>
      <c r="S88" s="185" t="n">
        <f aca="false">MAX(R88)</f>
        <v>0.128205128205128</v>
      </c>
      <c r="T88" s="186" t="n">
        <f aca="false">((((S88*12)/1000)))</f>
        <v>0.00153846153846154</v>
      </c>
      <c r="U88" s="186" t="n">
        <f aca="false">(((T88)*1000)/SQRT(3))</f>
        <v>0.888231183368655</v>
      </c>
      <c r="V88" s="186" t="n">
        <f aca="false">(((0.02)*1000)/SQRT(3))</f>
        <v>11.5470053837925</v>
      </c>
      <c r="W88" s="187"/>
    </row>
    <row r="89" customFormat="false" ht="16.5" hidden="false" customHeight="false" outlineLevel="0" collapsed="false">
      <c r="A89" s="173" t="n">
        <f aca="false">D89</f>
        <v>11</v>
      </c>
      <c r="B89" s="161" t="n">
        <f aca="false">+B88+1</f>
        <v>85</v>
      </c>
      <c r="C89" s="189" t="s">
        <v>246</v>
      </c>
      <c r="D89" s="204" t="n">
        <v>11</v>
      </c>
      <c r="E89" s="191" t="n">
        <v>127</v>
      </c>
      <c r="F89" s="192" t="n">
        <f aca="false">E89/1000</f>
        <v>0.127</v>
      </c>
      <c r="G89" s="193" t="n">
        <f aca="false">24</f>
        <v>24</v>
      </c>
      <c r="H89" s="178" t="n">
        <f aca="false">G89/2</f>
        <v>12</v>
      </c>
      <c r="J89" s="194" t="s">
        <v>247</v>
      </c>
      <c r="K89" s="205" t="n">
        <f aca="false">K88+0.5</f>
        <v>11</v>
      </c>
      <c r="L89" s="196"/>
      <c r="M89" s="197"/>
      <c r="O89" s="203" t="n">
        <v>11</v>
      </c>
      <c r="P89" s="199" t="n">
        <v>0.127</v>
      </c>
      <c r="Q89" s="199" t="n">
        <v>0.114</v>
      </c>
      <c r="R89" s="185" t="n">
        <f aca="false">(ABS(P89-Q89)/39)*1000</f>
        <v>0.333333333333333</v>
      </c>
      <c r="S89" s="185" t="n">
        <f aca="false">MAX(R89)</f>
        <v>0.333333333333333</v>
      </c>
      <c r="T89" s="186" t="n">
        <f aca="false">((((S89*12)/1000)))</f>
        <v>0.004</v>
      </c>
      <c r="U89" s="186" t="n">
        <f aca="false">(((T89)*1000)/SQRT(3))</f>
        <v>2.3094010767585</v>
      </c>
      <c r="V89" s="186" t="n">
        <f aca="false">(((0.02)*1000)/SQRT(3))</f>
        <v>11.5470053837925</v>
      </c>
      <c r="W89" s="187"/>
    </row>
    <row r="90" customFormat="false" ht="16.5" hidden="false" customHeight="false" outlineLevel="0" collapsed="false">
      <c r="A90" s="173" t="n">
        <f aca="false">D90</f>
        <v>11.5</v>
      </c>
      <c r="B90" s="161" t="n">
        <f aca="false">+B89+1</f>
        <v>86</v>
      </c>
      <c r="C90" s="189" t="s">
        <v>248</v>
      </c>
      <c r="D90" s="204" t="n">
        <v>11.5</v>
      </c>
      <c r="E90" s="191" t="n">
        <v>109</v>
      </c>
      <c r="F90" s="192" t="n">
        <f aca="false">E90/1000</f>
        <v>0.109</v>
      </c>
      <c r="G90" s="193" t="n">
        <f aca="false">24</f>
        <v>24</v>
      </c>
      <c r="H90" s="178" t="n">
        <f aca="false">G90/2</f>
        <v>12</v>
      </c>
      <c r="J90" s="194" t="s">
        <v>249</v>
      </c>
      <c r="K90" s="205" t="n">
        <f aca="false">K89+0.5</f>
        <v>11.5</v>
      </c>
      <c r="L90" s="196"/>
      <c r="M90" s="197"/>
      <c r="O90" s="203" t="n">
        <v>11.5</v>
      </c>
      <c r="P90" s="199" t="n">
        <v>0.109</v>
      </c>
      <c r="Q90" s="199" t="n">
        <v>0.114</v>
      </c>
      <c r="R90" s="185" t="n">
        <f aca="false">(ABS(P90-Q90)/39)*1000</f>
        <v>0.128205128205128</v>
      </c>
      <c r="S90" s="185" t="n">
        <f aca="false">MAX(R90)</f>
        <v>0.128205128205128</v>
      </c>
      <c r="T90" s="186" t="n">
        <f aca="false">((((S90*12)/1000)))</f>
        <v>0.00153846153846154</v>
      </c>
      <c r="U90" s="186" t="n">
        <f aca="false">(((T90)*1000)/SQRT(3))</f>
        <v>0.888231183368656</v>
      </c>
      <c r="V90" s="186" t="n">
        <f aca="false">(((0.02)*1000)/SQRT(3))</f>
        <v>11.5470053837925</v>
      </c>
      <c r="W90" s="187"/>
    </row>
    <row r="91" customFormat="false" ht="16.5" hidden="false" customHeight="false" outlineLevel="0" collapsed="false">
      <c r="A91" s="173" t="n">
        <f aca="false">D91</f>
        <v>12</v>
      </c>
      <c r="B91" s="161" t="n">
        <f aca="false">+B90+1</f>
        <v>87</v>
      </c>
      <c r="C91" s="189" t="s">
        <v>250</v>
      </c>
      <c r="D91" s="204" t="n">
        <v>12</v>
      </c>
      <c r="E91" s="191" t="n">
        <v>119</v>
      </c>
      <c r="F91" s="192" t="n">
        <f aca="false">E91/1000</f>
        <v>0.119</v>
      </c>
      <c r="G91" s="193" t="n">
        <f aca="false">24</f>
        <v>24</v>
      </c>
      <c r="H91" s="178" t="n">
        <f aca="false">G91/2</f>
        <v>12</v>
      </c>
      <c r="J91" s="194" t="s">
        <v>251</v>
      </c>
      <c r="K91" s="205" t="n">
        <f aca="false">K90+0.5</f>
        <v>12</v>
      </c>
      <c r="L91" s="196"/>
      <c r="M91" s="197"/>
      <c r="O91" s="203" t="n">
        <v>12</v>
      </c>
      <c r="P91" s="199" t="n">
        <v>0.119</v>
      </c>
      <c r="Q91" s="199" t="n">
        <v>0.117</v>
      </c>
      <c r="R91" s="185" t="n">
        <f aca="false">(ABS(P91-Q91)/39)*1000</f>
        <v>0.051282051282051</v>
      </c>
      <c r="S91" s="185" t="n">
        <f aca="false">MAX(R91)</f>
        <v>0.051282051282051</v>
      </c>
      <c r="T91" s="186" t="n">
        <f aca="false">((((S91*12)/1000)))</f>
        <v>0.000615384615384612</v>
      </c>
      <c r="U91" s="186" t="n">
        <f aca="false">(((T91)*1000)/SQRT(3))</f>
        <v>0.35529247334746</v>
      </c>
      <c r="V91" s="186" t="n">
        <f aca="false">(((0.02)*1000)/SQRT(3))</f>
        <v>11.5470053837925</v>
      </c>
      <c r="W91" s="187"/>
    </row>
    <row r="92" customFormat="false" ht="16.5" hidden="false" customHeight="false" outlineLevel="0" collapsed="false">
      <c r="A92" s="173" t="n">
        <f aca="false">D92</f>
        <v>12.5</v>
      </c>
      <c r="B92" s="161" t="n">
        <f aca="false">+B91+1</f>
        <v>88</v>
      </c>
      <c r="C92" s="189" t="s">
        <v>252</v>
      </c>
      <c r="D92" s="204" t="n">
        <v>12.5</v>
      </c>
      <c r="E92" s="191" t="n">
        <v>74</v>
      </c>
      <c r="F92" s="192" t="n">
        <f aca="false">E92/1000</f>
        <v>0.074</v>
      </c>
      <c r="G92" s="193" t="n">
        <f aca="false">24</f>
        <v>24</v>
      </c>
      <c r="H92" s="178" t="n">
        <f aca="false">G92/2</f>
        <v>12</v>
      </c>
      <c r="J92" s="194" t="s">
        <v>253</v>
      </c>
      <c r="K92" s="205" t="n">
        <f aca="false">K91+0.5</f>
        <v>12.5</v>
      </c>
      <c r="L92" s="196"/>
      <c r="M92" s="197"/>
      <c r="O92" s="203" t="n">
        <v>12.5</v>
      </c>
      <c r="P92" s="199" t="n">
        <v>0.074</v>
      </c>
      <c r="Q92" s="199" t="n">
        <v>0.061</v>
      </c>
      <c r="R92" s="185" t="n">
        <f aca="false">(ABS(P92-Q92)/39)*1000</f>
        <v>0.333333333333333</v>
      </c>
      <c r="S92" s="185" t="n">
        <f aca="false">MAX(R92)</f>
        <v>0.333333333333333</v>
      </c>
      <c r="T92" s="186" t="n">
        <f aca="false">((((S92*12)/1000)))</f>
        <v>0.004</v>
      </c>
      <c r="U92" s="186" t="n">
        <f aca="false">(((T92)*1000)/SQRT(3))</f>
        <v>2.3094010767585</v>
      </c>
      <c r="V92" s="186" t="n">
        <f aca="false">(((0.02)*1000)/SQRT(3))</f>
        <v>11.5470053837925</v>
      </c>
      <c r="W92" s="187"/>
    </row>
    <row r="93" customFormat="false" ht="16.5" hidden="false" customHeight="false" outlineLevel="0" collapsed="false">
      <c r="A93" s="173" t="n">
        <f aca="false">D93</f>
        <v>13</v>
      </c>
      <c r="B93" s="161" t="n">
        <f aca="false">+B92+1</f>
        <v>89</v>
      </c>
      <c r="C93" s="189" t="s">
        <v>254</v>
      </c>
      <c r="D93" s="204" t="n">
        <v>13</v>
      </c>
      <c r="E93" s="191" t="n">
        <v>84</v>
      </c>
      <c r="F93" s="192" t="n">
        <f aca="false">E93/1000</f>
        <v>0.084</v>
      </c>
      <c r="G93" s="193" t="n">
        <f aca="false">24</f>
        <v>24</v>
      </c>
      <c r="H93" s="178" t="n">
        <f aca="false">G93/2</f>
        <v>12</v>
      </c>
      <c r="J93" s="194" t="s">
        <v>255</v>
      </c>
      <c r="K93" s="205" t="n">
        <f aca="false">K92+0.5</f>
        <v>13</v>
      </c>
      <c r="L93" s="196"/>
      <c r="M93" s="197"/>
      <c r="O93" s="203" t="n">
        <v>13</v>
      </c>
      <c r="P93" s="199" t="n">
        <v>0.084</v>
      </c>
      <c r="Q93" s="199" t="n">
        <v>0.074</v>
      </c>
      <c r="R93" s="185" t="n">
        <f aca="false">(ABS(P93-Q93)/39)*1000</f>
        <v>0.256410256410257</v>
      </c>
      <c r="S93" s="185" t="n">
        <f aca="false">MAX(R93)</f>
        <v>0.256410256410257</v>
      </c>
      <c r="T93" s="186" t="n">
        <f aca="false">((((S93*12)/1000)))</f>
        <v>0.00307692307692308</v>
      </c>
      <c r="U93" s="186" t="n">
        <f aca="false">(((T93)*1000)/SQRT(3))</f>
        <v>1.77646236673731</v>
      </c>
      <c r="V93" s="186" t="n">
        <f aca="false">(((0.02)*1000)/SQRT(3))</f>
        <v>11.5470053837925</v>
      </c>
      <c r="W93" s="187"/>
    </row>
    <row r="94" customFormat="false" ht="16.5" hidden="false" customHeight="false" outlineLevel="0" collapsed="false">
      <c r="A94" s="173" t="n">
        <f aca="false">D94</f>
        <v>13.5</v>
      </c>
      <c r="B94" s="161" t="n">
        <f aca="false">+B93+1</f>
        <v>90</v>
      </c>
      <c r="C94" s="189" t="s">
        <v>256</v>
      </c>
      <c r="D94" s="204" t="n">
        <v>13.5</v>
      </c>
      <c r="E94" s="191" t="n">
        <v>-9</v>
      </c>
      <c r="F94" s="192" t="n">
        <f aca="false">E94/1000</f>
        <v>-0.009</v>
      </c>
      <c r="G94" s="193" t="n">
        <f aca="false">24</f>
        <v>24</v>
      </c>
      <c r="H94" s="178" t="n">
        <f aca="false">G94/2</f>
        <v>12</v>
      </c>
      <c r="J94" s="194" t="s">
        <v>257</v>
      </c>
      <c r="K94" s="205" t="n">
        <f aca="false">K93+0.5</f>
        <v>13.5</v>
      </c>
      <c r="L94" s="196"/>
      <c r="M94" s="197"/>
      <c r="O94" s="203" t="n">
        <v>13.5</v>
      </c>
      <c r="P94" s="199" t="n">
        <v>-0.009</v>
      </c>
      <c r="Q94" s="199" t="n">
        <v>-0.027</v>
      </c>
      <c r="R94" s="185" t="n">
        <f aca="false">(ABS(P94-Q94)/39)*1000</f>
        <v>0.461538461538462</v>
      </c>
      <c r="S94" s="185" t="n">
        <f aca="false">MAX(R94)</f>
        <v>0.461538461538462</v>
      </c>
      <c r="T94" s="186" t="n">
        <f aca="false">((((S94*12)/1000)))</f>
        <v>0.00553846153846154</v>
      </c>
      <c r="U94" s="186" t="n">
        <f aca="false">(((T94)*1000)/SQRT(3))</f>
        <v>3.19763226012716</v>
      </c>
      <c r="V94" s="186" t="n">
        <f aca="false">(((0.02)*1000)/SQRT(3))</f>
        <v>11.5470053837925</v>
      </c>
      <c r="W94" s="187"/>
    </row>
    <row r="95" customFormat="false" ht="16.5" hidden="false" customHeight="false" outlineLevel="0" collapsed="false">
      <c r="A95" s="173" t="n">
        <f aca="false">D95</f>
        <v>14</v>
      </c>
      <c r="B95" s="161" t="n">
        <f aca="false">+B94+1</f>
        <v>91</v>
      </c>
      <c r="C95" s="189" t="s">
        <v>258</v>
      </c>
      <c r="D95" s="204" t="n">
        <v>14</v>
      </c>
      <c r="E95" s="191" t="n">
        <v>45</v>
      </c>
      <c r="F95" s="192" t="n">
        <f aca="false">E95/1000</f>
        <v>0.045</v>
      </c>
      <c r="G95" s="193" t="n">
        <f aca="false">24</f>
        <v>24</v>
      </c>
      <c r="H95" s="178" t="n">
        <f aca="false">G95/2</f>
        <v>12</v>
      </c>
      <c r="J95" s="194" t="s">
        <v>259</v>
      </c>
      <c r="K95" s="205" t="n">
        <f aca="false">K94+0.5</f>
        <v>14</v>
      </c>
      <c r="L95" s="196"/>
      <c r="M95" s="197"/>
      <c r="O95" s="203" t="n">
        <v>14</v>
      </c>
      <c r="P95" s="199" t="n">
        <v>0.045</v>
      </c>
      <c r="Q95" s="199" t="n">
        <v>0.04</v>
      </c>
      <c r="R95" s="185" t="n">
        <f aca="false">(ABS(P95-Q95)/39)*1000</f>
        <v>0.128205128205128</v>
      </c>
      <c r="S95" s="185" t="n">
        <f aca="false">MAX(R95)</f>
        <v>0.128205128205128</v>
      </c>
      <c r="T95" s="186" t="n">
        <f aca="false">((((S95*12)/1000)))</f>
        <v>0.00153846153846154</v>
      </c>
      <c r="U95" s="186" t="n">
        <f aca="false">(((T95)*1000)/SQRT(3))</f>
        <v>0.888231183368655</v>
      </c>
      <c r="V95" s="186" t="n">
        <f aca="false">(((0.02)*1000)/SQRT(3))</f>
        <v>11.5470053837925</v>
      </c>
      <c r="W95" s="187"/>
    </row>
    <row r="96" customFormat="false" ht="16.5" hidden="false" customHeight="false" outlineLevel="0" collapsed="false">
      <c r="A96" s="173" t="n">
        <f aca="false">D96</f>
        <v>14.5</v>
      </c>
      <c r="B96" s="161" t="n">
        <f aca="false">+B95+1</f>
        <v>92</v>
      </c>
      <c r="C96" s="189" t="s">
        <v>260</v>
      </c>
      <c r="D96" s="204" t="n">
        <v>14.5</v>
      </c>
      <c r="E96" s="191" t="n">
        <v>87</v>
      </c>
      <c r="F96" s="192" t="n">
        <f aca="false">E96/1000</f>
        <v>0.087</v>
      </c>
      <c r="G96" s="193" t="n">
        <f aca="false">24</f>
        <v>24</v>
      </c>
      <c r="H96" s="178" t="n">
        <f aca="false">G96/2</f>
        <v>12</v>
      </c>
      <c r="J96" s="194" t="s">
        <v>261</v>
      </c>
      <c r="K96" s="205" t="n">
        <f aca="false">K95+0.5</f>
        <v>14.5</v>
      </c>
      <c r="L96" s="196"/>
      <c r="M96" s="197"/>
      <c r="O96" s="203" t="n">
        <v>14.5</v>
      </c>
      <c r="P96" s="199" t="n">
        <v>0.087</v>
      </c>
      <c r="Q96" s="199" t="n">
        <v>0.061</v>
      </c>
      <c r="R96" s="185" t="n">
        <f aca="false">(ABS(P96-Q96)/39)*1000</f>
        <v>0.666666666666667</v>
      </c>
      <c r="S96" s="185" t="n">
        <f aca="false">MAX(R96)</f>
        <v>0.666666666666667</v>
      </c>
      <c r="T96" s="186" t="n">
        <f aca="false">((((S96*12)/1000)))</f>
        <v>0.008</v>
      </c>
      <c r="U96" s="186" t="n">
        <f aca="false">(((T96)*1000)/SQRT(3))</f>
        <v>4.61880215351701</v>
      </c>
      <c r="V96" s="186" t="n">
        <f aca="false">(((0.02)*1000)/SQRT(3))</f>
        <v>11.5470053837925</v>
      </c>
      <c r="W96" s="187"/>
    </row>
    <row r="97" customFormat="false" ht="16.5" hidden="false" customHeight="false" outlineLevel="0" collapsed="false">
      <c r="A97" s="173" t="n">
        <f aca="false">D97</f>
        <v>15</v>
      </c>
      <c r="B97" s="161" t="n">
        <f aca="false">+B96+1</f>
        <v>93</v>
      </c>
      <c r="C97" s="189" t="s">
        <v>262</v>
      </c>
      <c r="D97" s="204" t="n">
        <v>15</v>
      </c>
      <c r="E97" s="191" t="n">
        <v>-66</v>
      </c>
      <c r="F97" s="192" t="n">
        <f aca="false">E97/1000</f>
        <v>-0.066</v>
      </c>
      <c r="G97" s="193" t="n">
        <f aca="false">24</f>
        <v>24</v>
      </c>
      <c r="H97" s="178" t="n">
        <f aca="false">G97/2</f>
        <v>12</v>
      </c>
      <c r="J97" s="194" t="s">
        <v>263</v>
      </c>
      <c r="K97" s="205" t="n">
        <f aca="false">K96+0.5</f>
        <v>15</v>
      </c>
      <c r="L97" s="196"/>
      <c r="M97" s="197"/>
      <c r="O97" s="203" t="n">
        <v>15</v>
      </c>
      <c r="P97" s="199" t="n">
        <v>-0.066</v>
      </c>
      <c r="Q97" s="199" t="n">
        <v>-0.088</v>
      </c>
      <c r="R97" s="185" t="n">
        <f aca="false">(ABS(P97-Q97)/39)*1000</f>
        <v>0.564102564102564</v>
      </c>
      <c r="S97" s="185" t="n">
        <f aca="false">MAX(R97)</f>
        <v>0.564102564102564</v>
      </c>
      <c r="T97" s="186" t="n">
        <f aca="false">((((S97*12)/1000)))</f>
        <v>0.00676923076923077</v>
      </c>
      <c r="U97" s="186" t="n">
        <f aca="false">(((T97)*1000)/SQRT(3))</f>
        <v>3.90821720682208</v>
      </c>
      <c r="V97" s="186" t="n">
        <f aca="false">(((0.02)*1000)/SQRT(3))</f>
        <v>11.5470053837925</v>
      </c>
      <c r="W97" s="187"/>
    </row>
    <row r="98" customFormat="false" ht="16.5" hidden="false" customHeight="false" outlineLevel="0" collapsed="false">
      <c r="A98" s="173" t="n">
        <f aca="false">D98</f>
        <v>15.5</v>
      </c>
      <c r="B98" s="161" t="n">
        <f aca="false">+B97+1</f>
        <v>94</v>
      </c>
      <c r="C98" s="189" t="s">
        <v>264</v>
      </c>
      <c r="D98" s="204" t="n">
        <v>15.5</v>
      </c>
      <c r="E98" s="191" t="n">
        <v>1</v>
      </c>
      <c r="F98" s="192" t="n">
        <f aca="false">E98/1000</f>
        <v>0.001</v>
      </c>
      <c r="G98" s="193" t="n">
        <f aca="false">24</f>
        <v>24</v>
      </c>
      <c r="H98" s="178" t="n">
        <f aca="false">G98/2</f>
        <v>12</v>
      </c>
      <c r="J98" s="194" t="s">
        <v>265</v>
      </c>
      <c r="K98" s="205" t="n">
        <f aca="false">K97+0.5</f>
        <v>15.5</v>
      </c>
      <c r="L98" s="196"/>
      <c r="M98" s="197"/>
      <c r="O98" s="203" t="n">
        <v>15.5</v>
      </c>
      <c r="P98" s="199" t="n">
        <v>0.001</v>
      </c>
      <c r="Q98" s="199" t="n">
        <v>-0.034</v>
      </c>
      <c r="R98" s="185" t="n">
        <f aca="false">(ABS(P98-Q98)/39)*1000</f>
        <v>0.897435897435898</v>
      </c>
      <c r="S98" s="185" t="n">
        <f aca="false">MAX(R98)</f>
        <v>0.897435897435898</v>
      </c>
      <c r="T98" s="186" t="n">
        <f aca="false">((((S98*12)/1000)))</f>
        <v>0.0107692307692308</v>
      </c>
      <c r="U98" s="186" t="n">
        <f aca="false">(((T98)*1000)/SQRT(3))</f>
        <v>6.21761828358059</v>
      </c>
      <c r="V98" s="186" t="n">
        <f aca="false">(((0.02)*1000)/SQRT(3))</f>
        <v>11.5470053837925</v>
      </c>
      <c r="W98" s="187"/>
    </row>
    <row r="99" customFormat="false" ht="16.5" hidden="false" customHeight="false" outlineLevel="0" collapsed="false">
      <c r="A99" s="173" t="n">
        <f aca="false">D99</f>
        <v>16</v>
      </c>
      <c r="B99" s="161" t="n">
        <f aca="false">+B98+1</f>
        <v>95</v>
      </c>
      <c r="C99" s="189" t="s">
        <v>266</v>
      </c>
      <c r="D99" s="204" t="n">
        <v>16</v>
      </c>
      <c r="E99" s="191" t="n">
        <v>13</v>
      </c>
      <c r="F99" s="192" t="n">
        <f aca="false">E99/1000</f>
        <v>0.013</v>
      </c>
      <c r="G99" s="193" t="n">
        <f aca="false">24</f>
        <v>24</v>
      </c>
      <c r="H99" s="178" t="n">
        <f aca="false">G99/2</f>
        <v>12</v>
      </c>
      <c r="J99" s="194" t="s">
        <v>267</v>
      </c>
      <c r="K99" s="205" t="n">
        <f aca="false">K98+0.5</f>
        <v>16</v>
      </c>
      <c r="L99" s="196"/>
      <c r="M99" s="197"/>
      <c r="O99" s="203" t="n">
        <v>16</v>
      </c>
      <c r="P99" s="199" t="n">
        <v>0.013</v>
      </c>
      <c r="Q99" s="199" t="n">
        <v>-0.001</v>
      </c>
      <c r="R99" s="185" t="n">
        <f aca="false">(ABS(P99-Q99)/39)*1000</f>
        <v>0.358974358974359</v>
      </c>
      <c r="S99" s="185" t="n">
        <f aca="false">MAX(R99)</f>
        <v>0.358974358974359</v>
      </c>
      <c r="T99" s="186" t="n">
        <f aca="false">((((S99*12)/1000)))</f>
        <v>0.00430769230769231</v>
      </c>
      <c r="U99" s="186" t="n">
        <f aca="false">(((T99)*1000)/SQRT(3))</f>
        <v>2.48704731343223</v>
      </c>
      <c r="V99" s="186" t="n">
        <f aca="false">(((0.02)*1000)/SQRT(3))</f>
        <v>11.5470053837925</v>
      </c>
      <c r="W99" s="187"/>
    </row>
    <row r="100" customFormat="false" ht="16.5" hidden="false" customHeight="false" outlineLevel="0" collapsed="false">
      <c r="A100" s="173" t="n">
        <f aca="false">D100</f>
        <v>16.5</v>
      </c>
      <c r="B100" s="161" t="n">
        <f aca="false">+B99+1</f>
        <v>96</v>
      </c>
      <c r="C100" s="189" t="s">
        <v>268</v>
      </c>
      <c r="D100" s="204" t="n">
        <v>16.5</v>
      </c>
      <c r="E100" s="191" t="n">
        <v>105</v>
      </c>
      <c r="F100" s="192" t="n">
        <f aca="false">E100/1000</f>
        <v>0.105</v>
      </c>
      <c r="G100" s="193" t="n">
        <f aca="false">24</f>
        <v>24</v>
      </c>
      <c r="H100" s="178" t="n">
        <f aca="false">G100/2</f>
        <v>12</v>
      </c>
      <c r="J100" s="194" t="s">
        <v>269</v>
      </c>
      <c r="K100" s="205" t="n">
        <f aca="false">K99+0.5</f>
        <v>16.5</v>
      </c>
      <c r="L100" s="196"/>
      <c r="M100" s="197"/>
      <c r="O100" s="203" t="n">
        <v>16.5</v>
      </c>
      <c r="P100" s="199" t="n">
        <v>0.105</v>
      </c>
      <c r="Q100" s="199" t="n">
        <v>0.083</v>
      </c>
      <c r="R100" s="185" t="n">
        <f aca="false">(ABS(P100-Q100)/39)*1000</f>
        <v>0.564102564102564</v>
      </c>
      <c r="S100" s="185" t="n">
        <f aca="false">MAX(R100)</f>
        <v>0.564102564102564</v>
      </c>
      <c r="T100" s="186" t="n">
        <f aca="false">((((S100*12)/1000)))</f>
        <v>0.00676923076923077</v>
      </c>
      <c r="U100" s="186" t="n">
        <f aca="false">(((T100)*1000)/SQRT(3))</f>
        <v>3.90821720682208</v>
      </c>
      <c r="V100" s="186" t="n">
        <f aca="false">(((0.02)*1000)/SQRT(3))</f>
        <v>11.5470053837925</v>
      </c>
      <c r="W100" s="187"/>
    </row>
    <row r="101" customFormat="false" ht="16.5" hidden="false" customHeight="false" outlineLevel="0" collapsed="false">
      <c r="A101" s="173" t="n">
        <f aca="false">D101</f>
        <v>17</v>
      </c>
      <c r="B101" s="161" t="n">
        <f aca="false">+B100+1</f>
        <v>97</v>
      </c>
      <c r="C101" s="189" t="s">
        <v>270</v>
      </c>
      <c r="D101" s="204" t="n">
        <v>17</v>
      </c>
      <c r="E101" s="191" t="n">
        <v>-227</v>
      </c>
      <c r="F101" s="192" t="n">
        <f aca="false">E101/1000</f>
        <v>-0.227</v>
      </c>
      <c r="G101" s="193" t="n">
        <f aca="false">24</f>
        <v>24</v>
      </c>
      <c r="H101" s="178" t="n">
        <f aca="false">G101/2</f>
        <v>12</v>
      </c>
      <c r="J101" s="194" t="s">
        <v>271</v>
      </c>
      <c r="K101" s="205" t="n">
        <f aca="false">K100+0.5</f>
        <v>17</v>
      </c>
      <c r="L101" s="196"/>
      <c r="M101" s="197"/>
      <c r="O101" s="203" t="n">
        <v>17</v>
      </c>
      <c r="P101" s="199" t="n">
        <v>-0.227</v>
      </c>
      <c r="Q101" s="199" t="n">
        <v>-0.251</v>
      </c>
      <c r="R101" s="185" t="n">
        <f aca="false">(ABS(P101-Q101)/39)*1000</f>
        <v>0.615384615384615</v>
      </c>
      <c r="S101" s="185" t="n">
        <f aca="false">MAX(R101)</f>
        <v>0.615384615384615</v>
      </c>
      <c r="T101" s="186" t="n">
        <f aca="false">((((S101*12)/1000)))</f>
        <v>0.00738461538461538</v>
      </c>
      <c r="U101" s="186" t="n">
        <f aca="false">(((T101)*1000)/SQRT(3))</f>
        <v>4.26350968016954</v>
      </c>
      <c r="V101" s="186" t="n">
        <f aca="false">(((0.02)*1000)/SQRT(3))</f>
        <v>11.5470053837925</v>
      </c>
      <c r="W101" s="187"/>
    </row>
    <row r="102" customFormat="false" ht="16.5" hidden="false" customHeight="false" outlineLevel="0" collapsed="false">
      <c r="A102" s="173" t="n">
        <f aca="false">D102</f>
        <v>17.5</v>
      </c>
      <c r="B102" s="161" t="n">
        <f aca="false">+B101+1</f>
        <v>98</v>
      </c>
      <c r="C102" s="189" t="s">
        <v>272</v>
      </c>
      <c r="D102" s="204" t="n">
        <v>17.5</v>
      </c>
      <c r="E102" s="191" t="n">
        <v>106</v>
      </c>
      <c r="F102" s="192" t="n">
        <f aca="false">E102/1000</f>
        <v>0.106</v>
      </c>
      <c r="G102" s="193" t="n">
        <f aca="false">24</f>
        <v>24</v>
      </c>
      <c r="H102" s="178" t="n">
        <f aca="false">G102/2</f>
        <v>12</v>
      </c>
      <c r="J102" s="194" t="s">
        <v>273</v>
      </c>
      <c r="K102" s="205" t="n">
        <f aca="false">K101+0.5</f>
        <v>17.5</v>
      </c>
      <c r="L102" s="196"/>
      <c r="M102" s="197"/>
      <c r="O102" s="203" t="n">
        <v>17.5</v>
      </c>
      <c r="P102" s="199" t="n">
        <v>0.106</v>
      </c>
      <c r="Q102" s="199" t="n">
        <v>0.102</v>
      </c>
      <c r="R102" s="185" t="n">
        <f aca="false">(ABS(P102-Q102)/39)*1000</f>
        <v>0.102564102564103</v>
      </c>
      <c r="S102" s="185" t="n">
        <f aca="false">MAX(R102)</f>
        <v>0.102564102564103</v>
      </c>
      <c r="T102" s="186" t="n">
        <f aca="false">((((S102*12)/1000)))</f>
        <v>0.00123076923076923</v>
      </c>
      <c r="U102" s="186" t="n">
        <f aca="false">(((T102)*1000)/SQRT(3))</f>
        <v>0.710584946694925</v>
      </c>
      <c r="V102" s="186" t="n">
        <f aca="false">(((0.02)*1000)/SQRT(3))</f>
        <v>11.5470053837925</v>
      </c>
      <c r="W102" s="187"/>
    </row>
    <row r="103" customFormat="false" ht="16.5" hidden="false" customHeight="false" outlineLevel="0" collapsed="false">
      <c r="A103" s="173" t="n">
        <f aca="false">D103</f>
        <v>18</v>
      </c>
      <c r="B103" s="161" t="n">
        <f aca="false">+B102+1</f>
        <v>99</v>
      </c>
      <c r="C103" s="189" t="s">
        <v>274</v>
      </c>
      <c r="D103" s="204" t="n">
        <v>18</v>
      </c>
      <c r="E103" s="191" t="n">
        <v>-13</v>
      </c>
      <c r="F103" s="192" t="n">
        <f aca="false">E103/1000</f>
        <v>-0.013</v>
      </c>
      <c r="G103" s="193" t="n">
        <f aca="false">24</f>
        <v>24</v>
      </c>
      <c r="H103" s="178" t="n">
        <f aca="false">G103/2</f>
        <v>12</v>
      </c>
      <c r="J103" s="194" t="s">
        <v>275</v>
      </c>
      <c r="K103" s="205" t="n">
        <f aca="false">K102+0.5</f>
        <v>18</v>
      </c>
      <c r="L103" s="196"/>
      <c r="M103" s="197"/>
      <c r="O103" s="203" t="n">
        <v>18</v>
      </c>
      <c r="P103" s="199" t="n">
        <v>-0.013</v>
      </c>
      <c r="Q103" s="199" t="n">
        <v>-0.012</v>
      </c>
      <c r="R103" s="185" t="n">
        <f aca="false">(ABS(P103-Q103)/39)*1000</f>
        <v>0.0256410256410256</v>
      </c>
      <c r="S103" s="185" t="n">
        <f aca="false">MAX(R103)</f>
        <v>0.0256410256410256</v>
      </c>
      <c r="T103" s="186" t="n">
        <f aca="false">((((S103*12)/1000)))</f>
        <v>0.000307692307692307</v>
      </c>
      <c r="U103" s="186" t="n">
        <f aca="false">(((T103)*1000)/SQRT(3))</f>
        <v>0.177646236673731</v>
      </c>
      <c r="V103" s="186" t="n">
        <f aca="false">(((0.02)*1000)/SQRT(3))</f>
        <v>11.5470053837925</v>
      </c>
      <c r="W103" s="187"/>
    </row>
    <row r="104" customFormat="false" ht="16.5" hidden="false" customHeight="false" outlineLevel="0" collapsed="false">
      <c r="A104" s="173" t="n">
        <f aca="false">D104</f>
        <v>18.5</v>
      </c>
      <c r="B104" s="161" t="n">
        <f aca="false">+B103+1</f>
        <v>100</v>
      </c>
      <c r="C104" s="189" t="s">
        <v>276</v>
      </c>
      <c r="D104" s="204" t="n">
        <v>18.5</v>
      </c>
      <c r="E104" s="191" t="n">
        <v>-39</v>
      </c>
      <c r="F104" s="192" t="n">
        <f aca="false">E104/1000</f>
        <v>-0.039</v>
      </c>
      <c r="G104" s="193" t="n">
        <f aca="false">24</f>
        <v>24</v>
      </c>
      <c r="H104" s="178" t="n">
        <f aca="false">G104/2</f>
        <v>12</v>
      </c>
      <c r="J104" s="194" t="s">
        <v>277</v>
      </c>
      <c r="K104" s="205" t="n">
        <f aca="false">K103+0.5</f>
        <v>18.5</v>
      </c>
      <c r="L104" s="196"/>
      <c r="M104" s="197"/>
      <c r="O104" s="203" t="n">
        <v>18.5</v>
      </c>
      <c r="P104" s="199" t="n">
        <v>-0.039</v>
      </c>
      <c r="Q104" s="199" t="n">
        <v>-0.057</v>
      </c>
      <c r="R104" s="185" t="n">
        <f aca="false">(ABS(P104-Q104)/39)*1000</f>
        <v>0.461538461538462</v>
      </c>
      <c r="S104" s="185" t="n">
        <f aca="false">MAX(R104)</f>
        <v>0.461538461538462</v>
      </c>
      <c r="T104" s="186" t="n">
        <f aca="false">((((S104*12)/1000)))</f>
        <v>0.00553846153846154</v>
      </c>
      <c r="U104" s="186" t="n">
        <f aca="false">(((T104)*1000)/SQRT(3))</f>
        <v>3.19763226012716</v>
      </c>
      <c r="V104" s="186" t="n">
        <f aca="false">(((0.02)*1000)/SQRT(3))</f>
        <v>11.5470053837925</v>
      </c>
      <c r="W104" s="187"/>
    </row>
    <row r="105" customFormat="false" ht="16.5" hidden="false" customHeight="false" outlineLevel="0" collapsed="false">
      <c r="A105" s="173" t="n">
        <f aca="false">D105</f>
        <v>19</v>
      </c>
      <c r="B105" s="161" t="n">
        <f aca="false">+B104+1</f>
        <v>101</v>
      </c>
      <c r="C105" s="189" t="s">
        <v>278</v>
      </c>
      <c r="D105" s="204" t="n">
        <v>19</v>
      </c>
      <c r="E105" s="191" t="n">
        <v>-80</v>
      </c>
      <c r="F105" s="192" t="n">
        <f aca="false">E105/1000</f>
        <v>-0.08</v>
      </c>
      <c r="G105" s="193" t="n">
        <f aca="false">24</f>
        <v>24</v>
      </c>
      <c r="H105" s="178" t="n">
        <f aca="false">G105/2</f>
        <v>12</v>
      </c>
      <c r="J105" s="194" t="s">
        <v>279</v>
      </c>
      <c r="K105" s="205" t="n">
        <f aca="false">K104+0.5</f>
        <v>19</v>
      </c>
      <c r="L105" s="196"/>
      <c r="M105" s="197"/>
      <c r="O105" s="203" t="n">
        <v>19</v>
      </c>
      <c r="P105" s="199" t="n">
        <v>-0.08</v>
      </c>
      <c r="Q105" s="199" t="n">
        <v>-0.129</v>
      </c>
      <c r="R105" s="185" t="n">
        <f aca="false">(ABS(P105-Q105)/39)*1000</f>
        <v>1.25641025641026</v>
      </c>
      <c r="S105" s="185" t="n">
        <f aca="false">MAX(R105)</f>
        <v>1.25641025641026</v>
      </c>
      <c r="T105" s="186" t="n">
        <f aca="false">((((S105*12)/1000)))</f>
        <v>0.0150769230769231</v>
      </c>
      <c r="U105" s="186" t="n">
        <f aca="false">(((T105)*1000)/SQRT(3))</f>
        <v>8.70466559701282</v>
      </c>
      <c r="V105" s="186" t="n">
        <f aca="false">(((0.02)*1000)/SQRT(3))</f>
        <v>11.5470053837925</v>
      </c>
      <c r="W105" s="187"/>
    </row>
    <row r="106" customFormat="false" ht="16.5" hidden="false" customHeight="false" outlineLevel="0" collapsed="false">
      <c r="A106" s="173" t="n">
        <f aca="false">D106</f>
        <v>19.5</v>
      </c>
      <c r="B106" s="161" t="n">
        <f aca="false">+B105+1</f>
        <v>102</v>
      </c>
      <c r="C106" s="189" t="s">
        <v>280</v>
      </c>
      <c r="D106" s="204" t="n">
        <v>19.5</v>
      </c>
      <c r="E106" s="191" t="n">
        <v>76</v>
      </c>
      <c r="F106" s="192" t="n">
        <f aca="false">E106/1000</f>
        <v>0.076</v>
      </c>
      <c r="G106" s="193" t="n">
        <f aca="false">24</f>
        <v>24</v>
      </c>
      <c r="H106" s="178" t="n">
        <f aca="false">G106/2</f>
        <v>12</v>
      </c>
      <c r="J106" s="194" t="s">
        <v>281</v>
      </c>
      <c r="K106" s="205" t="n">
        <f aca="false">K105+0.5</f>
        <v>19.5</v>
      </c>
      <c r="L106" s="196"/>
      <c r="M106" s="197"/>
      <c r="O106" s="203" t="n">
        <v>19.5</v>
      </c>
      <c r="P106" s="199" t="n">
        <v>0.076</v>
      </c>
      <c r="Q106" s="199" t="n">
        <v>0.057</v>
      </c>
      <c r="R106" s="185" t="n">
        <f aca="false">(ABS(P106-Q106)/39)*1000</f>
        <v>0.487179487179487</v>
      </c>
      <c r="S106" s="185" t="n">
        <f aca="false">MAX(R106)</f>
        <v>0.487179487179487</v>
      </c>
      <c r="T106" s="186" t="n">
        <f aca="false">((((S106*12)/1000)))</f>
        <v>0.00584615384615385</v>
      </c>
      <c r="U106" s="186" t="n">
        <f aca="false">(((T106)*1000)/SQRT(3))</f>
        <v>3.37527849680089</v>
      </c>
      <c r="V106" s="186" t="n">
        <f aca="false">(((0.02)*1000)/SQRT(3))</f>
        <v>11.5470053837925</v>
      </c>
      <c r="W106" s="187"/>
    </row>
    <row r="107" customFormat="false" ht="16.5" hidden="false" customHeight="false" outlineLevel="0" collapsed="false">
      <c r="A107" s="173" t="n">
        <f aca="false">D107</f>
        <v>20</v>
      </c>
      <c r="B107" s="161" t="n">
        <f aca="false">+B106+1</f>
        <v>103</v>
      </c>
      <c r="C107" s="189" t="s">
        <v>282</v>
      </c>
      <c r="D107" s="204" t="n">
        <v>20</v>
      </c>
      <c r="E107" s="191" t="n">
        <v>-162</v>
      </c>
      <c r="F107" s="192" t="n">
        <f aca="false">E107/1000</f>
        <v>-0.162</v>
      </c>
      <c r="G107" s="193" t="n">
        <f aca="false">24</f>
        <v>24</v>
      </c>
      <c r="H107" s="178" t="n">
        <f aca="false">G107/2</f>
        <v>12</v>
      </c>
      <c r="J107" s="194" t="s">
        <v>283</v>
      </c>
      <c r="K107" s="205" t="n">
        <f aca="false">K106+0.5</f>
        <v>20</v>
      </c>
      <c r="L107" s="196"/>
      <c r="M107" s="197"/>
      <c r="O107" s="203" t="n">
        <v>20</v>
      </c>
      <c r="P107" s="199" t="n">
        <v>-0.162</v>
      </c>
      <c r="Q107" s="199" t="n">
        <v>-0.178</v>
      </c>
      <c r="R107" s="185" t="n">
        <f aca="false">(ABS(P107-Q107)/39)*1000</f>
        <v>0.41025641025641</v>
      </c>
      <c r="S107" s="185" t="n">
        <f aca="false">MAX(R107)</f>
        <v>0.41025641025641</v>
      </c>
      <c r="T107" s="186" t="n">
        <f aca="false">((((S107*12)/1000)))</f>
        <v>0.00492307692307692</v>
      </c>
      <c r="U107" s="186" t="n">
        <f aca="false">(((T107)*1000)/SQRT(3))</f>
        <v>2.84233978677969</v>
      </c>
      <c r="V107" s="186" t="n">
        <f aca="false">(((0.02)*1000)/SQRT(3))</f>
        <v>11.5470053837925</v>
      </c>
      <c r="W107" s="187"/>
    </row>
    <row r="108" customFormat="false" ht="16.5" hidden="false" customHeight="false" outlineLevel="0" collapsed="false">
      <c r="A108" s="173" t="n">
        <f aca="false">D108</f>
        <v>20.5</v>
      </c>
      <c r="B108" s="161" t="n">
        <f aca="false">+B107+1</f>
        <v>104</v>
      </c>
      <c r="C108" s="189" t="s">
        <v>284</v>
      </c>
      <c r="D108" s="204" t="n">
        <v>20.5</v>
      </c>
      <c r="E108" s="191" t="n">
        <v>233</v>
      </c>
      <c r="F108" s="192" t="n">
        <f aca="false">E108/1000</f>
        <v>0.233</v>
      </c>
      <c r="G108" s="193" t="n">
        <f aca="false">26</f>
        <v>26</v>
      </c>
      <c r="H108" s="178" t="n">
        <f aca="false">G108/2</f>
        <v>13</v>
      </c>
      <c r="J108" s="194" t="s">
        <v>285</v>
      </c>
      <c r="K108" s="205" t="n">
        <f aca="false">K107+0.5</f>
        <v>20.5</v>
      </c>
      <c r="L108" s="196"/>
      <c r="M108" s="197"/>
      <c r="O108" s="203" t="n">
        <v>20.5</v>
      </c>
      <c r="P108" s="199" t="n">
        <v>0.233</v>
      </c>
      <c r="Q108" s="199" t="n">
        <v>0.214</v>
      </c>
      <c r="R108" s="185" t="n">
        <f aca="false">(ABS(P108-Q108)/39)*1000</f>
        <v>0.487179487179488</v>
      </c>
      <c r="S108" s="185" t="n">
        <f aca="false">MAX(R108)</f>
        <v>0.487179487179488</v>
      </c>
      <c r="T108" s="186" t="n">
        <f aca="false">((((S108*12)/1000)))</f>
        <v>0.00584615384615385</v>
      </c>
      <c r="U108" s="186" t="n">
        <f aca="false">(((T108)*1000)/SQRT(3))</f>
        <v>3.37527849680089</v>
      </c>
      <c r="V108" s="186" t="n">
        <f aca="false">(((0.02)*1000)/SQRT(3))</f>
        <v>11.5470053837925</v>
      </c>
      <c r="W108" s="187"/>
    </row>
    <row r="109" customFormat="false" ht="16.5" hidden="false" customHeight="false" outlineLevel="0" collapsed="false">
      <c r="A109" s="173" t="n">
        <f aca="false">D109</f>
        <v>21</v>
      </c>
      <c r="B109" s="161" t="n">
        <f aca="false">+B108+1</f>
        <v>105</v>
      </c>
      <c r="C109" s="189" t="s">
        <v>286</v>
      </c>
      <c r="D109" s="204" t="n">
        <v>21</v>
      </c>
      <c r="E109" s="191" t="n">
        <v>64</v>
      </c>
      <c r="F109" s="192" t="n">
        <f aca="false">E109/1000</f>
        <v>0.064</v>
      </c>
      <c r="G109" s="193" t="n">
        <f aca="false">26</f>
        <v>26</v>
      </c>
      <c r="H109" s="178" t="n">
        <f aca="false">G109/2</f>
        <v>13</v>
      </c>
      <c r="J109" s="194" t="s">
        <v>287</v>
      </c>
      <c r="K109" s="205" t="n">
        <f aca="false">K108+0.5</f>
        <v>21</v>
      </c>
      <c r="L109" s="196"/>
      <c r="M109" s="197"/>
      <c r="O109" s="203" t="n">
        <v>21</v>
      </c>
      <c r="P109" s="199" t="n">
        <v>0.064</v>
      </c>
      <c r="Q109" s="199" t="n">
        <v>0.041</v>
      </c>
      <c r="R109" s="185" t="n">
        <f aca="false">(ABS(P109-Q109)/39)*1000</f>
        <v>0.58974358974359</v>
      </c>
      <c r="S109" s="185" t="n">
        <f aca="false">MAX(R109)</f>
        <v>0.58974358974359</v>
      </c>
      <c r="T109" s="186" t="n">
        <f aca="false">((((S109*12)/1000)))</f>
        <v>0.00707692307692308</v>
      </c>
      <c r="U109" s="186" t="n">
        <f aca="false">(((T109)*1000)/SQRT(3))</f>
        <v>4.08586344349581</v>
      </c>
      <c r="V109" s="186" t="n">
        <f aca="false">(((0.02)*1000)/SQRT(3))</f>
        <v>11.5470053837925</v>
      </c>
      <c r="W109" s="187"/>
    </row>
    <row r="110" customFormat="false" ht="16.5" hidden="false" customHeight="false" outlineLevel="0" collapsed="false">
      <c r="A110" s="173" t="n">
        <f aca="false">D110</f>
        <v>21.5</v>
      </c>
      <c r="B110" s="161" t="n">
        <f aca="false">+B109+1</f>
        <v>106</v>
      </c>
      <c r="C110" s="189" t="s">
        <v>288</v>
      </c>
      <c r="D110" s="204" t="n">
        <v>21.5</v>
      </c>
      <c r="E110" s="191" t="n">
        <v>52</v>
      </c>
      <c r="F110" s="192" t="n">
        <f aca="false">E110/1000</f>
        <v>0.052</v>
      </c>
      <c r="G110" s="193" t="n">
        <f aca="false">26</f>
        <v>26</v>
      </c>
      <c r="H110" s="178" t="n">
        <f aca="false">G110/2</f>
        <v>13</v>
      </c>
      <c r="J110" s="194" t="s">
        <v>289</v>
      </c>
      <c r="K110" s="205" t="n">
        <f aca="false">K109+0.5</f>
        <v>21.5</v>
      </c>
      <c r="L110" s="196"/>
      <c r="M110" s="197"/>
      <c r="O110" s="203" t="n">
        <v>21.5</v>
      </c>
      <c r="P110" s="199" t="n">
        <v>0.052</v>
      </c>
      <c r="Q110" s="199" t="n">
        <v>0.037</v>
      </c>
      <c r="R110" s="185" t="n">
        <f aca="false">(ABS(P110-Q110)/39)*1000</f>
        <v>0.384615384615385</v>
      </c>
      <c r="S110" s="185" t="n">
        <f aca="false">MAX(R110)</f>
        <v>0.384615384615385</v>
      </c>
      <c r="T110" s="186" t="n">
        <f aca="false">((((S110*12)/1000)))</f>
        <v>0.00461538461538462</v>
      </c>
      <c r="U110" s="186" t="n">
        <f aca="false">(((T110)*1000)/SQRT(3))</f>
        <v>2.66469355010597</v>
      </c>
      <c r="V110" s="186" t="n">
        <f aca="false">(((0.02)*1000)/SQRT(3))</f>
        <v>11.5470053837925</v>
      </c>
      <c r="W110" s="187"/>
    </row>
    <row r="111" customFormat="false" ht="16.5" hidden="false" customHeight="false" outlineLevel="0" collapsed="false">
      <c r="A111" s="173" t="n">
        <f aca="false">D111</f>
        <v>22</v>
      </c>
      <c r="B111" s="161" t="n">
        <f aca="false">+B110+1</f>
        <v>107</v>
      </c>
      <c r="C111" s="189" t="s">
        <v>290</v>
      </c>
      <c r="D111" s="204" t="n">
        <v>22</v>
      </c>
      <c r="E111" s="191" t="n">
        <v>115</v>
      </c>
      <c r="F111" s="192" t="n">
        <f aca="false">E111/1000</f>
        <v>0.115</v>
      </c>
      <c r="G111" s="193" t="n">
        <f aca="false">26</f>
        <v>26</v>
      </c>
      <c r="H111" s="178" t="n">
        <f aca="false">G111/2</f>
        <v>13</v>
      </c>
      <c r="J111" s="194" t="s">
        <v>291</v>
      </c>
      <c r="K111" s="205" t="n">
        <f aca="false">K110+0.5</f>
        <v>22</v>
      </c>
      <c r="L111" s="196"/>
      <c r="M111" s="197"/>
      <c r="O111" s="203" t="n">
        <v>22</v>
      </c>
      <c r="P111" s="199" t="n">
        <v>0.115</v>
      </c>
      <c r="Q111" s="199" t="n">
        <v>0.096</v>
      </c>
      <c r="R111" s="185" t="n">
        <f aca="false">(ABS(P111-Q111)/39)*1000</f>
        <v>0.487179487179487</v>
      </c>
      <c r="S111" s="185" t="n">
        <f aca="false">MAX(R111)</f>
        <v>0.487179487179487</v>
      </c>
      <c r="T111" s="186" t="n">
        <f aca="false">((((S111*12)/1000)))</f>
        <v>0.00584615384615385</v>
      </c>
      <c r="U111" s="186" t="n">
        <f aca="false">(((T111)*1000)/SQRT(3))</f>
        <v>3.37527849680089</v>
      </c>
      <c r="V111" s="186" t="n">
        <f aca="false">(((0.02)*1000)/SQRT(3))</f>
        <v>11.5470053837925</v>
      </c>
      <c r="W111" s="187"/>
    </row>
    <row r="112" customFormat="false" ht="16.5" hidden="false" customHeight="false" outlineLevel="0" collapsed="false">
      <c r="A112" s="173" t="n">
        <f aca="false">D112</f>
        <v>22.5</v>
      </c>
      <c r="B112" s="161" t="n">
        <f aca="false">+B111+1</f>
        <v>108</v>
      </c>
      <c r="C112" s="189" t="s">
        <v>292</v>
      </c>
      <c r="D112" s="204" t="n">
        <v>22.5</v>
      </c>
      <c r="E112" s="191" t="n">
        <v>95</v>
      </c>
      <c r="F112" s="192" t="n">
        <f aca="false">E112/1000</f>
        <v>0.095</v>
      </c>
      <c r="G112" s="193" t="n">
        <f aca="false">26</f>
        <v>26</v>
      </c>
      <c r="H112" s="178" t="n">
        <f aca="false">G112/2</f>
        <v>13</v>
      </c>
      <c r="J112" s="194" t="s">
        <v>293</v>
      </c>
      <c r="K112" s="205" t="n">
        <f aca="false">K111+0.5</f>
        <v>22.5</v>
      </c>
      <c r="L112" s="196"/>
      <c r="M112" s="197"/>
      <c r="O112" s="203" t="n">
        <v>22.5</v>
      </c>
      <c r="P112" s="199" t="n">
        <v>0.095</v>
      </c>
      <c r="Q112" s="199" t="n">
        <v>0.085</v>
      </c>
      <c r="R112" s="185" t="n">
        <f aca="false">(ABS(P112-Q112)/39)*1000</f>
        <v>0.256410256410256</v>
      </c>
      <c r="S112" s="185" t="n">
        <f aca="false">MAX(R112)</f>
        <v>0.256410256410256</v>
      </c>
      <c r="T112" s="186" t="n">
        <f aca="false">((((S112*12)/1000)))</f>
        <v>0.00307692307692308</v>
      </c>
      <c r="U112" s="186" t="n">
        <f aca="false">(((T112)*1000)/SQRT(3))</f>
        <v>1.77646236673731</v>
      </c>
      <c r="V112" s="186" t="n">
        <f aca="false">(((0.02)*1000)/SQRT(3))</f>
        <v>11.5470053837925</v>
      </c>
      <c r="W112" s="187"/>
    </row>
    <row r="113" customFormat="false" ht="16.5" hidden="false" customHeight="false" outlineLevel="0" collapsed="false">
      <c r="A113" s="173" t="n">
        <f aca="false">D113</f>
        <v>23</v>
      </c>
      <c r="B113" s="161" t="n">
        <f aca="false">+B112+1</f>
        <v>109</v>
      </c>
      <c r="C113" s="189" t="s">
        <v>294</v>
      </c>
      <c r="D113" s="204" t="n">
        <v>23</v>
      </c>
      <c r="E113" s="191" t="n">
        <v>-120</v>
      </c>
      <c r="F113" s="192" t="n">
        <f aca="false">E113/1000</f>
        <v>-0.12</v>
      </c>
      <c r="G113" s="193" t="n">
        <f aca="false">26</f>
        <v>26</v>
      </c>
      <c r="H113" s="178" t="n">
        <f aca="false">G113/2</f>
        <v>13</v>
      </c>
      <c r="J113" s="194" t="s">
        <v>295</v>
      </c>
      <c r="K113" s="205" t="n">
        <f aca="false">K112+0.5</f>
        <v>23</v>
      </c>
      <c r="L113" s="196"/>
      <c r="M113" s="197"/>
      <c r="O113" s="203" t="n">
        <v>23</v>
      </c>
      <c r="P113" s="199" t="n">
        <v>-0.12</v>
      </c>
      <c r="Q113" s="199" t="n">
        <v>-0.132</v>
      </c>
      <c r="R113" s="185" t="n">
        <f aca="false">(ABS(P113-Q113)/39)*1000</f>
        <v>0.307692307692308</v>
      </c>
      <c r="S113" s="185" t="n">
        <f aca="false">MAX(R113)</f>
        <v>0.307692307692308</v>
      </c>
      <c r="T113" s="186" t="n">
        <f aca="false">((((S113*12)/1000)))</f>
        <v>0.0036923076923077</v>
      </c>
      <c r="U113" s="186" t="n">
        <f aca="false">(((T113)*1000)/SQRT(3))</f>
        <v>2.13175484008477</v>
      </c>
      <c r="V113" s="186" t="n">
        <f aca="false">(((0.02)*1000)/SQRT(3))</f>
        <v>11.5470053837925</v>
      </c>
      <c r="W113" s="187"/>
    </row>
    <row r="114" customFormat="false" ht="16.5" hidden="false" customHeight="false" outlineLevel="0" collapsed="false">
      <c r="A114" s="173" t="n">
        <f aca="false">D114</f>
        <v>23.5</v>
      </c>
      <c r="B114" s="161" t="n">
        <f aca="false">+B113+1</f>
        <v>110</v>
      </c>
      <c r="C114" s="189" t="s">
        <v>296</v>
      </c>
      <c r="D114" s="204" t="n">
        <v>23.5</v>
      </c>
      <c r="E114" s="191" t="n">
        <v>89</v>
      </c>
      <c r="F114" s="192" t="n">
        <f aca="false">E114/1000</f>
        <v>0.089</v>
      </c>
      <c r="G114" s="193" t="n">
        <f aca="false">26</f>
        <v>26</v>
      </c>
      <c r="H114" s="178" t="n">
        <f aca="false">G114/2</f>
        <v>13</v>
      </c>
      <c r="J114" s="194" t="s">
        <v>297</v>
      </c>
      <c r="K114" s="205" t="n">
        <f aca="false">K113+0.5</f>
        <v>23.5</v>
      </c>
      <c r="L114" s="196"/>
      <c r="M114" s="197"/>
      <c r="O114" s="203" t="n">
        <v>23.5</v>
      </c>
      <c r="P114" s="199" t="n">
        <v>0.089</v>
      </c>
      <c r="Q114" s="199" t="n">
        <v>0.088</v>
      </c>
      <c r="R114" s="185" t="n">
        <f aca="false">(ABS(P114-Q114)/39)*1000</f>
        <v>0.0256410256410257</v>
      </c>
      <c r="S114" s="185" t="n">
        <f aca="false">MAX(R114)</f>
        <v>0.0256410256410257</v>
      </c>
      <c r="T114" s="186" t="n">
        <f aca="false">((((S114*12)/1000)))</f>
        <v>0.000307692307692308</v>
      </c>
      <c r="U114" s="186" t="n">
        <f aca="false">(((T114)*1000)/SQRT(3))</f>
        <v>0.177646236673731</v>
      </c>
      <c r="V114" s="186" t="n">
        <f aca="false">(((0.02)*1000)/SQRT(3))</f>
        <v>11.5470053837925</v>
      </c>
      <c r="W114" s="187"/>
    </row>
    <row r="115" customFormat="false" ht="16.5" hidden="false" customHeight="false" outlineLevel="0" collapsed="false">
      <c r="A115" s="173" t="n">
        <f aca="false">D115</f>
        <v>24</v>
      </c>
      <c r="B115" s="161" t="n">
        <f aca="false">+B114+1</f>
        <v>111</v>
      </c>
      <c r="C115" s="189" t="s">
        <v>298</v>
      </c>
      <c r="D115" s="204" t="n">
        <v>24</v>
      </c>
      <c r="E115" s="191" t="n">
        <v>-75</v>
      </c>
      <c r="F115" s="192" t="n">
        <f aca="false">E115/1000</f>
        <v>-0.075</v>
      </c>
      <c r="G115" s="193" t="n">
        <f aca="false">26</f>
        <v>26</v>
      </c>
      <c r="H115" s="178" t="n">
        <f aca="false">G115/2</f>
        <v>13</v>
      </c>
      <c r="J115" s="194" t="s">
        <v>299</v>
      </c>
      <c r="K115" s="205" t="n">
        <f aca="false">K114+0.5</f>
        <v>24</v>
      </c>
      <c r="L115" s="196"/>
      <c r="M115" s="197"/>
      <c r="O115" s="203" t="n">
        <v>24</v>
      </c>
      <c r="P115" s="199" t="n">
        <v>-0.075</v>
      </c>
      <c r="Q115" s="199" t="n">
        <v>-0.077</v>
      </c>
      <c r="R115" s="185" t="n">
        <f aca="false">(ABS(P115-Q115)/39)*1000</f>
        <v>0.0512820512820513</v>
      </c>
      <c r="S115" s="185" t="n">
        <f aca="false">MAX(R115)</f>
        <v>0.0512820512820513</v>
      </c>
      <c r="T115" s="186" t="n">
        <f aca="false">((((S115*12)/1000)))</f>
        <v>0.000615384615384616</v>
      </c>
      <c r="U115" s="186" t="n">
        <f aca="false">(((T115)*1000)/SQRT(3))</f>
        <v>0.355292473347462</v>
      </c>
      <c r="V115" s="186" t="n">
        <f aca="false">(((0.02)*1000)/SQRT(3))</f>
        <v>11.5470053837925</v>
      </c>
      <c r="W115" s="187"/>
    </row>
    <row r="116" customFormat="false" ht="16.5" hidden="false" customHeight="false" outlineLevel="0" collapsed="false">
      <c r="A116" s="173" t="n">
        <f aca="false">D116</f>
        <v>24.5</v>
      </c>
      <c r="B116" s="161" t="n">
        <f aca="false">+B115+1</f>
        <v>112</v>
      </c>
      <c r="C116" s="189" t="n">
        <v>6915306</v>
      </c>
      <c r="D116" s="204" t="n">
        <v>24.5</v>
      </c>
      <c r="E116" s="191" t="n">
        <v>-36</v>
      </c>
      <c r="F116" s="192" t="n">
        <f aca="false">E116/1000</f>
        <v>-0.036</v>
      </c>
      <c r="G116" s="193" t="n">
        <f aca="false">26</f>
        <v>26</v>
      </c>
      <c r="H116" s="178" t="n">
        <f aca="false">G116/2</f>
        <v>13</v>
      </c>
      <c r="J116" s="194" t="s">
        <v>300</v>
      </c>
      <c r="K116" s="205" t="n">
        <f aca="false">K115+0.5</f>
        <v>24.5</v>
      </c>
      <c r="L116" s="196"/>
      <c r="M116" s="197"/>
      <c r="O116" s="203" t="n">
        <v>24.5</v>
      </c>
      <c r="P116" s="199" t="n">
        <v>-0.036</v>
      </c>
      <c r="Q116" s="199" t="n">
        <v>-0.058</v>
      </c>
      <c r="R116" s="185" t="n">
        <f aca="false">(ABS(P116-Q116)/39)*1000</f>
        <v>0.564102564102564</v>
      </c>
      <c r="S116" s="185" t="n">
        <f aca="false">MAX(R116)</f>
        <v>0.564102564102564</v>
      </c>
      <c r="T116" s="186" t="n">
        <f aca="false">((((S116*12)/1000)))</f>
        <v>0.00676923076923077</v>
      </c>
      <c r="U116" s="186" t="n">
        <f aca="false">(((T116)*1000)/SQRT(3))</f>
        <v>3.90821720682208</v>
      </c>
      <c r="V116" s="186" t="n">
        <f aca="false">(((0.02)*1000)/SQRT(3))</f>
        <v>11.5470053837925</v>
      </c>
      <c r="W116" s="187"/>
    </row>
    <row r="117" customFormat="false" ht="16.5" hidden="false" customHeight="false" outlineLevel="0" collapsed="false">
      <c r="A117" s="173" t="n">
        <f aca="false">D117</f>
        <v>25</v>
      </c>
      <c r="B117" s="161" t="n">
        <f aca="false">+B116+1</f>
        <v>113</v>
      </c>
      <c r="C117" s="189" t="s">
        <v>301</v>
      </c>
      <c r="D117" s="204" t="n">
        <v>25</v>
      </c>
      <c r="E117" s="191" t="n">
        <v>-2</v>
      </c>
      <c r="F117" s="192" t="n">
        <f aca="false">E117/1000</f>
        <v>-0.002</v>
      </c>
      <c r="G117" s="193" t="n">
        <f aca="false">26</f>
        <v>26</v>
      </c>
      <c r="H117" s="178" t="n">
        <f aca="false">G117/2</f>
        <v>13</v>
      </c>
      <c r="J117" s="194" t="s">
        <v>302</v>
      </c>
      <c r="K117" s="205" t="n">
        <f aca="false">K116+0.5</f>
        <v>25</v>
      </c>
      <c r="L117" s="196"/>
      <c r="M117" s="197"/>
      <c r="O117" s="203" t="n">
        <v>25</v>
      </c>
      <c r="P117" s="199" t="n">
        <v>0.002</v>
      </c>
      <c r="Q117" s="199" t="n">
        <v>-0.013</v>
      </c>
      <c r="R117" s="185" t="n">
        <f aca="false">(ABS(P117-Q117)/39)*1000</f>
        <v>0.384615384615385</v>
      </c>
      <c r="S117" s="185" t="n">
        <f aca="false">MAX(R117)</f>
        <v>0.384615384615385</v>
      </c>
      <c r="T117" s="186" t="n">
        <f aca="false">((((S117*12)/1000)))</f>
        <v>0.00461538461538462</v>
      </c>
      <c r="U117" s="186" t="n">
        <f aca="false">(((T117)*1000)/SQRT(3))</f>
        <v>2.66469355010597</v>
      </c>
      <c r="V117" s="186" t="n">
        <f aca="false">(((0.02)*1000)/SQRT(3))</f>
        <v>11.5470053837925</v>
      </c>
      <c r="W117" s="187"/>
    </row>
    <row r="118" customFormat="false" ht="16.5" hidden="false" customHeight="false" outlineLevel="0" collapsed="false">
      <c r="A118" s="173" t="n">
        <f aca="false">D118</f>
        <v>30</v>
      </c>
      <c r="B118" s="161" t="n">
        <f aca="false">+B117+1</f>
        <v>114</v>
      </c>
      <c r="C118" s="206" t="s">
        <v>303</v>
      </c>
      <c r="D118" s="207" t="n">
        <v>30</v>
      </c>
      <c r="E118" s="208" t="n">
        <v>0.28</v>
      </c>
      <c r="F118" s="209" t="n">
        <f aca="false">E118/1000</f>
        <v>0.00028</v>
      </c>
      <c r="G118" s="210" t="n">
        <f aca="false">+SQRT(((G117^2))+(G77^2))</f>
        <v>34.7131099154196</v>
      </c>
      <c r="H118" s="178" t="n">
        <f aca="false">G118/2</f>
        <v>17.3565549577098</v>
      </c>
      <c r="J118" s="206" t="s">
        <v>304</v>
      </c>
      <c r="K118" s="207" t="n">
        <v>30</v>
      </c>
      <c r="L118" s="208" t="n">
        <f aca="false">+L117+L77</f>
        <v>0</v>
      </c>
      <c r="M118" s="210" t="n">
        <f aca="false">+SQRT(((M117^2))+(M77^2))</f>
        <v>0</v>
      </c>
      <c r="O118" s="211" t="n">
        <v>30</v>
      </c>
      <c r="P118" s="212" t="n">
        <v>0.05</v>
      </c>
      <c r="Q118" s="212" t="n">
        <v>0.05</v>
      </c>
      <c r="R118" s="213" t="n">
        <f aca="false">(ABS(P118-Q118)/39)*1000</f>
        <v>0</v>
      </c>
      <c r="S118" s="213" t="n">
        <f aca="false">MAX(R118)</f>
        <v>0</v>
      </c>
      <c r="T118" s="186" t="n">
        <f aca="false">((((S118*12)/1000)))</f>
        <v>0</v>
      </c>
      <c r="U118" s="214" t="n">
        <f aca="false">(((T118)*1000)/SQRT(3))</f>
        <v>0</v>
      </c>
      <c r="V118" s="214" t="n">
        <f aca="false">(((0.02)*1000)/SQRT(3))</f>
        <v>11.5470053837925</v>
      </c>
      <c r="W118" s="187"/>
    </row>
    <row r="119" customFormat="false" ht="16.5" hidden="false" customHeight="false" outlineLevel="0" collapsed="false">
      <c r="A119" s="173" t="n">
        <f aca="false">D119</f>
        <v>40</v>
      </c>
      <c r="B119" s="161" t="n">
        <f aca="false">+B118+1</f>
        <v>115</v>
      </c>
      <c r="C119" s="206" t="s">
        <v>305</v>
      </c>
      <c r="D119" s="207" t="n">
        <v>40</v>
      </c>
      <c r="E119" s="208" t="n">
        <v>0.08</v>
      </c>
      <c r="F119" s="209" t="n">
        <f aca="false">E119/1000</f>
        <v>8E-005</v>
      </c>
      <c r="G119" s="210" t="n">
        <f aca="false">+SQRT(((G117^2))+(G97^2))</f>
        <v>35.3836120259083</v>
      </c>
      <c r="H119" s="178" t="n">
        <f aca="false">G119/2</f>
        <v>17.6918060129541</v>
      </c>
      <c r="J119" s="206" t="s">
        <v>306</v>
      </c>
      <c r="K119" s="207" t="n">
        <v>40</v>
      </c>
      <c r="L119" s="208" t="n">
        <f aca="false">+L117+L97</f>
        <v>0</v>
      </c>
      <c r="M119" s="210" t="n">
        <f aca="false">+SQRT(((M117^2))+(M97^2))</f>
        <v>0</v>
      </c>
      <c r="O119" s="211" t="n">
        <v>40</v>
      </c>
      <c r="P119" s="212" t="n">
        <v>0.05</v>
      </c>
      <c r="Q119" s="212" t="n">
        <v>0.05</v>
      </c>
      <c r="R119" s="213" t="n">
        <f aca="false">(ABS(P119-Q119)/39)*1000</f>
        <v>0</v>
      </c>
      <c r="S119" s="213" t="n">
        <f aca="false">MAX(R119)</f>
        <v>0</v>
      </c>
      <c r="T119" s="186" t="n">
        <f aca="false">((((S119*12)/1000)))</f>
        <v>0</v>
      </c>
      <c r="U119" s="214" t="n">
        <f aca="false">(((T119)*1000)/SQRT(3))</f>
        <v>0</v>
      </c>
      <c r="V119" s="214" t="n">
        <f aca="false">(((0.02)*1000)/SQRT(3))</f>
        <v>11.5470053837925</v>
      </c>
      <c r="W119" s="187"/>
    </row>
    <row r="120" customFormat="false" ht="16.5" hidden="false" customHeight="false" outlineLevel="0" collapsed="false">
      <c r="A120" s="173" t="n">
        <f aca="false">D120</f>
        <v>50</v>
      </c>
      <c r="B120" s="161" t="n">
        <f aca="false">+B119+1</f>
        <v>116</v>
      </c>
      <c r="C120" s="189" t="s">
        <v>307</v>
      </c>
      <c r="D120" s="204" t="n">
        <v>50</v>
      </c>
      <c r="E120" s="191" t="n">
        <v>-298</v>
      </c>
      <c r="F120" s="192" t="n">
        <f aca="false">E120/1000</f>
        <v>-0.298</v>
      </c>
      <c r="G120" s="193" t="n">
        <f aca="false">31</f>
        <v>31</v>
      </c>
      <c r="H120" s="178" t="n">
        <f aca="false">G120/2</f>
        <v>15.5</v>
      </c>
      <c r="J120" s="194" t="s">
        <v>308</v>
      </c>
      <c r="K120" s="205" t="n">
        <v>50</v>
      </c>
      <c r="L120" s="196"/>
      <c r="M120" s="197"/>
      <c r="O120" s="203" t="n">
        <v>50</v>
      </c>
      <c r="P120" s="199" t="n">
        <v>-0.298</v>
      </c>
      <c r="Q120" s="199" t="n">
        <v>-0.321</v>
      </c>
      <c r="R120" s="185" t="n">
        <f aca="false">(ABS(P120-Q120)/39)*1000</f>
        <v>0.58974358974359</v>
      </c>
      <c r="S120" s="185" t="n">
        <f aca="false">MAX(R120)</f>
        <v>0.58974358974359</v>
      </c>
      <c r="T120" s="186" t="n">
        <f aca="false">((((S120*12)/1000)))</f>
        <v>0.00707692307692308</v>
      </c>
      <c r="U120" s="186" t="n">
        <f aca="false">(((T120)*1000)/SQRT(3))</f>
        <v>4.08586344349582</v>
      </c>
      <c r="V120" s="186" t="n">
        <f aca="false">(((0.02)*1000)/SQRT(3))</f>
        <v>11.5470053837925</v>
      </c>
      <c r="W120" s="187"/>
    </row>
    <row r="121" customFormat="false" ht="16.5" hidden="false" customHeight="false" outlineLevel="0" collapsed="false">
      <c r="A121" s="173" t="n">
        <f aca="false">D121</f>
        <v>60</v>
      </c>
      <c r="B121" s="161" t="n">
        <f aca="false">+B120+1</f>
        <v>117</v>
      </c>
      <c r="C121" s="206" t="s">
        <v>309</v>
      </c>
      <c r="D121" s="207" t="n">
        <v>60</v>
      </c>
      <c r="E121" s="208" t="n">
        <v>0.02</v>
      </c>
      <c r="F121" s="209" t="n">
        <f aca="false">E121/1000</f>
        <v>2E-005</v>
      </c>
      <c r="G121" s="210" t="n">
        <v>35</v>
      </c>
      <c r="H121" s="178" t="n">
        <f aca="false">G121/2</f>
        <v>17.5</v>
      </c>
      <c r="J121" s="206" t="s">
        <v>310</v>
      </c>
      <c r="K121" s="207" t="n">
        <v>60</v>
      </c>
      <c r="L121" s="208" t="n">
        <f aca="false">+L120+L87</f>
        <v>0</v>
      </c>
      <c r="M121" s="210" t="n">
        <f aca="false">+SQRT(((M120^2))+(M87^2))</f>
        <v>0</v>
      </c>
      <c r="O121" s="211" t="n">
        <v>60</v>
      </c>
      <c r="P121" s="212" t="n">
        <v>-0.22</v>
      </c>
      <c r="Q121" s="212" t="n">
        <v>-0.22</v>
      </c>
      <c r="R121" s="213" t="n">
        <f aca="false">(ABS(P121-Q121)/39)*1000</f>
        <v>0</v>
      </c>
      <c r="S121" s="213" t="n">
        <f aca="false">MAX(R121)</f>
        <v>0</v>
      </c>
      <c r="T121" s="186" t="n">
        <f aca="false">((((S121*12)/1000)))</f>
        <v>0</v>
      </c>
      <c r="U121" s="214" t="n">
        <f aca="false">(((T121)*1000)/SQRT(3))</f>
        <v>0</v>
      </c>
      <c r="V121" s="214" t="n">
        <f aca="false">(((0.02)*1000)/SQRT(3))</f>
        <v>11.5470053837925</v>
      </c>
      <c r="W121" s="187"/>
    </row>
    <row r="122" customFormat="false" ht="16.5" hidden="false" customHeight="false" outlineLevel="0" collapsed="false">
      <c r="A122" s="173" t="n">
        <f aca="false">D122</f>
        <v>70</v>
      </c>
      <c r="B122" s="161" t="n">
        <f aca="false">+B121+1</f>
        <v>118</v>
      </c>
      <c r="C122" s="206" t="s">
        <v>311</v>
      </c>
      <c r="D122" s="207" t="n">
        <v>70</v>
      </c>
      <c r="E122" s="208" t="n">
        <v>-0.16</v>
      </c>
      <c r="F122" s="209" t="n">
        <f aca="false">E122/1000</f>
        <v>-0.00016</v>
      </c>
      <c r="G122" s="210" t="n">
        <v>35</v>
      </c>
      <c r="H122" s="178" t="n">
        <f aca="false">G122/2</f>
        <v>17.5</v>
      </c>
      <c r="J122" s="206" t="s">
        <v>312</v>
      </c>
      <c r="K122" s="207" t="n">
        <v>70</v>
      </c>
      <c r="L122" s="208" t="n">
        <f aca="false">+L120+L107</f>
        <v>0</v>
      </c>
      <c r="M122" s="210" t="n">
        <f aca="false">+SQRT(((M120^2)/2)+(M107^2)/2)</f>
        <v>0</v>
      </c>
      <c r="O122" s="211" t="n">
        <v>70</v>
      </c>
      <c r="P122" s="212" t="n">
        <v>-0.22</v>
      </c>
      <c r="Q122" s="212" t="n">
        <v>-0.22</v>
      </c>
      <c r="R122" s="213" t="n">
        <f aca="false">(ABS(P122-Q122)/39)*1000</f>
        <v>0</v>
      </c>
      <c r="S122" s="213" t="n">
        <f aca="false">MAX(R122)</f>
        <v>0</v>
      </c>
      <c r="T122" s="186" t="n">
        <f aca="false">((((S122*12)/1000)))</f>
        <v>0</v>
      </c>
      <c r="U122" s="214" t="n">
        <f aca="false">(((T122)*1000)/SQRT(3))</f>
        <v>0</v>
      </c>
      <c r="V122" s="214" t="n">
        <f aca="false">(((0.02)*1000)/SQRT(3))</f>
        <v>11.5470053837925</v>
      </c>
      <c r="W122" s="187"/>
    </row>
    <row r="123" customFormat="false" ht="16.5" hidden="false" customHeight="false" outlineLevel="0" collapsed="false">
      <c r="A123" s="173" t="n">
        <f aca="false">D123</f>
        <v>75</v>
      </c>
      <c r="B123" s="161" t="n">
        <f aca="false">+B122+1</f>
        <v>119</v>
      </c>
      <c r="C123" s="189" t="s">
        <v>313</v>
      </c>
      <c r="D123" s="204" t="n">
        <v>75</v>
      </c>
      <c r="E123" s="191" t="n">
        <v>242</v>
      </c>
      <c r="F123" s="192" t="n">
        <f aca="false">E123/1000</f>
        <v>0.242</v>
      </c>
      <c r="G123" s="193" t="n">
        <f aca="false">41</f>
        <v>41</v>
      </c>
      <c r="H123" s="178" t="n">
        <f aca="false">G123/2</f>
        <v>20.5</v>
      </c>
      <c r="J123" s="194" t="s">
        <v>314</v>
      </c>
      <c r="K123" s="205" t="n">
        <v>75</v>
      </c>
      <c r="L123" s="196"/>
      <c r="M123" s="197"/>
      <c r="O123" s="203" t="n">
        <v>75</v>
      </c>
      <c r="P123" s="199" t="n">
        <v>0.242</v>
      </c>
      <c r="Q123" s="199" t="n">
        <v>0.208</v>
      </c>
      <c r="R123" s="185" t="n">
        <f aca="false">(ABS(P123-Q123)/39)*1000</f>
        <v>0.871794871794872</v>
      </c>
      <c r="S123" s="185" t="n">
        <f aca="false">MAX(R123)</f>
        <v>0.871794871794872</v>
      </c>
      <c r="T123" s="186" t="n">
        <f aca="false">((((S123*12)/1000)))</f>
        <v>0.0104615384615385</v>
      </c>
      <c r="U123" s="186" t="n">
        <f aca="false">(((T123)*1000)/SQRT(3))</f>
        <v>6.03997204690686</v>
      </c>
      <c r="V123" s="186" t="n">
        <f aca="false">(((0.02)*1000)/SQRT(3))</f>
        <v>11.5470053837925</v>
      </c>
      <c r="W123" s="187"/>
    </row>
    <row r="124" customFormat="false" ht="16.5" hidden="false" customHeight="false" outlineLevel="0" collapsed="false">
      <c r="A124" s="173" t="n">
        <f aca="false">D124</f>
        <v>80</v>
      </c>
      <c r="B124" s="161" t="n">
        <f aca="false">+B123+1</f>
        <v>120</v>
      </c>
      <c r="C124" s="206" t="s">
        <v>315</v>
      </c>
      <c r="D124" s="207" t="n">
        <v>80</v>
      </c>
      <c r="E124" s="208" t="n">
        <v>0</v>
      </c>
      <c r="F124" s="209" t="n">
        <f aca="false">E124/1000</f>
        <v>0</v>
      </c>
      <c r="G124" s="210" t="n">
        <v>35</v>
      </c>
      <c r="H124" s="178" t="n">
        <f aca="false">G124/2</f>
        <v>17.5</v>
      </c>
      <c r="J124" s="206" t="s">
        <v>316</v>
      </c>
      <c r="K124" s="207" t="n">
        <v>80</v>
      </c>
      <c r="L124" s="208" t="n">
        <f aca="false">+L123+L77</f>
        <v>0</v>
      </c>
      <c r="M124" s="210" t="n">
        <f aca="false">+SQRT(((M123^2))+(M77^2))</f>
        <v>0</v>
      </c>
      <c r="O124" s="211" t="n">
        <v>80</v>
      </c>
      <c r="P124" s="212" t="n">
        <v>0.24</v>
      </c>
      <c r="Q124" s="212" t="n">
        <v>0.24</v>
      </c>
      <c r="R124" s="213" t="n">
        <f aca="false">(ABS(P124-Q124)/39)*1000</f>
        <v>0</v>
      </c>
      <c r="S124" s="213" t="n">
        <f aca="false">MAX(R124)</f>
        <v>0</v>
      </c>
      <c r="T124" s="186" t="n">
        <f aca="false">((((S124*12)/1000)))</f>
        <v>0</v>
      </c>
      <c r="U124" s="214" t="n">
        <f aca="false">(((T124)*1000)/SQRT(3))</f>
        <v>0</v>
      </c>
      <c r="V124" s="214" t="n">
        <f aca="false">(((0.02)*1000)/SQRT(3))</f>
        <v>11.5470053837925</v>
      </c>
      <c r="W124" s="187"/>
    </row>
    <row r="125" customFormat="false" ht="16.5" hidden="false" customHeight="false" outlineLevel="0" collapsed="false">
      <c r="A125" s="173" t="n">
        <f aca="false">D125</f>
        <v>90</v>
      </c>
      <c r="B125" s="161" t="n">
        <f aca="false">+B124+1</f>
        <v>121</v>
      </c>
      <c r="C125" s="206" t="s">
        <v>317</v>
      </c>
      <c r="D125" s="207" t="n">
        <v>90</v>
      </c>
      <c r="E125" s="208" t="n">
        <v>0.08</v>
      </c>
      <c r="F125" s="209" t="n">
        <f aca="false">E125/1000</f>
        <v>8E-005</v>
      </c>
      <c r="G125" s="210" t="n">
        <v>35</v>
      </c>
      <c r="H125" s="178" t="n">
        <f aca="false">G125/2</f>
        <v>17.5</v>
      </c>
      <c r="J125" s="206" t="s">
        <v>318</v>
      </c>
      <c r="K125" s="207" t="n">
        <v>90</v>
      </c>
      <c r="L125" s="208" t="n">
        <f aca="false">+L123+L97</f>
        <v>0</v>
      </c>
      <c r="M125" s="210" t="n">
        <f aca="false">+SQRT(((M123^2))+(M97^2))</f>
        <v>0</v>
      </c>
      <c r="O125" s="211" t="n">
        <v>90</v>
      </c>
      <c r="P125" s="212" t="n">
        <v>0.24</v>
      </c>
      <c r="Q125" s="212" t="n">
        <v>0.24</v>
      </c>
      <c r="R125" s="213" t="n">
        <f aca="false">(ABS(P125-Q125)/39)*1000</f>
        <v>0</v>
      </c>
      <c r="S125" s="213" t="n">
        <f aca="false">MAX(R125)</f>
        <v>0</v>
      </c>
      <c r="T125" s="186" t="n">
        <f aca="false">((((S125*12)/1000)))</f>
        <v>0</v>
      </c>
      <c r="U125" s="214" t="n">
        <f aca="false">(((T125)*1000)/SQRT(3))</f>
        <v>0</v>
      </c>
      <c r="V125" s="214" t="n">
        <f aca="false">(((0.02)*1000)/SQRT(3))</f>
        <v>11.5470053837925</v>
      </c>
      <c r="W125" s="187"/>
    </row>
    <row r="126" customFormat="false" ht="16.5" hidden="false" customHeight="false" outlineLevel="0" collapsed="false">
      <c r="A126" s="173" t="n">
        <f aca="false">D126</f>
        <v>100</v>
      </c>
      <c r="B126" s="161" t="n">
        <f aca="false">+B125+1</f>
        <v>122</v>
      </c>
      <c r="C126" s="217" t="s">
        <v>319</v>
      </c>
      <c r="D126" s="218" t="n">
        <v>100</v>
      </c>
      <c r="E126" s="191" t="n">
        <v>-204</v>
      </c>
      <c r="F126" s="219" t="n">
        <f aca="false">E126/1000</f>
        <v>-0.204</v>
      </c>
      <c r="G126" s="220" t="n">
        <f aca="false">48</f>
        <v>48</v>
      </c>
      <c r="H126" s="178" t="n">
        <f aca="false">G126/2</f>
        <v>24</v>
      </c>
      <c r="J126" s="221" t="s">
        <v>320</v>
      </c>
      <c r="K126" s="222" t="n">
        <v>100</v>
      </c>
      <c r="L126" s="223"/>
      <c r="M126" s="224"/>
      <c r="O126" s="225" t="n">
        <v>100</v>
      </c>
      <c r="P126" s="226" t="n">
        <v>-0.204</v>
      </c>
      <c r="Q126" s="226" t="n">
        <v>-0.236</v>
      </c>
      <c r="R126" s="227" t="n">
        <f aca="false">(ABS(P126-Q126)/39)*1000</f>
        <v>0.820512820512821</v>
      </c>
      <c r="S126" s="227" t="n">
        <f aca="false">MAX(R126)</f>
        <v>0.820512820512821</v>
      </c>
      <c r="T126" s="186" t="n">
        <f aca="false">((((S126*12)/1000)))</f>
        <v>0.00984615384615385</v>
      </c>
      <c r="U126" s="228" t="n">
        <f aca="false">(((T126)*1000/SQRT(3)))</f>
        <v>5.68467957355939</v>
      </c>
      <c r="V126" s="228" t="n">
        <f aca="false">(((0.02)*1000)/SQRT(3))</f>
        <v>11.5470053837925</v>
      </c>
      <c r="W126" s="187"/>
    </row>
    <row r="127" customFormat="false" ht="15.75" hidden="false" customHeight="false" outlineLevel="0" collapsed="false">
      <c r="W127" s="187"/>
    </row>
    <row r="128" customFormat="false" ht="15.75" hidden="false" customHeight="false" outlineLevel="0" collapsed="false">
      <c r="T128" s="229" t="s">
        <v>321</v>
      </c>
      <c r="U128" s="230" t="n">
        <f aca="false">MAX(U5:U126)</f>
        <v>8.70466559701282</v>
      </c>
      <c r="V128" s="229"/>
    </row>
    <row r="129" customFormat="false" ht="15.75" hidden="false" customHeight="false" outlineLevel="0" collapsed="false">
      <c r="B129" s="231" t="s">
        <v>322</v>
      </c>
      <c r="C129" s="231"/>
      <c r="D129" s="231"/>
      <c r="E129" s="231"/>
      <c r="F129" s="231"/>
      <c r="G129" s="231"/>
      <c r="H129" s="231"/>
      <c r="I129" s="231"/>
    </row>
    <row r="130" customFormat="false" ht="15.75" hidden="false" customHeight="false" outlineLevel="0" collapsed="false">
      <c r="B130" s="232" t="s">
        <v>323</v>
      </c>
      <c r="C130" s="232"/>
      <c r="D130" s="233" t="n">
        <f aca="false">23/1000000</f>
        <v>2.3E-005</v>
      </c>
      <c r="E130" s="233" t="s">
        <v>1</v>
      </c>
      <c r="F130" s="233"/>
      <c r="G130" s="208" t="n">
        <f aca="false">+D130*1000</f>
        <v>0.023</v>
      </c>
      <c r="H130" s="234"/>
      <c r="I130" s="233" t="s">
        <v>0</v>
      </c>
    </row>
    <row r="131" customFormat="false" ht="15.75" hidden="false" customHeight="false" outlineLevel="0" collapsed="false">
      <c r="B131" s="232" t="s">
        <v>324</v>
      </c>
      <c r="C131" s="232"/>
      <c r="D131" s="233" t="n">
        <f aca="false">24/1000000</f>
        <v>2.4E-005</v>
      </c>
      <c r="E131" s="233" t="s">
        <v>1</v>
      </c>
      <c r="F131" s="233"/>
      <c r="G131" s="208" t="n">
        <f aca="false">+D131*1000</f>
        <v>0.024</v>
      </c>
      <c r="H131" s="234"/>
      <c r="I131" s="233" t="s">
        <v>0</v>
      </c>
      <c r="U131" s="235"/>
    </row>
    <row r="132" customFormat="false" ht="15.75" hidden="false" customHeight="false" outlineLevel="0" collapsed="false">
      <c r="B132" s="232" t="s">
        <v>325</v>
      </c>
      <c r="C132" s="232"/>
      <c r="D132" s="233" t="n">
        <f aca="false">26/1000000</f>
        <v>2.6E-005</v>
      </c>
      <c r="E132" s="233" t="s">
        <v>1</v>
      </c>
      <c r="F132" s="233"/>
      <c r="G132" s="208" t="n">
        <f aca="false">+D132*1000</f>
        <v>0.026</v>
      </c>
      <c r="H132" s="234"/>
      <c r="I132" s="233" t="s">
        <v>0</v>
      </c>
    </row>
    <row r="133" customFormat="false" ht="15.75" hidden="false" customHeight="false" outlineLevel="0" collapsed="false">
      <c r="B133" s="232" t="s">
        <v>326</v>
      </c>
      <c r="C133" s="232"/>
      <c r="D133" s="233" t="n">
        <f aca="false">31/1000000</f>
        <v>3.1E-005</v>
      </c>
      <c r="E133" s="233" t="s">
        <v>1</v>
      </c>
      <c r="F133" s="233"/>
      <c r="G133" s="208" t="n">
        <f aca="false">+D133*1000</f>
        <v>0.031</v>
      </c>
      <c r="H133" s="234"/>
      <c r="I133" s="233" t="s">
        <v>0</v>
      </c>
    </row>
    <row r="134" customFormat="false" ht="15.75" hidden="false" customHeight="false" outlineLevel="0" collapsed="false">
      <c r="B134" s="232" t="s">
        <v>327</v>
      </c>
      <c r="C134" s="232"/>
      <c r="D134" s="233" t="n">
        <f aca="false">41/1000000</f>
        <v>4.1E-005</v>
      </c>
      <c r="E134" s="233" t="s">
        <v>1</v>
      </c>
      <c r="F134" s="233"/>
      <c r="G134" s="208" t="n">
        <f aca="false">+D134*1000</f>
        <v>0.041</v>
      </c>
      <c r="H134" s="234"/>
      <c r="I134" s="233" t="s">
        <v>0</v>
      </c>
    </row>
    <row r="135" customFormat="false" ht="15.75" hidden="false" customHeight="false" outlineLevel="0" collapsed="false">
      <c r="B135" s="232" t="s">
        <v>328</v>
      </c>
      <c r="C135" s="232"/>
      <c r="D135" s="233" t="n">
        <f aca="false">48/1000000</f>
        <v>4.8E-005</v>
      </c>
      <c r="E135" s="233" t="s">
        <v>1</v>
      </c>
      <c r="F135" s="233"/>
      <c r="G135" s="208" t="n">
        <f aca="false">+D135*1000</f>
        <v>0.048</v>
      </c>
      <c r="H135" s="234"/>
      <c r="I135" s="233" t="s">
        <v>0</v>
      </c>
    </row>
  </sheetData>
  <mergeCells count="10">
    <mergeCell ref="C3:G3"/>
    <mergeCell ref="J3:K3"/>
    <mergeCell ref="O3:V3"/>
    <mergeCell ref="B129:I129"/>
    <mergeCell ref="B130:C130"/>
    <mergeCell ref="B131:C131"/>
    <mergeCell ref="B132:C132"/>
    <mergeCell ref="B133:C133"/>
    <mergeCell ref="B134:C134"/>
    <mergeCell ref="B135:C13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91"/>
  <sheetViews>
    <sheetView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D83" activeCellId="0" sqref="D83"/>
    </sheetView>
  </sheetViews>
  <sheetFormatPr defaultColWidth="9.16796875" defaultRowHeight="15.75" zeroHeight="false" outlineLevelRow="0" outlineLevelCol="0"/>
  <cols>
    <col collapsed="false" customWidth="true" hidden="false" outlineLevel="0" max="1" min="1" style="97" width="4.33"/>
    <col collapsed="false" customWidth="true" hidden="false" outlineLevel="0" max="2" min="2" style="161" width="5.33"/>
    <col collapsed="false" customWidth="true" hidden="false" outlineLevel="0" max="3" min="3" style="97" width="19.17"/>
    <col collapsed="false" customWidth="true" hidden="false" outlineLevel="0" max="6" min="4" style="97" width="17.66"/>
    <col collapsed="false" customWidth="true" hidden="false" outlineLevel="0" max="7" min="7" style="97" width="26.67"/>
    <col collapsed="false" customWidth="true" hidden="false" outlineLevel="0" max="8" min="8" style="97" width="17.66"/>
    <col collapsed="false" customWidth="true" hidden="false" outlineLevel="0" max="9" min="9" style="97" width="18.34"/>
    <col collapsed="false" customWidth="true" hidden="false" outlineLevel="0" max="10" min="10" style="97" width="24.83"/>
    <col collapsed="false" customWidth="true" hidden="false" outlineLevel="0" max="16" min="11" style="97" width="17.66"/>
    <col collapsed="false" customWidth="true" hidden="false" outlineLevel="0" max="17" min="17" style="97" width="14.67"/>
    <col collapsed="false" customWidth="true" hidden="false" outlineLevel="0" max="18" min="18" style="97" width="23.67"/>
    <col collapsed="false" customWidth="true" hidden="false" outlineLevel="0" max="19" min="19" style="97" width="9.83"/>
    <col collapsed="false" customWidth="true" hidden="false" outlineLevel="0" max="22" min="20" style="97" width="15.67"/>
    <col collapsed="false" customWidth="true" hidden="false" outlineLevel="0" max="23" min="23" style="97" width="16.67"/>
    <col collapsed="false" customWidth="true" hidden="false" outlineLevel="0" max="24" min="24" style="97" width="15.67"/>
    <col collapsed="false" customWidth="true" hidden="false" outlineLevel="0" max="27" min="25" style="97" width="20.5"/>
    <col collapsed="false" customWidth="false" hidden="false" outlineLevel="0" max="16384" min="28" style="97" width="9.17"/>
  </cols>
  <sheetData>
    <row r="1" customFormat="false" ht="15.75" hidden="false" customHeight="false" outlineLevel="0" collapsed="false">
      <c r="E1" s="173"/>
      <c r="F1" s="236"/>
      <c r="G1" s="237"/>
      <c r="H1" s="237"/>
      <c r="I1" s="230"/>
      <c r="J1" s="238"/>
      <c r="K1" s="238"/>
      <c r="T1" s="239" t="s">
        <v>329</v>
      </c>
      <c r="U1" s="240" t="s">
        <v>329</v>
      </c>
      <c r="V1" s="241" t="s">
        <v>329</v>
      </c>
      <c r="W1" s="242" t="s">
        <v>330</v>
      </c>
    </row>
    <row r="2" customFormat="false" ht="16.5" hidden="false" customHeight="false" outlineLevel="0" collapsed="false">
      <c r="T2" s="243" t="n">
        <v>39448</v>
      </c>
      <c r="U2" s="244" t="n">
        <v>41244</v>
      </c>
      <c r="V2" s="245" t="n">
        <v>43525</v>
      </c>
      <c r="W2" s="246" t="n">
        <f aca="false">ROUND((V2-U2)/30,0)</f>
        <v>76</v>
      </c>
    </row>
    <row r="3" customFormat="false" ht="18.75" hidden="false" customHeight="false" outlineLevel="0" collapsed="false">
      <c r="C3" s="247" t="s">
        <v>331</v>
      </c>
      <c r="D3" s="247"/>
      <c r="E3" s="248" t="s">
        <v>60</v>
      </c>
      <c r="F3" s="248"/>
      <c r="G3" s="248" t="s">
        <v>332</v>
      </c>
      <c r="H3" s="248"/>
      <c r="J3" s="247" t="str">
        <f aca="false">+C3</f>
        <v>CERAMICA 2012</v>
      </c>
      <c r="K3" s="247"/>
      <c r="L3" s="248" t="s">
        <v>333</v>
      </c>
      <c r="M3" s="248"/>
      <c r="N3" s="248" t="s">
        <v>332</v>
      </c>
      <c r="O3" s="248"/>
      <c r="P3" s="248"/>
      <c r="Q3" s="248"/>
      <c r="S3" s="248" t="s">
        <v>334</v>
      </c>
      <c r="T3" s="248"/>
      <c r="U3" s="248"/>
      <c r="V3" s="248"/>
      <c r="W3" s="248"/>
      <c r="X3" s="248"/>
      <c r="Y3" s="248"/>
      <c r="Z3" s="248"/>
      <c r="AA3" s="248"/>
    </row>
    <row r="4" customFormat="false" ht="51.75" hidden="false" customHeight="false" outlineLevel="0" collapsed="false">
      <c r="A4" s="167"/>
      <c r="C4" s="168" t="s">
        <v>63</v>
      </c>
      <c r="D4" s="169" t="s">
        <v>335</v>
      </c>
      <c r="E4" s="169" t="s">
        <v>336</v>
      </c>
      <c r="F4" s="169" t="s">
        <v>337</v>
      </c>
      <c r="G4" s="164" t="s">
        <v>338</v>
      </c>
      <c r="H4" s="164" t="s">
        <v>339</v>
      </c>
      <c r="J4" s="168" t="s">
        <v>63</v>
      </c>
      <c r="K4" s="169" t="s">
        <v>64</v>
      </c>
      <c r="L4" s="169" t="s">
        <v>69</v>
      </c>
      <c r="M4" s="169" t="s">
        <v>340</v>
      </c>
      <c r="N4" s="164" t="s">
        <v>341</v>
      </c>
      <c r="O4" s="164" t="s">
        <v>342</v>
      </c>
      <c r="P4" s="164" t="s">
        <v>343</v>
      </c>
      <c r="Q4" s="164" t="s">
        <v>344</v>
      </c>
      <c r="R4" s="168" t="s">
        <v>63</v>
      </c>
      <c r="S4" s="249"/>
      <c r="T4" s="250" t="s">
        <v>345</v>
      </c>
      <c r="U4" s="250" t="s">
        <v>346</v>
      </c>
      <c r="V4" s="250" t="s">
        <v>347</v>
      </c>
      <c r="W4" s="250" t="str">
        <f aca="false">CONCATENATE("Variación en
",W2," meses (µm)")</f>
        <v>Variación en
76 meses (µm)</v>
      </c>
      <c r="X4" s="250" t="s">
        <v>348</v>
      </c>
      <c r="Y4" s="251" t="s">
        <v>349</v>
      </c>
      <c r="Z4" s="251" t="s">
        <v>76</v>
      </c>
      <c r="AA4" s="251" t="s">
        <v>350</v>
      </c>
      <c r="AB4" s="162"/>
    </row>
    <row r="5" customFormat="false" ht="16.5" hidden="false" customHeight="false" outlineLevel="0" collapsed="false">
      <c r="B5" s="161" t="n">
        <v>1</v>
      </c>
      <c r="C5" s="252" t="s">
        <v>351</v>
      </c>
      <c r="D5" s="253" t="n">
        <v>0.05</v>
      </c>
      <c r="E5" s="254" t="n">
        <v>0.31496062992126</v>
      </c>
      <c r="F5" s="255" t="n">
        <f aca="false">+E5/1000000</f>
        <v>3.1496062992126E-007</v>
      </c>
      <c r="G5" s="253" t="n">
        <v>0.905511811023622</v>
      </c>
      <c r="H5" s="255" t="n">
        <f aca="false">+G5/1000000</f>
        <v>9.05511811023622E-007</v>
      </c>
      <c r="J5" s="256" t="str">
        <f aca="false">C5</f>
        <v>070007</v>
      </c>
      <c r="K5" s="257" t="n">
        <f aca="false">+D5*25.4</f>
        <v>1.27</v>
      </c>
      <c r="L5" s="258" t="n">
        <f aca="false">+(E5*25.4)/1000</f>
        <v>0.008</v>
      </c>
      <c r="M5" s="259" t="n">
        <f aca="false">+L5*10^-3</f>
        <v>8E-006</v>
      </c>
      <c r="N5" s="260" t="n">
        <f aca="false">+(G5*25.4)/1000</f>
        <v>0.023</v>
      </c>
      <c r="O5" s="255" t="n">
        <f aca="false">+N5*10^-3</f>
        <v>2.3E-005</v>
      </c>
      <c r="P5" s="260" t="n">
        <f aca="false">+N5/2</f>
        <v>0.0115</v>
      </c>
      <c r="Q5" s="255" t="n">
        <f aca="false">+(H5*25.4)/2</f>
        <v>1.15E-005</v>
      </c>
      <c r="R5" s="256" t="str">
        <f aca="false">J5</f>
        <v>070007</v>
      </c>
      <c r="S5" s="261" t="n">
        <f aca="false">D5</f>
        <v>0.05</v>
      </c>
      <c r="T5" s="254" t="n">
        <f aca="false">0.4*25.4/1000</f>
        <v>0.01016</v>
      </c>
      <c r="U5" s="254" t="n">
        <v>-0.00508</v>
      </c>
      <c r="V5" s="262" t="n">
        <f aca="false">M5*1000</f>
        <v>0.008</v>
      </c>
      <c r="W5" s="263" t="n">
        <f aca="false">(ABS(U5-V5)/$W$2)*1000</f>
        <v>0.172105263157895</v>
      </c>
      <c r="X5" s="263" t="n">
        <f aca="false">MAX(W5)</f>
        <v>0.172105263157895</v>
      </c>
      <c r="Y5" s="264" t="n">
        <f aca="false">((AVERAGE(W5)*12/1000))</f>
        <v>0.00206526315789474</v>
      </c>
      <c r="Z5" s="265" t="n">
        <f aca="false">(((Y5)*1000)/SQRT(3))</f>
        <v>1.19238024015794</v>
      </c>
      <c r="AA5" s="265" t="n">
        <f aca="false">((0.02)/SQRT(3))*1000</f>
        <v>11.5470053837925</v>
      </c>
      <c r="AB5" s="187"/>
    </row>
    <row r="6" customFormat="false" ht="16.5" hidden="false" customHeight="false" outlineLevel="0" collapsed="false">
      <c r="B6" s="161" t="n">
        <f aca="false">+B5+1</f>
        <v>2</v>
      </c>
      <c r="C6" s="252" t="s">
        <v>352</v>
      </c>
      <c r="D6" s="253" t="n">
        <v>0.1</v>
      </c>
      <c r="E6" s="254" t="n">
        <v>2.59842519685039</v>
      </c>
      <c r="F6" s="255" t="n">
        <f aca="false">+E6/1000000</f>
        <v>2.59842519685039E-006</v>
      </c>
      <c r="G6" s="253" t="n">
        <v>0.905511811023622</v>
      </c>
      <c r="H6" s="255" t="n">
        <f aca="false">+G6/1000000</f>
        <v>9.05511811023622E-007</v>
      </c>
      <c r="J6" s="256" t="str">
        <f aca="false">C6</f>
        <v>070117</v>
      </c>
      <c r="K6" s="257" t="n">
        <f aca="false">+D6*25.4</f>
        <v>2.54</v>
      </c>
      <c r="L6" s="258" t="n">
        <f aca="false">+(E6*25.4)/1000</f>
        <v>0.066</v>
      </c>
      <c r="M6" s="259" t="n">
        <f aca="false">+L6*10^-3</f>
        <v>6.6E-005</v>
      </c>
      <c r="N6" s="260" t="n">
        <f aca="false">+(G6*25.4)/1000</f>
        <v>0.023</v>
      </c>
      <c r="O6" s="255" t="n">
        <f aca="false">+N6*10^-3</f>
        <v>2.3E-005</v>
      </c>
      <c r="P6" s="260" t="n">
        <f aca="false">+N6/2</f>
        <v>0.0115</v>
      </c>
      <c r="Q6" s="255" t="n">
        <f aca="false">+(H6*25.4)/2</f>
        <v>1.15E-005</v>
      </c>
      <c r="R6" s="256" t="str">
        <f aca="false">J6</f>
        <v>070117</v>
      </c>
      <c r="S6" s="261" t="n">
        <f aca="false">D6</f>
        <v>0.1</v>
      </c>
      <c r="T6" s="254" t="n">
        <f aca="false">0.4*25.4/1000</f>
        <v>0.01016</v>
      </c>
      <c r="U6" s="254" t="n">
        <v>0.05588</v>
      </c>
      <c r="V6" s="262" t="n">
        <f aca="false">M6*1000</f>
        <v>0.066</v>
      </c>
      <c r="W6" s="263" t="n">
        <f aca="false">(ABS(U6-V6)/$W$2)*1000</f>
        <v>0.133157894736842</v>
      </c>
      <c r="X6" s="263" t="n">
        <f aca="false">MAX(W6)</f>
        <v>0.133157894736842</v>
      </c>
      <c r="Y6" s="264" t="n">
        <f aca="false">((AVERAGE(W6)*12/1000))</f>
        <v>0.00159789473684211</v>
      </c>
      <c r="Z6" s="265" t="n">
        <f aca="false">(((Y6)*1000)/SQRT(3))</f>
        <v>0.922544956452476</v>
      </c>
      <c r="AA6" s="265" t="n">
        <f aca="false">((0.02)/SQRT(3))*1000</f>
        <v>11.5470053837925</v>
      </c>
      <c r="AB6" s="187"/>
    </row>
    <row r="7" customFormat="false" ht="16.5" hidden="false" customHeight="false" outlineLevel="0" collapsed="false">
      <c r="B7" s="161" t="n">
        <f aca="false">+B6+1</f>
        <v>3</v>
      </c>
      <c r="C7" s="252" t="s">
        <v>353</v>
      </c>
      <c r="D7" s="266" t="n">
        <v>0.10005</v>
      </c>
      <c r="E7" s="254" t="n">
        <v>0.984251968503937</v>
      </c>
      <c r="F7" s="255" t="n">
        <f aca="false">+E7/1000000</f>
        <v>9.84251968503937E-007</v>
      </c>
      <c r="G7" s="253" t="n">
        <v>0.905511811023622</v>
      </c>
      <c r="H7" s="255" t="n">
        <f aca="false">+G7/1000000</f>
        <v>9.05511811023622E-007</v>
      </c>
      <c r="J7" s="256" t="str">
        <f aca="false">C7</f>
        <v>060042</v>
      </c>
      <c r="K7" s="257" t="n">
        <f aca="false">+D7*25.4</f>
        <v>2.54127</v>
      </c>
      <c r="L7" s="258" t="n">
        <f aca="false">+(E7*25.4)/1000</f>
        <v>0.025</v>
      </c>
      <c r="M7" s="259" t="n">
        <f aca="false">+L7*10^-3</f>
        <v>2.5E-005</v>
      </c>
      <c r="N7" s="260" t="n">
        <f aca="false">+(G7*25.4)/1000</f>
        <v>0.023</v>
      </c>
      <c r="O7" s="255" t="n">
        <f aca="false">+N7*10^-3</f>
        <v>2.3E-005</v>
      </c>
      <c r="P7" s="260" t="n">
        <f aca="false">+N7/2</f>
        <v>0.0115</v>
      </c>
      <c r="Q7" s="255" t="n">
        <f aca="false">+(H7*25.4)/2</f>
        <v>1.15E-005</v>
      </c>
      <c r="R7" s="256" t="str">
        <f aca="false">J7</f>
        <v>060042</v>
      </c>
      <c r="S7" s="261" t="n">
        <f aca="false">D7</f>
        <v>0.10005</v>
      </c>
      <c r="T7" s="254" t="n">
        <f aca="false">0.4*25.4/1000</f>
        <v>0.01016</v>
      </c>
      <c r="U7" s="254" t="n">
        <v>0.01524</v>
      </c>
      <c r="V7" s="262" t="n">
        <f aca="false">M7*1000</f>
        <v>0.025</v>
      </c>
      <c r="W7" s="263" t="n">
        <f aca="false">(ABS(U7-V7)/$W$2)*1000</f>
        <v>0.128421052631579</v>
      </c>
      <c r="X7" s="263" t="n">
        <f aca="false">MAX(W7)</f>
        <v>0.128421052631579</v>
      </c>
      <c r="Y7" s="264" t="n">
        <f aca="false">((AVERAGE(W7)*12/1000))</f>
        <v>0.00154105263157895</v>
      </c>
      <c r="Z7" s="265" t="n">
        <f aca="false">(((Y7)*1000)/SQRT(3))</f>
        <v>0.889727151677487</v>
      </c>
      <c r="AA7" s="265" t="n">
        <f aca="false">((0.02)/SQRT(3))*1000</f>
        <v>11.5470053837925</v>
      </c>
      <c r="AB7" s="187"/>
    </row>
    <row r="8" customFormat="false" ht="16.5" hidden="false" customHeight="false" outlineLevel="0" collapsed="false">
      <c r="A8" s="162"/>
      <c r="B8" s="161" t="n">
        <f aca="false">+B7+1</f>
        <v>4</v>
      </c>
      <c r="C8" s="252" t="s">
        <v>354</v>
      </c>
      <c r="D8" s="266" t="n">
        <v>0.1001</v>
      </c>
      <c r="E8" s="254" t="n">
        <v>-1.2992125984252</v>
      </c>
      <c r="F8" s="255" t="n">
        <f aca="false">+E8/1000000</f>
        <v>-1.2992125984252E-006</v>
      </c>
      <c r="G8" s="253" t="n">
        <v>0.905511811023622</v>
      </c>
      <c r="H8" s="255" t="n">
        <f aca="false">+G8/1000000</f>
        <v>9.05511811023622E-007</v>
      </c>
      <c r="J8" s="256" t="str">
        <f aca="false">C8</f>
        <v>070056</v>
      </c>
      <c r="K8" s="257" t="n">
        <f aca="false">+D8*25.4</f>
        <v>2.54254</v>
      </c>
      <c r="L8" s="258" t="n">
        <f aca="false">+(E8*25.4)/1000</f>
        <v>-0.033</v>
      </c>
      <c r="M8" s="259" t="n">
        <f aca="false">+L8*10^-3</f>
        <v>-3.3E-005</v>
      </c>
      <c r="N8" s="260" t="n">
        <f aca="false">+(G8*25.4)/1000</f>
        <v>0.023</v>
      </c>
      <c r="O8" s="255" t="n">
        <f aca="false">+N8*10^-3</f>
        <v>2.3E-005</v>
      </c>
      <c r="P8" s="260" t="n">
        <f aca="false">+N8/2</f>
        <v>0.0115</v>
      </c>
      <c r="Q8" s="255" t="n">
        <f aca="false">+(H8*25.4)/2</f>
        <v>1.15E-005</v>
      </c>
      <c r="R8" s="256" t="str">
        <f aca="false">J8</f>
        <v>070056</v>
      </c>
      <c r="S8" s="261" t="n">
        <f aca="false">D8</f>
        <v>0.1001</v>
      </c>
      <c r="T8" s="254" t="n">
        <f aca="false">0.4*25.4/1000</f>
        <v>0.01016</v>
      </c>
      <c r="U8" s="254" t="n">
        <v>-0.02794</v>
      </c>
      <c r="V8" s="262" t="n">
        <f aca="false">M8*1000</f>
        <v>-0.033</v>
      </c>
      <c r="W8" s="263" t="n">
        <f aca="false">(ABS(U8-V8)/$W$2)*1000</f>
        <v>0.0665789473684211</v>
      </c>
      <c r="X8" s="263" t="n">
        <f aca="false">MAX(W8)</f>
        <v>0.0665789473684211</v>
      </c>
      <c r="Y8" s="264" t="n">
        <f aca="false">((AVERAGE(W8)*12/1000))</f>
        <v>0.000798947368421053</v>
      </c>
      <c r="Z8" s="265" t="n">
        <f aca="false">(((Y8)*1000)/SQRT(3))</f>
        <v>0.461272478226238</v>
      </c>
      <c r="AA8" s="265" t="n">
        <f aca="false">((0.02)/SQRT(3))*1000</f>
        <v>11.5470053837925</v>
      </c>
      <c r="AB8" s="187"/>
    </row>
    <row r="9" customFormat="false" ht="16.5" hidden="false" customHeight="false" outlineLevel="0" collapsed="false">
      <c r="B9" s="161" t="n">
        <f aca="false">+B8+1</f>
        <v>5</v>
      </c>
      <c r="C9" s="252" t="s">
        <v>355</v>
      </c>
      <c r="D9" s="266" t="n">
        <v>0.1002</v>
      </c>
      <c r="E9" s="254" t="n">
        <v>-1.10236220472441</v>
      </c>
      <c r="F9" s="255" t="n">
        <f aca="false">+E9/1000000</f>
        <v>-1.10236220472441E-006</v>
      </c>
      <c r="G9" s="253" t="n">
        <v>0.905511811023622</v>
      </c>
      <c r="H9" s="255" t="n">
        <f aca="false">+G9/1000000</f>
        <v>9.05511811023622E-007</v>
      </c>
      <c r="J9" s="256" t="str">
        <f aca="false">C9</f>
        <v>070005</v>
      </c>
      <c r="K9" s="257" t="n">
        <f aca="false">+D9*25.4</f>
        <v>2.54508</v>
      </c>
      <c r="L9" s="258" t="n">
        <f aca="false">+(E9*25.4)/1000</f>
        <v>-0.028</v>
      </c>
      <c r="M9" s="259" t="n">
        <f aca="false">+L9*10^-3</f>
        <v>-2.8E-005</v>
      </c>
      <c r="N9" s="260" t="n">
        <f aca="false">+(G9*25.4)/1000</f>
        <v>0.023</v>
      </c>
      <c r="O9" s="255" t="n">
        <f aca="false">+N9*10^-3</f>
        <v>2.3E-005</v>
      </c>
      <c r="P9" s="260" t="n">
        <f aca="false">+N9/2</f>
        <v>0.0115</v>
      </c>
      <c r="Q9" s="255" t="n">
        <f aca="false">+(H9*25.4)/2</f>
        <v>1.15E-005</v>
      </c>
      <c r="R9" s="256" t="str">
        <f aca="false">J9</f>
        <v>070005</v>
      </c>
      <c r="S9" s="261" t="n">
        <f aca="false">D9</f>
        <v>0.1002</v>
      </c>
      <c r="T9" s="254" t="n">
        <f aca="false">0.4*25.4/1000</f>
        <v>0.01016</v>
      </c>
      <c r="U9" s="254" t="n">
        <v>-0.0381</v>
      </c>
      <c r="V9" s="262" t="n">
        <f aca="false">M9*1000</f>
        <v>-0.028</v>
      </c>
      <c r="W9" s="263" t="n">
        <f aca="false">(ABS(U9-V9)/$W$2)*1000</f>
        <v>0.132894736842105</v>
      </c>
      <c r="X9" s="263" t="n">
        <f aca="false">MAX(W9)</f>
        <v>0.132894736842105</v>
      </c>
      <c r="Y9" s="264" t="n">
        <f aca="false">((AVERAGE(W9)*12/1000))</f>
        <v>0.00159473684210526</v>
      </c>
      <c r="Z9" s="265" t="n">
        <f aca="false">(((Y9)*1000)/SQRT(3))</f>
        <v>0.920721745076087</v>
      </c>
      <c r="AA9" s="265" t="n">
        <f aca="false">((0.02)/SQRT(3))*1000</f>
        <v>11.5470053837925</v>
      </c>
      <c r="AB9" s="187"/>
    </row>
    <row r="10" customFormat="false" ht="16.5" hidden="false" customHeight="false" outlineLevel="0" collapsed="false">
      <c r="B10" s="161" t="n">
        <f aca="false">+B9+1</f>
        <v>6</v>
      </c>
      <c r="C10" s="252" t="s">
        <v>356</v>
      </c>
      <c r="D10" s="266" t="n">
        <v>0.1003</v>
      </c>
      <c r="E10" s="254" t="n">
        <v>-0.393700787401575</v>
      </c>
      <c r="F10" s="255" t="n">
        <f aca="false">+E10/1000000</f>
        <v>-3.93700787401575E-007</v>
      </c>
      <c r="G10" s="253" t="n">
        <v>0.905511811023622</v>
      </c>
      <c r="H10" s="255" t="n">
        <f aca="false">+G10/1000000</f>
        <v>9.05511811023622E-007</v>
      </c>
      <c r="J10" s="256" t="str">
        <f aca="false">C10</f>
        <v>070050</v>
      </c>
      <c r="K10" s="257" t="n">
        <f aca="false">+D10*25.4</f>
        <v>2.54762</v>
      </c>
      <c r="L10" s="258" t="n">
        <f aca="false">+(E10*25.4)/1000</f>
        <v>-0.01</v>
      </c>
      <c r="M10" s="259" t="n">
        <f aca="false">+L10*10^-3</f>
        <v>-1E-005</v>
      </c>
      <c r="N10" s="260" t="n">
        <f aca="false">+(G10*25.4)/1000</f>
        <v>0.023</v>
      </c>
      <c r="O10" s="255" t="n">
        <f aca="false">+N10*10^-3</f>
        <v>2.3E-005</v>
      </c>
      <c r="P10" s="260" t="n">
        <f aca="false">+N10/2</f>
        <v>0.0115</v>
      </c>
      <c r="Q10" s="255" t="n">
        <f aca="false">+(H10*25.4)/2</f>
        <v>1.15E-005</v>
      </c>
      <c r="R10" s="256" t="str">
        <f aca="false">J10</f>
        <v>070050</v>
      </c>
      <c r="S10" s="261" t="n">
        <f aca="false">D10</f>
        <v>0.1003</v>
      </c>
      <c r="T10" s="254" t="n">
        <f aca="false">0.4*25.4/1000</f>
        <v>0.01016</v>
      </c>
      <c r="U10" s="254" t="n">
        <v>-0.00762</v>
      </c>
      <c r="V10" s="262" t="n">
        <f aca="false">M10*1000</f>
        <v>-0.01</v>
      </c>
      <c r="W10" s="263" t="n">
        <f aca="false">(ABS(U10-V10)/$W$2)*1000</f>
        <v>0.0313157894736842</v>
      </c>
      <c r="X10" s="263" t="n">
        <f aca="false">MAX(W10)</f>
        <v>0.0313157894736842</v>
      </c>
      <c r="Y10" s="264" t="n">
        <f aca="false">((AVERAGE(W10)*12/1000))</f>
        <v>0.000375789473684211</v>
      </c>
      <c r="Z10" s="265" t="n">
        <f aca="false">(((Y10)*1000)/SQRT(3))</f>
        <v>0.216962153790207</v>
      </c>
      <c r="AA10" s="265" t="n">
        <f aca="false">((0.02)/SQRT(3))*1000</f>
        <v>11.5470053837925</v>
      </c>
      <c r="AB10" s="187"/>
    </row>
    <row r="11" customFormat="false" ht="16.5" hidden="false" customHeight="false" outlineLevel="0" collapsed="false">
      <c r="B11" s="161" t="n">
        <f aca="false">+B10+1</f>
        <v>7</v>
      </c>
      <c r="C11" s="252" t="s">
        <v>357</v>
      </c>
      <c r="D11" s="266" t="n">
        <v>0.1004</v>
      </c>
      <c r="E11" s="254" t="n">
        <v>-0.31496062992126</v>
      </c>
      <c r="F11" s="255" t="n">
        <f aca="false">+E11/1000000</f>
        <v>-3.1496062992126E-007</v>
      </c>
      <c r="G11" s="253" t="n">
        <v>0.905511811023622</v>
      </c>
      <c r="H11" s="255" t="n">
        <f aca="false">+G11/1000000</f>
        <v>9.05511811023622E-007</v>
      </c>
      <c r="J11" s="256" t="str">
        <f aca="false">C11</f>
        <v>070077</v>
      </c>
      <c r="K11" s="257" t="n">
        <f aca="false">+D11*25.4</f>
        <v>2.55016</v>
      </c>
      <c r="L11" s="258" t="n">
        <f aca="false">+(E11*25.4)/1000</f>
        <v>-0.008</v>
      </c>
      <c r="M11" s="259" t="n">
        <f aca="false">+L11*10^-3</f>
        <v>-8E-006</v>
      </c>
      <c r="N11" s="260" t="n">
        <f aca="false">+(G11*25.4)/1000</f>
        <v>0.023</v>
      </c>
      <c r="O11" s="255" t="n">
        <f aca="false">+N11*10^-3</f>
        <v>2.3E-005</v>
      </c>
      <c r="P11" s="260" t="n">
        <f aca="false">+N11/2</f>
        <v>0.0115</v>
      </c>
      <c r="Q11" s="255" t="n">
        <f aca="false">+(H11*25.4)/2</f>
        <v>1.15E-005</v>
      </c>
      <c r="R11" s="256" t="str">
        <f aca="false">J11</f>
        <v>070077</v>
      </c>
      <c r="S11" s="261" t="n">
        <f aca="false">D11</f>
        <v>0.1004</v>
      </c>
      <c r="T11" s="254" t="n">
        <f aca="false">0.4*25.4/1000</f>
        <v>0.01016</v>
      </c>
      <c r="U11" s="254" t="n">
        <v>-0.0127</v>
      </c>
      <c r="V11" s="262" t="n">
        <f aca="false">M11*1000</f>
        <v>-0.008</v>
      </c>
      <c r="W11" s="263" t="n">
        <f aca="false">(ABS(U11-V11)/$W$2)*1000</f>
        <v>0.0618421052631579</v>
      </c>
      <c r="X11" s="263" t="n">
        <f aca="false">MAX(W11)</f>
        <v>0.0618421052631579</v>
      </c>
      <c r="Y11" s="264" t="n">
        <f aca="false">((AVERAGE(W11)*12/1000))</f>
        <v>0.000742105263157895</v>
      </c>
      <c r="Z11" s="265" t="n">
        <f aca="false">(((Y11)*1000)/SQRT(3))</f>
        <v>0.428454673451249</v>
      </c>
      <c r="AA11" s="265" t="n">
        <f aca="false">((0.02)/SQRT(3))*1000</f>
        <v>11.5470053837925</v>
      </c>
      <c r="AB11" s="187"/>
    </row>
    <row r="12" customFormat="false" ht="16.5" hidden="false" customHeight="false" outlineLevel="0" collapsed="false">
      <c r="B12" s="161" t="n">
        <f aca="false">+B11+1</f>
        <v>8</v>
      </c>
      <c r="C12" s="252" t="s">
        <v>358</v>
      </c>
      <c r="D12" s="266" t="n">
        <v>0.1005</v>
      </c>
      <c r="E12" s="254" t="n">
        <v>0.118110236220472</v>
      </c>
      <c r="F12" s="255" t="n">
        <f aca="false">+E12/1000000</f>
        <v>1.18110236220472E-007</v>
      </c>
      <c r="G12" s="253" t="n">
        <v>0.905511811023622</v>
      </c>
      <c r="H12" s="255" t="n">
        <f aca="false">+G12/1000000</f>
        <v>9.05511811023622E-007</v>
      </c>
      <c r="J12" s="256" t="str">
        <f aca="false">C12</f>
        <v>070006</v>
      </c>
      <c r="K12" s="257" t="n">
        <f aca="false">+D12*25.4</f>
        <v>2.5527</v>
      </c>
      <c r="L12" s="258" t="n">
        <f aca="false">+(E12*25.4)/1000</f>
        <v>0.003</v>
      </c>
      <c r="M12" s="259" t="n">
        <f aca="false">+L12*10^-3</f>
        <v>3E-006</v>
      </c>
      <c r="N12" s="260" t="n">
        <f aca="false">+(G12*25.4)/1000</f>
        <v>0.023</v>
      </c>
      <c r="O12" s="255" t="n">
        <f aca="false">+N12*10^-3</f>
        <v>2.3E-005</v>
      </c>
      <c r="P12" s="260" t="n">
        <f aca="false">+N12/2</f>
        <v>0.0115</v>
      </c>
      <c r="Q12" s="255" t="n">
        <f aca="false">+(H12*25.4)/2</f>
        <v>1.15E-005</v>
      </c>
      <c r="R12" s="256" t="str">
        <f aca="false">J12</f>
        <v>070006</v>
      </c>
      <c r="S12" s="261" t="n">
        <f aca="false">D12</f>
        <v>0.1005</v>
      </c>
      <c r="T12" s="254" t="n">
        <f aca="false">0.4*25.4/1000</f>
        <v>0.01016</v>
      </c>
      <c r="U12" s="254" t="n">
        <v>-0.00254</v>
      </c>
      <c r="V12" s="262" t="n">
        <f aca="false">M12*1000</f>
        <v>0.003</v>
      </c>
      <c r="W12" s="263" t="n">
        <f aca="false">(ABS(U12-V12)/$W$2)*1000</f>
        <v>0.0728947368421053</v>
      </c>
      <c r="X12" s="263" t="n">
        <f aca="false">MAX(W12)</f>
        <v>0.0728947368421053</v>
      </c>
      <c r="Y12" s="264" t="n">
        <f aca="false">((AVERAGE(W12)*12/1000))</f>
        <v>0.000874736842105263</v>
      </c>
      <c r="Z12" s="265" t="n">
        <f aca="false">(((Y12)*1000)/SQRT(3))</f>
        <v>0.505029551259557</v>
      </c>
      <c r="AA12" s="265" t="n">
        <f aca="false">((0.02)/SQRT(3))*1000</f>
        <v>11.5470053837925</v>
      </c>
      <c r="AB12" s="187"/>
    </row>
    <row r="13" customFormat="false" ht="16.5" hidden="false" customHeight="false" outlineLevel="0" collapsed="false">
      <c r="B13" s="161" t="n">
        <f aca="false">+B12+1</f>
        <v>9</v>
      </c>
      <c r="C13" s="252" t="s">
        <v>359</v>
      </c>
      <c r="D13" s="266" t="n">
        <v>0.1006</v>
      </c>
      <c r="E13" s="254" t="n">
        <v>2.28346456692913</v>
      </c>
      <c r="F13" s="255" t="n">
        <f aca="false">+E13/1000000</f>
        <v>2.28346456692913E-006</v>
      </c>
      <c r="G13" s="253" t="n">
        <v>0.905511811023622</v>
      </c>
      <c r="H13" s="255" t="n">
        <f aca="false">+G13/1000000</f>
        <v>9.05511811023622E-007</v>
      </c>
      <c r="J13" s="256" t="str">
        <f aca="false">C13</f>
        <v>070008</v>
      </c>
      <c r="K13" s="257" t="n">
        <f aca="false">+D13*25.4</f>
        <v>2.55524</v>
      </c>
      <c r="L13" s="258" t="n">
        <f aca="false">+(E13*25.4)/1000</f>
        <v>0.058</v>
      </c>
      <c r="M13" s="259" t="n">
        <f aca="false">+L13*10^-3</f>
        <v>5.8E-005</v>
      </c>
      <c r="N13" s="260" t="n">
        <f aca="false">+(G13*25.4)/1000</f>
        <v>0.023</v>
      </c>
      <c r="O13" s="255" t="n">
        <f aca="false">+N13*10^-3</f>
        <v>2.3E-005</v>
      </c>
      <c r="P13" s="260" t="n">
        <f aca="false">+N13/2</f>
        <v>0.0115</v>
      </c>
      <c r="Q13" s="255" t="n">
        <f aca="false">+(H13*25.4)/2</f>
        <v>1.15E-005</v>
      </c>
      <c r="R13" s="256" t="str">
        <f aca="false">J13</f>
        <v>070008</v>
      </c>
      <c r="S13" s="261" t="n">
        <f aca="false">D13</f>
        <v>0.1006</v>
      </c>
      <c r="T13" s="254" t="n">
        <f aca="false">0.4*25.4/1000</f>
        <v>0.01016</v>
      </c>
      <c r="U13" s="254" t="n">
        <v>0.0508</v>
      </c>
      <c r="V13" s="262" t="n">
        <f aca="false">M13*1000</f>
        <v>0.058</v>
      </c>
      <c r="W13" s="263" t="n">
        <f aca="false">(ABS(U13-V13)/$W$2)*1000</f>
        <v>0.0947368421052632</v>
      </c>
      <c r="X13" s="263" t="n">
        <f aca="false">MAX(W13)</f>
        <v>0.0947368421052632</v>
      </c>
      <c r="Y13" s="264" t="n">
        <f aca="false">((AVERAGE(W13)*12/1000))</f>
        <v>0.00113684210526316</v>
      </c>
      <c r="Z13" s="265" t="n">
        <f aca="false">(((Y13)*1000)/SQRT(3))</f>
        <v>0.656356095499786</v>
      </c>
      <c r="AA13" s="265" t="n">
        <f aca="false">((0.02)/SQRT(3))*1000</f>
        <v>11.5470053837925</v>
      </c>
      <c r="AB13" s="187"/>
    </row>
    <row r="14" customFormat="false" ht="16.5" hidden="false" customHeight="false" outlineLevel="0" collapsed="false">
      <c r="B14" s="161" t="n">
        <f aca="false">+B13+1</f>
        <v>10</v>
      </c>
      <c r="C14" s="252" t="s">
        <v>360</v>
      </c>
      <c r="D14" s="266" t="n">
        <v>0.1007</v>
      </c>
      <c r="E14" s="254" t="n">
        <v>-1.49606299212598</v>
      </c>
      <c r="F14" s="255" t="n">
        <f aca="false">+E14/1000000</f>
        <v>-1.49606299212598E-006</v>
      </c>
      <c r="G14" s="253" t="n">
        <v>0.905511811023622</v>
      </c>
      <c r="H14" s="255" t="n">
        <f aca="false">+G14/1000000</f>
        <v>9.05511811023622E-007</v>
      </c>
      <c r="J14" s="256" t="str">
        <f aca="false">C14</f>
        <v>070001</v>
      </c>
      <c r="K14" s="257" t="n">
        <f aca="false">+D14*25.4</f>
        <v>2.55778</v>
      </c>
      <c r="L14" s="258" t="n">
        <f aca="false">+(E14*25.4)/1000</f>
        <v>-0.038</v>
      </c>
      <c r="M14" s="259" t="n">
        <f aca="false">+L14*10^-3</f>
        <v>-3.8E-005</v>
      </c>
      <c r="N14" s="260" t="n">
        <f aca="false">+(G14*25.4)/1000</f>
        <v>0.023</v>
      </c>
      <c r="O14" s="255" t="n">
        <f aca="false">+N14*10^-3</f>
        <v>2.3E-005</v>
      </c>
      <c r="P14" s="260" t="n">
        <f aca="false">+N14/2</f>
        <v>0.0115</v>
      </c>
      <c r="Q14" s="255" t="n">
        <f aca="false">+(H14*25.4)/2</f>
        <v>1.15E-005</v>
      </c>
      <c r="R14" s="256" t="str">
        <f aca="false">J14</f>
        <v>070001</v>
      </c>
      <c r="S14" s="261" t="n">
        <f aca="false">D14</f>
        <v>0.1007</v>
      </c>
      <c r="T14" s="254" t="n">
        <f aca="false">0.4*25.4/1000</f>
        <v>0.01016</v>
      </c>
      <c r="U14" s="254" t="n">
        <v>-0.05588</v>
      </c>
      <c r="V14" s="262" t="n">
        <f aca="false">M14*1000</f>
        <v>-0.038</v>
      </c>
      <c r="W14" s="263" t="n">
        <f aca="false">(ABS(U14-V14)/$W$2)*1000</f>
        <v>0.235263157894737</v>
      </c>
      <c r="X14" s="263" t="n">
        <f aca="false">MAX(W14)</f>
        <v>0.235263157894737</v>
      </c>
      <c r="Y14" s="264" t="n">
        <f aca="false">((AVERAGE(W14)*12/1000))</f>
        <v>0.00282315789473684</v>
      </c>
      <c r="Z14" s="265" t="n">
        <f aca="false">(((Y14)*1000)/SQRT(3))</f>
        <v>1.62995097049113</v>
      </c>
      <c r="AA14" s="265" t="n">
        <f aca="false">((0.02)/SQRT(3))*1000</f>
        <v>11.5470053837925</v>
      </c>
      <c r="AB14" s="187"/>
    </row>
    <row r="15" customFormat="false" ht="16.5" hidden="false" customHeight="false" outlineLevel="0" collapsed="false">
      <c r="B15" s="161" t="n">
        <f aca="false">+B14+1</f>
        <v>11</v>
      </c>
      <c r="C15" s="252" t="s">
        <v>361</v>
      </c>
      <c r="D15" s="266" t="n">
        <v>0.1008</v>
      </c>
      <c r="E15" s="267" t="n">
        <v>1.10236220472441</v>
      </c>
      <c r="F15" s="255" t="n">
        <f aca="false">+E15/1000000</f>
        <v>1.10236220472441E-006</v>
      </c>
      <c r="G15" s="253" t="n">
        <v>0.905511811023622</v>
      </c>
      <c r="H15" s="255" t="n">
        <f aca="false">+G15/1000000</f>
        <v>9.05511811023622E-007</v>
      </c>
      <c r="J15" s="256" t="str">
        <f aca="false">C15</f>
        <v>070000</v>
      </c>
      <c r="K15" s="257" t="n">
        <f aca="false">+D15*25.4</f>
        <v>2.56032</v>
      </c>
      <c r="L15" s="258" t="n">
        <f aca="false">+(E15*25.4)/1000</f>
        <v>0.028</v>
      </c>
      <c r="M15" s="259" t="n">
        <f aca="false">+L15*10^-3</f>
        <v>2.8E-005</v>
      </c>
      <c r="N15" s="260" t="n">
        <f aca="false">+(G15*25.4)/1000</f>
        <v>0.023</v>
      </c>
      <c r="O15" s="255" t="n">
        <f aca="false">+N15*10^-3</f>
        <v>2.3E-005</v>
      </c>
      <c r="P15" s="260" t="n">
        <f aca="false">+N15/2</f>
        <v>0.0115</v>
      </c>
      <c r="Q15" s="255" t="n">
        <f aca="false">+(H15*25.4)/2</f>
        <v>1.15E-005</v>
      </c>
      <c r="R15" s="256" t="str">
        <f aca="false">J15</f>
        <v>070000</v>
      </c>
      <c r="S15" s="261" t="n">
        <f aca="false">D15</f>
        <v>0.1008</v>
      </c>
      <c r="T15" s="254" t="n">
        <f aca="false">0.4*25.4/1000</f>
        <v>0.01016</v>
      </c>
      <c r="U15" s="254" t="n">
        <v>0.01778</v>
      </c>
      <c r="V15" s="262" t="n">
        <f aca="false">M15*1000</f>
        <v>0.028</v>
      </c>
      <c r="W15" s="263" t="n">
        <f aca="false">(ABS(U15-V15)/$W$2)*1000</f>
        <v>0.134473684210526</v>
      </c>
      <c r="X15" s="263" t="n">
        <f aca="false">MAX(W15)</f>
        <v>0.134473684210526</v>
      </c>
      <c r="Y15" s="264" t="n">
        <f aca="false">((AVERAGE(W15)*12/1000))</f>
        <v>0.00161368421052632</v>
      </c>
      <c r="Z15" s="265" t="n">
        <f aca="false">(((Y15)*1000)/SQRT(3))</f>
        <v>0.931661013334418</v>
      </c>
      <c r="AA15" s="265" t="n">
        <f aca="false">((0.02)/SQRT(3))*1000</f>
        <v>11.5470053837925</v>
      </c>
      <c r="AB15" s="187"/>
    </row>
    <row r="16" customFormat="false" ht="16.5" hidden="false" customHeight="false" outlineLevel="0" collapsed="false">
      <c r="B16" s="161" t="n">
        <f aca="false">+B15+1</f>
        <v>12</v>
      </c>
      <c r="C16" s="252" t="s">
        <v>362</v>
      </c>
      <c r="D16" s="266" t="n">
        <v>0.1009</v>
      </c>
      <c r="E16" s="267" t="n">
        <v>1.61417322834646</v>
      </c>
      <c r="F16" s="255" t="n">
        <f aca="false">+E16/1000000</f>
        <v>1.61417322834646E-006</v>
      </c>
      <c r="G16" s="253" t="n">
        <v>0.905511811023622</v>
      </c>
      <c r="H16" s="255" t="n">
        <f aca="false">+G16/1000000</f>
        <v>9.05511811023622E-007</v>
      </c>
      <c r="J16" s="256" t="str">
        <f aca="false">C16</f>
        <v>070017</v>
      </c>
      <c r="K16" s="257" t="n">
        <f aca="false">+D16*25.4</f>
        <v>2.56286</v>
      </c>
      <c r="L16" s="258" t="n">
        <f aca="false">+(E16*25.4)/1000</f>
        <v>0.041</v>
      </c>
      <c r="M16" s="259" t="n">
        <f aca="false">+L16*10^-3</f>
        <v>4.1E-005</v>
      </c>
      <c r="N16" s="260" t="n">
        <f aca="false">+(G16*25.4)/1000</f>
        <v>0.023</v>
      </c>
      <c r="O16" s="255" t="n">
        <f aca="false">+N16*10^-3</f>
        <v>2.3E-005</v>
      </c>
      <c r="P16" s="260" t="n">
        <f aca="false">+N16/2</f>
        <v>0.0115</v>
      </c>
      <c r="Q16" s="255" t="n">
        <f aca="false">+(H16*25.4)/2</f>
        <v>1.15E-005</v>
      </c>
      <c r="R16" s="256" t="str">
        <f aca="false">J16</f>
        <v>070017</v>
      </c>
      <c r="S16" s="261" t="n">
        <f aca="false">D16</f>
        <v>0.1009</v>
      </c>
      <c r="T16" s="254" t="n">
        <f aca="false">0.4*25.4/1000</f>
        <v>0.01016</v>
      </c>
      <c r="U16" s="254" t="n">
        <v>0.02794</v>
      </c>
      <c r="V16" s="262" t="n">
        <f aca="false">M16*1000</f>
        <v>0.041</v>
      </c>
      <c r="W16" s="263" t="n">
        <f aca="false">(ABS(U16-V16)/$W$2)*1000</f>
        <v>0.171842105263158</v>
      </c>
      <c r="X16" s="263" t="n">
        <f aca="false">MAX(W16)</f>
        <v>0.171842105263158</v>
      </c>
      <c r="Y16" s="264" t="n">
        <f aca="false">((AVERAGE(W16)*12/1000))</f>
        <v>0.0020621052631579</v>
      </c>
      <c r="Z16" s="265" t="n">
        <f aca="false">(((Y16)*1000)/SQRT(3))</f>
        <v>1.19055702878156</v>
      </c>
      <c r="AA16" s="265" t="n">
        <f aca="false">((0.02)/SQRT(3))*1000</f>
        <v>11.5470053837925</v>
      </c>
      <c r="AB16" s="187"/>
    </row>
    <row r="17" customFormat="false" ht="16.5" hidden="false" customHeight="false" outlineLevel="0" collapsed="false">
      <c r="B17" s="161" t="n">
        <f aca="false">+B16+1</f>
        <v>13</v>
      </c>
      <c r="C17" s="252" t="s">
        <v>363</v>
      </c>
      <c r="D17" s="266" t="n">
        <v>0.101</v>
      </c>
      <c r="E17" s="254" t="n">
        <v>1.81102362204724</v>
      </c>
      <c r="F17" s="255" t="n">
        <f aca="false">+E17/1000000</f>
        <v>1.81102362204724E-006</v>
      </c>
      <c r="G17" s="253" t="n">
        <v>0.905511811023622</v>
      </c>
      <c r="H17" s="255" t="n">
        <f aca="false">+G17/1000000</f>
        <v>9.05511811023622E-007</v>
      </c>
      <c r="J17" s="256" t="str">
        <f aca="false">C17</f>
        <v>070022</v>
      </c>
      <c r="K17" s="257" t="n">
        <f aca="false">+D17*25.4</f>
        <v>2.5654</v>
      </c>
      <c r="L17" s="258" t="n">
        <f aca="false">+(E17*25.4)/1000</f>
        <v>0.046</v>
      </c>
      <c r="M17" s="259" t="n">
        <f aca="false">+L17*10^-3</f>
        <v>4.6E-005</v>
      </c>
      <c r="N17" s="260" t="n">
        <f aca="false">+(G17*25.4)/1000</f>
        <v>0.023</v>
      </c>
      <c r="O17" s="255" t="n">
        <f aca="false">+N17*10^-3</f>
        <v>2.3E-005</v>
      </c>
      <c r="P17" s="260" t="n">
        <f aca="false">+N17/2</f>
        <v>0.0115</v>
      </c>
      <c r="Q17" s="255" t="n">
        <f aca="false">+(H17*25.4)/2</f>
        <v>1.15E-005</v>
      </c>
      <c r="R17" s="256" t="str">
        <f aca="false">J17</f>
        <v>070022</v>
      </c>
      <c r="S17" s="261" t="n">
        <f aca="false">D17</f>
        <v>0.101</v>
      </c>
      <c r="T17" s="254" t="n">
        <f aca="false">0.4*25.4/1000</f>
        <v>0.01016</v>
      </c>
      <c r="U17" s="254" t="n">
        <v>0.03302</v>
      </c>
      <c r="V17" s="262" t="n">
        <f aca="false">M17*1000</f>
        <v>0.046</v>
      </c>
      <c r="W17" s="263" t="n">
        <f aca="false">(ABS(U17-V17)/$W$2)*1000</f>
        <v>0.170789473684211</v>
      </c>
      <c r="X17" s="263" t="n">
        <f aca="false">MAX(W17)</f>
        <v>0.170789473684211</v>
      </c>
      <c r="Y17" s="264" t="n">
        <f aca="false">((AVERAGE(W17)*12/1000))</f>
        <v>0.00204947368421053</v>
      </c>
      <c r="Z17" s="265" t="n">
        <f aca="false">(((Y17)*1000)/SQRT(3))</f>
        <v>1.183264183276</v>
      </c>
      <c r="AA17" s="265" t="n">
        <f aca="false">((0.02)/SQRT(3))*1000</f>
        <v>11.5470053837925</v>
      </c>
      <c r="AB17" s="187"/>
    </row>
    <row r="18" customFormat="false" ht="16.5" hidden="false" customHeight="false" outlineLevel="0" collapsed="false">
      <c r="B18" s="161" t="n">
        <f aca="false">+B17+1</f>
        <v>14</v>
      </c>
      <c r="C18" s="252" t="s">
        <v>364</v>
      </c>
      <c r="D18" s="266" t="n">
        <v>0.102</v>
      </c>
      <c r="E18" s="254" t="n">
        <v>1.61417322834646</v>
      </c>
      <c r="F18" s="255" t="n">
        <f aca="false">+E18/1000000</f>
        <v>1.61417322834646E-006</v>
      </c>
      <c r="G18" s="253" t="n">
        <v>0.905511811023622</v>
      </c>
      <c r="H18" s="255" t="n">
        <f aca="false">+G18/1000000</f>
        <v>9.05511811023622E-007</v>
      </c>
      <c r="J18" s="256" t="str">
        <f aca="false">C18</f>
        <v>070026</v>
      </c>
      <c r="K18" s="257" t="n">
        <f aca="false">+D18*25.4</f>
        <v>2.5908</v>
      </c>
      <c r="L18" s="258" t="n">
        <f aca="false">+(E18*25.4)/1000</f>
        <v>0.041</v>
      </c>
      <c r="M18" s="259" t="n">
        <f aca="false">+L18*10^-3</f>
        <v>4.1E-005</v>
      </c>
      <c r="N18" s="260" t="n">
        <f aca="false">+(G18*25.4)/1000</f>
        <v>0.023</v>
      </c>
      <c r="O18" s="255" t="n">
        <f aca="false">+N18*10^-3</f>
        <v>2.3E-005</v>
      </c>
      <c r="P18" s="260" t="n">
        <f aca="false">+N18/2</f>
        <v>0.0115</v>
      </c>
      <c r="Q18" s="255" t="n">
        <f aca="false">+(H18*25.4)/2</f>
        <v>1.15E-005</v>
      </c>
      <c r="R18" s="256" t="str">
        <f aca="false">J18</f>
        <v>070026</v>
      </c>
      <c r="S18" s="261" t="n">
        <f aca="false">D18</f>
        <v>0.102</v>
      </c>
      <c r="T18" s="254" t="n">
        <f aca="false">0.4*25.4/1000</f>
        <v>0.01016</v>
      </c>
      <c r="U18" s="254" t="n">
        <v>0.0381</v>
      </c>
      <c r="V18" s="262" t="n">
        <f aca="false">M18*1000</f>
        <v>0.041</v>
      </c>
      <c r="W18" s="263" t="n">
        <f aca="false">(ABS(U18-V18)/$W$2)*1000</f>
        <v>0.0381578947368422</v>
      </c>
      <c r="X18" s="263" t="n">
        <f aca="false">MAX(W18)</f>
        <v>0.0381578947368422</v>
      </c>
      <c r="Y18" s="264" t="n">
        <f aca="false">((AVERAGE(W18)*12/1000))</f>
        <v>0.000457894736842106</v>
      </c>
      <c r="Z18" s="265" t="n">
        <f aca="false">(((Y18)*1000)/SQRT(3))</f>
        <v>0.264365649576303</v>
      </c>
      <c r="AA18" s="265" t="n">
        <f aca="false">((0.02)/SQRT(3))*1000</f>
        <v>11.5470053837925</v>
      </c>
      <c r="AB18" s="187"/>
    </row>
    <row r="19" customFormat="false" ht="16.5" hidden="false" customHeight="false" outlineLevel="0" collapsed="false">
      <c r="B19" s="161" t="n">
        <f aca="false">+B18+1</f>
        <v>15</v>
      </c>
      <c r="C19" s="252" t="s">
        <v>365</v>
      </c>
      <c r="D19" s="266" t="n">
        <v>0.103</v>
      </c>
      <c r="E19" s="254" t="n">
        <v>2.79527559055118</v>
      </c>
      <c r="F19" s="255" t="n">
        <f aca="false">+E19/1000000</f>
        <v>2.79527559055118E-006</v>
      </c>
      <c r="G19" s="253" t="n">
        <v>0.905511811023622</v>
      </c>
      <c r="H19" s="255" t="n">
        <f aca="false">+G19/1000000</f>
        <v>9.05511811023622E-007</v>
      </c>
      <c r="J19" s="256" t="str">
        <f aca="false">C19</f>
        <v>060073</v>
      </c>
      <c r="K19" s="257" t="n">
        <f aca="false">+D19*25.4</f>
        <v>2.6162</v>
      </c>
      <c r="L19" s="258" t="n">
        <f aca="false">+(E19*25.4)/1000</f>
        <v>0.071</v>
      </c>
      <c r="M19" s="259" t="n">
        <f aca="false">+L19*10^-3</f>
        <v>7.1E-005</v>
      </c>
      <c r="N19" s="260" t="n">
        <f aca="false">+(G19*25.4)/1000</f>
        <v>0.023</v>
      </c>
      <c r="O19" s="255" t="n">
        <f aca="false">+N19*10^-3</f>
        <v>2.3E-005</v>
      </c>
      <c r="P19" s="260" t="n">
        <f aca="false">+N19/2</f>
        <v>0.0115</v>
      </c>
      <c r="Q19" s="255" t="n">
        <f aca="false">+(H19*25.4)/2</f>
        <v>1.15E-005</v>
      </c>
      <c r="R19" s="256" t="str">
        <f aca="false">J19</f>
        <v>060073</v>
      </c>
      <c r="S19" s="261" t="n">
        <f aca="false">D19</f>
        <v>0.103</v>
      </c>
      <c r="T19" s="254" t="n">
        <f aca="false">0.4*25.4/1000</f>
        <v>0.01016</v>
      </c>
      <c r="U19" s="254" t="n">
        <v>0.05588</v>
      </c>
      <c r="V19" s="262" t="n">
        <f aca="false">M19*1000</f>
        <v>0.071</v>
      </c>
      <c r="W19" s="263" t="n">
        <f aca="false">(ABS(U19-V19)/$W$2)*1000</f>
        <v>0.198947368421053</v>
      </c>
      <c r="X19" s="263" t="n">
        <f aca="false">MAX(W19)</f>
        <v>0.198947368421053</v>
      </c>
      <c r="Y19" s="264" t="n">
        <f aca="false">((AVERAGE(W19)*12/1000))</f>
        <v>0.00238736842105263</v>
      </c>
      <c r="Z19" s="265" t="n">
        <f aca="false">(((Y19)*1000)/SQRT(3))</f>
        <v>1.37834780054955</v>
      </c>
      <c r="AA19" s="265" t="n">
        <f aca="false">((0.02)/SQRT(3))*1000</f>
        <v>11.5470053837925</v>
      </c>
      <c r="AB19" s="187"/>
    </row>
    <row r="20" customFormat="false" ht="16.5" hidden="false" customHeight="false" outlineLevel="0" collapsed="false">
      <c r="B20" s="161" t="n">
        <f aca="false">+B19+1</f>
        <v>16</v>
      </c>
      <c r="C20" s="252" t="s">
        <v>366</v>
      </c>
      <c r="D20" s="266" t="n">
        <v>0.104</v>
      </c>
      <c r="E20" s="254" t="n">
        <v>1.81102362204724</v>
      </c>
      <c r="F20" s="255" t="n">
        <f aca="false">+E20/1000000</f>
        <v>1.81102362204724E-006</v>
      </c>
      <c r="G20" s="253" t="n">
        <v>0.905511811023622</v>
      </c>
      <c r="H20" s="255" t="n">
        <f aca="false">+G20/1000000</f>
        <v>9.05511811023622E-007</v>
      </c>
      <c r="J20" s="256" t="str">
        <f aca="false">C20</f>
        <v>070024</v>
      </c>
      <c r="K20" s="257" t="n">
        <f aca="false">+D20*25.4</f>
        <v>2.6416</v>
      </c>
      <c r="L20" s="258" t="n">
        <f aca="false">+(E20*25.4)/1000</f>
        <v>0.046</v>
      </c>
      <c r="M20" s="259" t="n">
        <f aca="false">+L20*10^-3</f>
        <v>4.6E-005</v>
      </c>
      <c r="N20" s="260" t="n">
        <f aca="false">+(G20*25.4)/1000</f>
        <v>0.023</v>
      </c>
      <c r="O20" s="255" t="n">
        <f aca="false">+N20*10^-3</f>
        <v>2.3E-005</v>
      </c>
      <c r="P20" s="260" t="n">
        <f aca="false">+N20/2</f>
        <v>0.0115</v>
      </c>
      <c r="Q20" s="255" t="n">
        <f aca="false">+(H20*25.4)/2</f>
        <v>1.15E-005</v>
      </c>
      <c r="R20" s="256" t="str">
        <f aca="false">J20</f>
        <v>070024</v>
      </c>
      <c r="S20" s="261" t="n">
        <f aca="false">D20</f>
        <v>0.104</v>
      </c>
      <c r="T20" s="254" t="n">
        <f aca="false">0.4*25.4/1000</f>
        <v>0.01016</v>
      </c>
      <c r="U20" s="254" t="n">
        <v>0.02794</v>
      </c>
      <c r="V20" s="262" t="n">
        <f aca="false">M20*1000</f>
        <v>0.046</v>
      </c>
      <c r="W20" s="263" t="n">
        <f aca="false">(ABS(U20-V20)/$W$2)*1000</f>
        <v>0.237631578947368</v>
      </c>
      <c r="X20" s="263" t="n">
        <f aca="false">MAX(W20)</f>
        <v>0.237631578947368</v>
      </c>
      <c r="Y20" s="264" t="n">
        <f aca="false">((AVERAGE(W20)*12/1000))</f>
        <v>0.00285157894736842</v>
      </c>
      <c r="Z20" s="265" t="n">
        <f aca="false">(((Y20)*1000)/SQRT(3))</f>
        <v>1.64635987287863</v>
      </c>
      <c r="AA20" s="265" t="n">
        <f aca="false">((0.02)/SQRT(3))*1000</f>
        <v>11.5470053837925</v>
      </c>
      <c r="AB20" s="187"/>
    </row>
    <row r="21" customFormat="false" ht="16.5" hidden="false" customHeight="false" outlineLevel="0" collapsed="false">
      <c r="B21" s="161" t="n">
        <f aca="false">+B20+1</f>
        <v>17</v>
      </c>
      <c r="C21" s="252" t="s">
        <v>367</v>
      </c>
      <c r="D21" s="268" t="n">
        <v>0.105</v>
      </c>
      <c r="E21" s="254" t="n">
        <v>0.118110236220472</v>
      </c>
      <c r="F21" s="255" t="n">
        <f aca="false">+E21/1000000</f>
        <v>1.18110236220472E-007</v>
      </c>
      <c r="G21" s="253" t="n">
        <v>0.905511811023622</v>
      </c>
      <c r="H21" s="255" t="n">
        <f aca="false">+G21/1000000</f>
        <v>9.05511811023622E-007</v>
      </c>
      <c r="J21" s="256" t="str">
        <f aca="false">C21</f>
        <v>070045</v>
      </c>
      <c r="K21" s="257" t="n">
        <f aca="false">+D21*25.4</f>
        <v>2.667</v>
      </c>
      <c r="L21" s="258" t="n">
        <f aca="false">+(E21*25.4)/1000</f>
        <v>0.003</v>
      </c>
      <c r="M21" s="259" t="n">
        <f aca="false">+L21*10^-3</f>
        <v>3E-006</v>
      </c>
      <c r="N21" s="260" t="n">
        <f aca="false">+(G21*25.4)/1000</f>
        <v>0.023</v>
      </c>
      <c r="O21" s="255" t="n">
        <f aca="false">+N21*10^-3</f>
        <v>2.3E-005</v>
      </c>
      <c r="P21" s="260" t="n">
        <f aca="false">+N21/2</f>
        <v>0.0115</v>
      </c>
      <c r="Q21" s="255" t="n">
        <f aca="false">+(H21*25.4)/2</f>
        <v>1.15E-005</v>
      </c>
      <c r="R21" s="256" t="str">
        <f aca="false">J21</f>
        <v>070045</v>
      </c>
      <c r="S21" s="261" t="n">
        <f aca="false">D21</f>
        <v>0.105</v>
      </c>
      <c r="T21" s="254" t="n">
        <f aca="false">0.4*25.4/1000</f>
        <v>0.01016</v>
      </c>
      <c r="U21" s="254" t="n">
        <v>-0.00762</v>
      </c>
      <c r="V21" s="262" t="n">
        <f aca="false">M21*1000</f>
        <v>0.003</v>
      </c>
      <c r="W21" s="263" t="n">
        <f aca="false">(ABS(U21-V21)/$W$2)*1000</f>
        <v>0.139736842105263</v>
      </c>
      <c r="X21" s="263" t="n">
        <f aca="false">MAX(W21)</f>
        <v>0.139736842105263</v>
      </c>
      <c r="Y21" s="264" t="n">
        <f aca="false">((AVERAGE(W21)*12/1000))</f>
        <v>0.00167684210526316</v>
      </c>
      <c r="Z21" s="265" t="n">
        <f aca="false">(((Y21)*1000)/SQRT(3))</f>
        <v>0.968125240862183</v>
      </c>
      <c r="AA21" s="265" t="n">
        <f aca="false">((0.02)/SQRT(3))*1000</f>
        <v>11.5470053837925</v>
      </c>
      <c r="AB21" s="187"/>
    </row>
    <row r="22" customFormat="false" ht="16.5" hidden="false" customHeight="false" outlineLevel="0" collapsed="false">
      <c r="B22" s="161" t="n">
        <f aca="false">+B21+1</f>
        <v>18</v>
      </c>
      <c r="C22" s="252" t="s">
        <v>368</v>
      </c>
      <c r="D22" s="266" t="n">
        <v>0.106</v>
      </c>
      <c r="E22" s="254" t="n">
        <v>2.00787401574803</v>
      </c>
      <c r="F22" s="255" t="n">
        <f aca="false">+E22/1000000</f>
        <v>2.00787401574803E-006</v>
      </c>
      <c r="G22" s="253" t="n">
        <v>0.905511811023622</v>
      </c>
      <c r="H22" s="255" t="n">
        <f aca="false">+G22/1000000</f>
        <v>9.05511811023622E-007</v>
      </c>
      <c r="J22" s="256" t="str">
        <f aca="false">C22</f>
        <v>070060</v>
      </c>
      <c r="K22" s="257" t="n">
        <f aca="false">+D22*25.4</f>
        <v>2.6924</v>
      </c>
      <c r="L22" s="258" t="n">
        <f aca="false">+(E22*25.4)/1000</f>
        <v>0.051</v>
      </c>
      <c r="M22" s="259" t="n">
        <f aca="false">+L22*10^-3</f>
        <v>5.1E-005</v>
      </c>
      <c r="N22" s="260" t="n">
        <f aca="false">+(G22*25.4)/1000</f>
        <v>0.023</v>
      </c>
      <c r="O22" s="255" t="n">
        <f aca="false">+N22*10^-3</f>
        <v>2.3E-005</v>
      </c>
      <c r="P22" s="260" t="n">
        <f aca="false">+N22/2</f>
        <v>0.0115</v>
      </c>
      <c r="Q22" s="255" t="n">
        <f aca="false">+(H22*25.4)/2</f>
        <v>1.15E-005</v>
      </c>
      <c r="R22" s="256" t="str">
        <f aca="false">J22</f>
        <v>070060</v>
      </c>
      <c r="S22" s="261" t="n">
        <f aca="false">D22</f>
        <v>0.106</v>
      </c>
      <c r="T22" s="254" t="n">
        <f aca="false">0.4*25.4/1000</f>
        <v>0.01016</v>
      </c>
      <c r="U22" s="254" t="n">
        <v>0.0381</v>
      </c>
      <c r="V22" s="262" t="n">
        <f aca="false">M22*1000</f>
        <v>0.051</v>
      </c>
      <c r="W22" s="263" t="n">
        <f aca="false">(ABS(U22-V22)/$W$2)*1000</f>
        <v>0.169736842105263</v>
      </c>
      <c r="X22" s="263" t="n">
        <f aca="false">MAX(W22)</f>
        <v>0.169736842105263</v>
      </c>
      <c r="Y22" s="264" t="n">
        <f aca="false">((AVERAGE(W22)*12/1000))</f>
        <v>0.00203684210526316</v>
      </c>
      <c r="Z22" s="265" t="n">
        <f aca="false">(((Y22)*1000)/SQRT(3))</f>
        <v>1.17597133777045</v>
      </c>
      <c r="AA22" s="265" t="n">
        <f aca="false">((0.02)/SQRT(3))*1000</f>
        <v>11.5470053837925</v>
      </c>
      <c r="AB22" s="187"/>
    </row>
    <row r="23" customFormat="false" ht="16.5" hidden="false" customHeight="false" outlineLevel="0" collapsed="false">
      <c r="B23" s="161" t="n">
        <f aca="false">+B22+1</f>
        <v>19</v>
      </c>
      <c r="C23" s="252" t="s">
        <v>369</v>
      </c>
      <c r="D23" s="266" t="n">
        <v>0.107</v>
      </c>
      <c r="E23" s="254" t="n">
        <v>-0.590551181102362</v>
      </c>
      <c r="F23" s="255" t="n">
        <f aca="false">+E23/1000000</f>
        <v>-5.90551181102362E-007</v>
      </c>
      <c r="G23" s="253" t="n">
        <v>0.905511811023622</v>
      </c>
      <c r="H23" s="255" t="n">
        <f aca="false">+G23/1000000</f>
        <v>9.05511811023622E-007</v>
      </c>
      <c r="J23" s="256" t="str">
        <f aca="false">C23</f>
        <v>070034</v>
      </c>
      <c r="K23" s="257" t="n">
        <f aca="false">+D23*25.4</f>
        <v>2.7178</v>
      </c>
      <c r="L23" s="258" t="n">
        <f aca="false">+(E23*25.4)/1000</f>
        <v>-0.015</v>
      </c>
      <c r="M23" s="259" t="n">
        <f aca="false">+L23*10^-3</f>
        <v>-1.5E-005</v>
      </c>
      <c r="N23" s="260" t="n">
        <f aca="false">+(G23*25.4)/1000</f>
        <v>0.023</v>
      </c>
      <c r="O23" s="255" t="n">
        <f aca="false">+N23*10^-3</f>
        <v>2.3E-005</v>
      </c>
      <c r="P23" s="260" t="n">
        <f aca="false">+N23/2</f>
        <v>0.0115</v>
      </c>
      <c r="Q23" s="255" t="n">
        <f aca="false">+(H23*25.4)/2</f>
        <v>1.15E-005</v>
      </c>
      <c r="R23" s="256" t="str">
        <f aca="false">J23</f>
        <v>070034</v>
      </c>
      <c r="S23" s="261" t="n">
        <f aca="false">D23</f>
        <v>0.107</v>
      </c>
      <c r="T23" s="254" t="n">
        <f aca="false">0.4*25.4/1000</f>
        <v>0.01016</v>
      </c>
      <c r="U23" s="254" t="n">
        <v>-0.02032</v>
      </c>
      <c r="V23" s="262" t="n">
        <f aca="false">M23*1000</f>
        <v>-0.015</v>
      </c>
      <c r="W23" s="263" t="n">
        <f aca="false">(ABS(U23-V23)/$W$2)*1000</f>
        <v>0.07</v>
      </c>
      <c r="X23" s="263" t="n">
        <f aca="false">MAX(W23)</f>
        <v>0.07</v>
      </c>
      <c r="Y23" s="264" t="n">
        <f aca="false">((AVERAGE(W23)*12/1000))</f>
        <v>0.00084</v>
      </c>
      <c r="Z23" s="265" t="n">
        <f aca="false">(((Y23)*1000)/SQRT(3))</f>
        <v>0.484974226119286</v>
      </c>
      <c r="AA23" s="265" t="n">
        <f aca="false">((0.02)/SQRT(3))*1000</f>
        <v>11.5470053837925</v>
      </c>
      <c r="AB23" s="187"/>
    </row>
    <row r="24" customFormat="false" ht="16.5" hidden="false" customHeight="false" outlineLevel="0" collapsed="false">
      <c r="B24" s="161" t="n">
        <f aca="false">+B23+1</f>
        <v>20</v>
      </c>
      <c r="C24" s="252" t="s">
        <v>370</v>
      </c>
      <c r="D24" s="266" t="n">
        <v>0.108</v>
      </c>
      <c r="E24" s="254" t="n">
        <v>1.10236220472441</v>
      </c>
      <c r="F24" s="255" t="n">
        <f aca="false">+E24/1000000</f>
        <v>1.10236220472441E-006</v>
      </c>
      <c r="G24" s="253" t="n">
        <v>0.905511811023622</v>
      </c>
      <c r="H24" s="255" t="n">
        <f aca="false">+G24/1000000</f>
        <v>9.05511811023622E-007</v>
      </c>
      <c r="J24" s="256" t="str">
        <f aca="false">C24</f>
        <v>070020</v>
      </c>
      <c r="K24" s="257" t="n">
        <f aca="false">+D24*25.4</f>
        <v>2.7432</v>
      </c>
      <c r="L24" s="258" t="n">
        <f aca="false">+(E24*25.4)/1000</f>
        <v>0.028</v>
      </c>
      <c r="M24" s="259" t="n">
        <f aca="false">+L24*10^-3</f>
        <v>2.8E-005</v>
      </c>
      <c r="N24" s="260" t="n">
        <f aca="false">+(G24*25.4)/1000</f>
        <v>0.023</v>
      </c>
      <c r="O24" s="255" t="n">
        <f aca="false">+N24*10^-3</f>
        <v>2.3E-005</v>
      </c>
      <c r="P24" s="260" t="n">
        <f aca="false">+N24/2</f>
        <v>0.0115</v>
      </c>
      <c r="Q24" s="255" t="n">
        <f aca="false">+(H24*25.4)/2</f>
        <v>1.15E-005</v>
      </c>
      <c r="R24" s="256" t="str">
        <f aca="false">J24</f>
        <v>070020</v>
      </c>
      <c r="S24" s="261" t="n">
        <f aca="false">D24</f>
        <v>0.108</v>
      </c>
      <c r="T24" s="254" t="n">
        <f aca="false">0.4*25.4/1000</f>
        <v>0.01016</v>
      </c>
      <c r="U24" s="254" t="n">
        <v>0.01778</v>
      </c>
      <c r="V24" s="262" t="n">
        <f aca="false">M24*1000</f>
        <v>0.028</v>
      </c>
      <c r="W24" s="263" t="n">
        <f aca="false">(ABS(U24-V24)/$W$2)*1000</f>
        <v>0.134473684210526</v>
      </c>
      <c r="X24" s="263" t="n">
        <f aca="false">MAX(W24)</f>
        <v>0.134473684210526</v>
      </c>
      <c r="Y24" s="264" t="n">
        <f aca="false">((AVERAGE(W24)*12/1000))</f>
        <v>0.00161368421052632</v>
      </c>
      <c r="Z24" s="265" t="n">
        <f aca="false">(((Y24)*1000)/SQRT(3))</f>
        <v>0.931661013334418</v>
      </c>
      <c r="AA24" s="265" t="n">
        <f aca="false">((0.02)/SQRT(3))*1000</f>
        <v>11.5470053837925</v>
      </c>
      <c r="AB24" s="187"/>
    </row>
    <row r="25" customFormat="false" ht="16.5" hidden="false" customHeight="false" outlineLevel="0" collapsed="false">
      <c r="B25" s="161" t="n">
        <f aca="false">+B24+1</f>
        <v>21</v>
      </c>
      <c r="C25" s="252" t="s">
        <v>364</v>
      </c>
      <c r="D25" s="266" t="n">
        <v>0.109</v>
      </c>
      <c r="E25" s="254" t="n">
        <v>1.61417322834646</v>
      </c>
      <c r="F25" s="255" t="n">
        <f aca="false">+E25/1000000</f>
        <v>1.61417322834646E-006</v>
      </c>
      <c r="G25" s="253" t="n">
        <v>0.905511811023622</v>
      </c>
      <c r="H25" s="255" t="n">
        <f aca="false">+G25/1000000</f>
        <v>9.05511811023622E-007</v>
      </c>
      <c r="J25" s="256" t="str">
        <f aca="false">C25</f>
        <v>070026</v>
      </c>
      <c r="K25" s="257" t="n">
        <f aca="false">+D25*25.4</f>
        <v>2.7686</v>
      </c>
      <c r="L25" s="258" t="n">
        <f aca="false">+(E25*25.4)/1000</f>
        <v>0.041</v>
      </c>
      <c r="M25" s="259" t="n">
        <f aca="false">+L25*10^-3</f>
        <v>4.1E-005</v>
      </c>
      <c r="N25" s="260" t="n">
        <f aca="false">+(G25*25.4)/1000</f>
        <v>0.023</v>
      </c>
      <c r="O25" s="255" t="n">
        <f aca="false">+N25*10^-3</f>
        <v>2.3E-005</v>
      </c>
      <c r="P25" s="260" t="n">
        <f aca="false">+N25/2</f>
        <v>0.0115</v>
      </c>
      <c r="Q25" s="255" t="n">
        <f aca="false">+(H25*25.4)/2</f>
        <v>1.15E-005</v>
      </c>
      <c r="R25" s="256" t="str">
        <f aca="false">J25</f>
        <v>070026</v>
      </c>
      <c r="S25" s="261" t="n">
        <f aca="false">D25</f>
        <v>0.109</v>
      </c>
      <c r="T25" s="254" t="n">
        <f aca="false">0.4*25.4/1000</f>
        <v>0.01016</v>
      </c>
      <c r="U25" s="254" t="n">
        <v>0.03048</v>
      </c>
      <c r="V25" s="262" t="n">
        <f aca="false">M25*1000</f>
        <v>0.041</v>
      </c>
      <c r="W25" s="263" t="n">
        <f aca="false">(ABS(U25-V25)/$W$2)*1000</f>
        <v>0.138421052631579</v>
      </c>
      <c r="X25" s="263" t="n">
        <f aca="false">MAX(W25)</f>
        <v>0.138421052631579</v>
      </c>
      <c r="Y25" s="264" t="n">
        <f aca="false">((AVERAGE(W25)*12/1000))</f>
        <v>0.00166105263157895</v>
      </c>
      <c r="Z25" s="265" t="n">
        <f aca="false">(((Y25)*1000)/SQRT(3))</f>
        <v>0.959009183980242</v>
      </c>
      <c r="AA25" s="265" t="n">
        <f aca="false">((0.02)/SQRT(3))*1000</f>
        <v>11.5470053837925</v>
      </c>
      <c r="AB25" s="187"/>
    </row>
    <row r="26" customFormat="false" ht="16.5" hidden="false" customHeight="false" outlineLevel="0" collapsed="false">
      <c r="B26" s="161" t="n">
        <f aca="false">+B25+1</f>
        <v>22</v>
      </c>
      <c r="C26" s="252" t="s">
        <v>371</v>
      </c>
      <c r="D26" s="268" t="n">
        <v>0.11</v>
      </c>
      <c r="E26" s="254" t="n">
        <v>1.18110236220472</v>
      </c>
      <c r="F26" s="255" t="n">
        <f aca="false">+E26/1000000</f>
        <v>1.18110236220472E-006</v>
      </c>
      <c r="G26" s="253" t="n">
        <v>0.905511811023622</v>
      </c>
      <c r="H26" s="255" t="n">
        <f aca="false">+G26/1000000</f>
        <v>9.05511811023622E-007</v>
      </c>
      <c r="J26" s="256" t="str">
        <f aca="false">C26</f>
        <v>060058</v>
      </c>
      <c r="K26" s="257" t="n">
        <f aca="false">+D26*25.4</f>
        <v>2.794</v>
      </c>
      <c r="L26" s="258" t="n">
        <f aca="false">+(E26*25.4)/1000</f>
        <v>0.03</v>
      </c>
      <c r="M26" s="259" t="n">
        <f aca="false">+L26*10^-3</f>
        <v>3E-005</v>
      </c>
      <c r="N26" s="260" t="n">
        <f aca="false">+(G26*25.4)/1000</f>
        <v>0.023</v>
      </c>
      <c r="O26" s="255" t="n">
        <f aca="false">+N26*10^-3</f>
        <v>2.3E-005</v>
      </c>
      <c r="P26" s="260" t="n">
        <f aca="false">+N26/2</f>
        <v>0.0115</v>
      </c>
      <c r="Q26" s="255" t="n">
        <f aca="false">+(H26*25.4)/2</f>
        <v>1.15E-005</v>
      </c>
      <c r="R26" s="256" t="str">
        <f aca="false">J26</f>
        <v>060058</v>
      </c>
      <c r="S26" s="261" t="n">
        <f aca="false">D26</f>
        <v>0.11</v>
      </c>
      <c r="T26" s="254" t="n">
        <f aca="false">0.4*25.4/1000</f>
        <v>0.01016</v>
      </c>
      <c r="U26" s="254" t="n">
        <v>0.02794</v>
      </c>
      <c r="V26" s="262" t="n">
        <f aca="false">M26*1000</f>
        <v>0.03</v>
      </c>
      <c r="W26" s="263" t="n">
        <f aca="false">(ABS(U26-V26)/$W$2)*1000</f>
        <v>0.0271052631578948</v>
      </c>
      <c r="X26" s="263" t="n">
        <f aca="false">MAX(W26)</f>
        <v>0.0271052631578948</v>
      </c>
      <c r="Y26" s="264" t="n">
        <f aca="false">((AVERAGE(W26)*12/1000))</f>
        <v>0.000325263157894737</v>
      </c>
      <c r="Z26" s="265" t="n">
        <f aca="false">(((Y26)*1000)/SQRT(3))</f>
        <v>0.187790771767994</v>
      </c>
      <c r="AA26" s="265" t="n">
        <f aca="false">((0.02)/SQRT(3))*1000</f>
        <v>11.5470053837925</v>
      </c>
      <c r="AB26" s="187"/>
    </row>
    <row r="27" customFormat="false" ht="16.5" hidden="false" customHeight="false" outlineLevel="0" collapsed="false">
      <c r="B27" s="161" t="n">
        <f aca="false">+B26+1</f>
        <v>23</v>
      </c>
      <c r="C27" s="252" t="s">
        <v>372</v>
      </c>
      <c r="D27" s="266" t="n">
        <v>0.111</v>
      </c>
      <c r="E27" s="254" t="n">
        <v>-0.984251968503937</v>
      </c>
      <c r="F27" s="255" t="n">
        <f aca="false">+E27/1000000</f>
        <v>-9.84251968503937E-007</v>
      </c>
      <c r="G27" s="253" t="n">
        <v>0.905511811023622</v>
      </c>
      <c r="H27" s="255" t="n">
        <f aca="false">+G27/1000000</f>
        <v>9.05511811023622E-007</v>
      </c>
      <c r="J27" s="256" t="str">
        <f aca="false">C27</f>
        <v>060036</v>
      </c>
      <c r="K27" s="257" t="n">
        <f aca="false">+D27*25.4</f>
        <v>2.8194</v>
      </c>
      <c r="L27" s="258" t="n">
        <f aca="false">+(E27*25.4)/1000</f>
        <v>-0.025</v>
      </c>
      <c r="M27" s="259" t="n">
        <f aca="false">+L27*10^-3</f>
        <v>-2.5E-005</v>
      </c>
      <c r="N27" s="260" t="n">
        <f aca="false">+(G27*25.4)/1000</f>
        <v>0.023</v>
      </c>
      <c r="O27" s="255" t="n">
        <f aca="false">+N27*10^-3</f>
        <v>2.3E-005</v>
      </c>
      <c r="P27" s="260" t="n">
        <f aca="false">+N27/2</f>
        <v>0.0115</v>
      </c>
      <c r="Q27" s="255" t="n">
        <f aca="false">+(H27*25.4)/2</f>
        <v>1.15E-005</v>
      </c>
      <c r="R27" s="256" t="str">
        <f aca="false">J27</f>
        <v>060036</v>
      </c>
      <c r="S27" s="261" t="n">
        <f aca="false">D27</f>
        <v>0.111</v>
      </c>
      <c r="T27" s="254" t="n">
        <f aca="false">0.4*25.4/1000</f>
        <v>0.01016</v>
      </c>
      <c r="U27" s="254" t="n">
        <v>-0.03556</v>
      </c>
      <c r="V27" s="262" t="n">
        <f aca="false">M27*1000</f>
        <v>-0.025</v>
      </c>
      <c r="W27" s="263" t="n">
        <f aca="false">(ABS(U27-V27)/$W$2)*1000</f>
        <v>0.138947368421053</v>
      </c>
      <c r="X27" s="263" t="n">
        <f aca="false">MAX(W27)</f>
        <v>0.138947368421053</v>
      </c>
      <c r="Y27" s="264" t="n">
        <f aca="false">((AVERAGE(W27)*12/1000))</f>
        <v>0.00166736842105263</v>
      </c>
      <c r="Z27" s="265" t="n">
        <f aca="false">(((Y27)*1000)/SQRT(3))</f>
        <v>0.962655606733018</v>
      </c>
      <c r="AA27" s="265" t="n">
        <f aca="false">((0.02)/SQRT(3))*1000</f>
        <v>11.5470053837925</v>
      </c>
      <c r="AB27" s="187"/>
    </row>
    <row r="28" customFormat="false" ht="16.5" hidden="false" customHeight="false" outlineLevel="0" collapsed="false">
      <c r="B28" s="161" t="n">
        <f aca="false">+B27+1</f>
        <v>24</v>
      </c>
      <c r="C28" s="252" t="s">
        <v>359</v>
      </c>
      <c r="D28" s="266" t="n">
        <v>0.112</v>
      </c>
      <c r="E28" s="254" t="n">
        <v>2.08661417322835</v>
      </c>
      <c r="F28" s="255" t="n">
        <f aca="false">+E28/1000000</f>
        <v>2.08661417322835E-006</v>
      </c>
      <c r="G28" s="253" t="n">
        <v>0.905511811023622</v>
      </c>
      <c r="H28" s="255" t="n">
        <f aca="false">+G28/1000000</f>
        <v>9.05511811023622E-007</v>
      </c>
      <c r="J28" s="256" t="str">
        <f aca="false">C28</f>
        <v>070008</v>
      </c>
      <c r="K28" s="257" t="n">
        <f aca="false">+D28*25.4</f>
        <v>2.8448</v>
      </c>
      <c r="L28" s="258" t="n">
        <f aca="false">+(E28*25.4)/1000</f>
        <v>0.053</v>
      </c>
      <c r="M28" s="259" t="n">
        <f aca="false">+L28*10^-3</f>
        <v>5.3E-005</v>
      </c>
      <c r="N28" s="260" t="n">
        <f aca="false">+(G28*25.4)/1000</f>
        <v>0.023</v>
      </c>
      <c r="O28" s="255" t="n">
        <f aca="false">+N28*10^-3</f>
        <v>2.3E-005</v>
      </c>
      <c r="P28" s="260" t="n">
        <f aca="false">+N28/2</f>
        <v>0.0115</v>
      </c>
      <c r="Q28" s="255" t="n">
        <f aca="false">+(H28*25.4)/2</f>
        <v>1.15E-005</v>
      </c>
      <c r="R28" s="256" t="str">
        <f aca="false">J28</f>
        <v>070008</v>
      </c>
      <c r="S28" s="261" t="n">
        <f aca="false">D28</f>
        <v>0.112</v>
      </c>
      <c r="T28" s="254" t="n">
        <f aca="false">0.4*25.4/1000</f>
        <v>0.01016</v>
      </c>
      <c r="U28" s="254" t="n">
        <v>0.03302</v>
      </c>
      <c r="V28" s="262" t="n">
        <f aca="false">M28*1000</f>
        <v>0.053</v>
      </c>
      <c r="W28" s="263" t="n">
        <f aca="false">(ABS(U28-V28)/$W$2)*1000</f>
        <v>0.262894736842105</v>
      </c>
      <c r="X28" s="263" t="n">
        <f aca="false">MAX(W28)</f>
        <v>0.262894736842105</v>
      </c>
      <c r="Y28" s="264" t="n">
        <f aca="false">((AVERAGE(W28)*12/1000))</f>
        <v>0.00315473684210527</v>
      </c>
      <c r="Z28" s="265" t="n">
        <f aca="false">(((Y28)*1000)/SQRT(3))</f>
        <v>1.8213881650119</v>
      </c>
      <c r="AA28" s="265" t="n">
        <f aca="false">((0.02)/SQRT(3))*1000</f>
        <v>11.5470053837925</v>
      </c>
      <c r="AB28" s="187"/>
    </row>
    <row r="29" customFormat="false" ht="16.5" hidden="false" customHeight="false" outlineLevel="0" collapsed="false">
      <c r="B29" s="161" t="n">
        <f aca="false">+B28+1</f>
        <v>25</v>
      </c>
      <c r="C29" s="252" t="s">
        <v>373</v>
      </c>
      <c r="D29" s="266" t="n">
        <v>0.113</v>
      </c>
      <c r="E29" s="254" t="n">
        <v>0.78740157480315</v>
      </c>
      <c r="F29" s="255" t="n">
        <f aca="false">+E29/1000000</f>
        <v>7.8740157480315E-007</v>
      </c>
      <c r="G29" s="253" t="n">
        <v>0.905511811023622</v>
      </c>
      <c r="H29" s="255" t="n">
        <f aca="false">+G29/1000000</f>
        <v>9.05511811023622E-007</v>
      </c>
      <c r="J29" s="256" t="str">
        <f aca="false">C29</f>
        <v>070055</v>
      </c>
      <c r="K29" s="257" t="n">
        <f aca="false">+D29*25.4</f>
        <v>2.8702</v>
      </c>
      <c r="L29" s="258" t="n">
        <f aca="false">+(E29*25.4)/1000</f>
        <v>0.02</v>
      </c>
      <c r="M29" s="259" t="n">
        <f aca="false">+L29*10^-3</f>
        <v>2E-005</v>
      </c>
      <c r="N29" s="260" t="n">
        <f aca="false">+(G29*25.4)/1000</f>
        <v>0.023</v>
      </c>
      <c r="O29" s="255" t="n">
        <f aca="false">+N29*10^-3</f>
        <v>2.3E-005</v>
      </c>
      <c r="P29" s="260" t="n">
        <f aca="false">+N29/2</f>
        <v>0.0115</v>
      </c>
      <c r="Q29" s="255" t="n">
        <f aca="false">+(H29*25.4)/2</f>
        <v>1.15E-005</v>
      </c>
      <c r="R29" s="256" t="str">
        <f aca="false">J29</f>
        <v>070055</v>
      </c>
      <c r="S29" s="261" t="n">
        <f aca="false">D29</f>
        <v>0.113</v>
      </c>
      <c r="T29" s="254" t="n">
        <f aca="false">0.4*25.4/1000</f>
        <v>0.01016</v>
      </c>
      <c r="U29" s="254" t="n">
        <v>0.00508</v>
      </c>
      <c r="V29" s="262" t="n">
        <f aca="false">M29*1000</f>
        <v>0.02</v>
      </c>
      <c r="W29" s="263" t="n">
        <f aca="false">(ABS(U29-V29)/$W$2)*1000</f>
        <v>0.196315789473684</v>
      </c>
      <c r="X29" s="263" t="n">
        <f aca="false">MAX(W29)</f>
        <v>0.196315789473684</v>
      </c>
      <c r="Y29" s="264" t="n">
        <f aca="false">((AVERAGE(W29)*12/1000))</f>
        <v>0.00235578947368421</v>
      </c>
      <c r="Z29" s="265" t="n">
        <f aca="false">(((Y29)*1000)/SQRT(3))</f>
        <v>1.36011568678567</v>
      </c>
      <c r="AA29" s="265" t="n">
        <f aca="false">((0.02)/SQRT(3))*1000</f>
        <v>11.5470053837925</v>
      </c>
      <c r="AB29" s="187"/>
    </row>
    <row r="30" customFormat="false" ht="16.5" hidden="false" customHeight="false" outlineLevel="0" collapsed="false">
      <c r="B30" s="161" t="n">
        <f aca="false">+B29+1</f>
        <v>26</v>
      </c>
      <c r="C30" s="252" t="s">
        <v>361</v>
      </c>
      <c r="D30" s="266" t="n">
        <v>0.114</v>
      </c>
      <c r="E30" s="254" t="n">
        <v>1.18110236220472</v>
      </c>
      <c r="F30" s="255" t="n">
        <f aca="false">+E30/1000000</f>
        <v>1.18110236220472E-006</v>
      </c>
      <c r="G30" s="253" t="n">
        <v>0.905511811023622</v>
      </c>
      <c r="H30" s="255" t="n">
        <f aca="false">+G30/1000000</f>
        <v>9.05511811023622E-007</v>
      </c>
      <c r="J30" s="256" t="str">
        <f aca="false">C30</f>
        <v>070000</v>
      </c>
      <c r="K30" s="257" t="n">
        <f aca="false">+D30*25.4</f>
        <v>2.8956</v>
      </c>
      <c r="L30" s="258" t="n">
        <f aca="false">+(E30*25.4)/1000</f>
        <v>0.03</v>
      </c>
      <c r="M30" s="259" t="n">
        <f aca="false">+L30*10^-3</f>
        <v>3E-005</v>
      </c>
      <c r="N30" s="260" t="n">
        <f aca="false">+(G30*25.4)/1000</f>
        <v>0.023</v>
      </c>
      <c r="O30" s="255" t="n">
        <f aca="false">+N30*10^-3</f>
        <v>2.3E-005</v>
      </c>
      <c r="P30" s="260" t="n">
        <f aca="false">+N30/2</f>
        <v>0.0115</v>
      </c>
      <c r="Q30" s="255" t="n">
        <f aca="false">+(H30*25.4)/2</f>
        <v>1.15E-005</v>
      </c>
      <c r="R30" s="256" t="str">
        <f aca="false">J30</f>
        <v>070000</v>
      </c>
      <c r="S30" s="261" t="n">
        <f aca="false">D30</f>
        <v>0.114</v>
      </c>
      <c r="T30" s="254" t="n">
        <f aca="false">0.4*25.4/1000</f>
        <v>0.01016</v>
      </c>
      <c r="U30" s="254" t="n">
        <v>0.02794</v>
      </c>
      <c r="V30" s="262" t="n">
        <f aca="false">M30*1000</f>
        <v>0.03</v>
      </c>
      <c r="W30" s="263" t="n">
        <f aca="false">(ABS(U30-V30)/$W$2)*1000</f>
        <v>0.0271052631578948</v>
      </c>
      <c r="X30" s="263" t="n">
        <f aca="false">MAX(W30)</f>
        <v>0.0271052631578948</v>
      </c>
      <c r="Y30" s="264" t="n">
        <f aca="false">((AVERAGE(W30)*12/1000))</f>
        <v>0.000325263157894737</v>
      </c>
      <c r="Z30" s="265" t="n">
        <f aca="false">(((Y30)*1000)/SQRT(3))</f>
        <v>0.187790771767994</v>
      </c>
      <c r="AA30" s="265" t="n">
        <f aca="false">((0.02)/SQRT(3))*1000</f>
        <v>11.5470053837925</v>
      </c>
      <c r="AB30" s="187"/>
    </row>
    <row r="31" customFormat="false" ht="16.5" hidden="false" customHeight="false" outlineLevel="0" collapsed="false">
      <c r="B31" s="161" t="n">
        <f aca="false">+B30+1</f>
        <v>27</v>
      </c>
      <c r="C31" s="252" t="s">
        <v>361</v>
      </c>
      <c r="D31" s="266" t="n">
        <v>0.115</v>
      </c>
      <c r="E31" s="254" t="n">
        <v>1.18110236220472</v>
      </c>
      <c r="F31" s="255" t="n">
        <f aca="false">+E31/1000000</f>
        <v>1.18110236220472E-006</v>
      </c>
      <c r="G31" s="253" t="n">
        <v>0.905511811023622</v>
      </c>
      <c r="H31" s="255" t="n">
        <f aca="false">+G31/1000000</f>
        <v>9.05511811023622E-007</v>
      </c>
      <c r="J31" s="256" t="str">
        <f aca="false">C31</f>
        <v>070000</v>
      </c>
      <c r="K31" s="257" t="n">
        <f aca="false">+D31*25.4</f>
        <v>2.921</v>
      </c>
      <c r="L31" s="258" t="n">
        <f aca="false">+(E31*25.4)/1000</f>
        <v>0.03</v>
      </c>
      <c r="M31" s="259" t="n">
        <f aca="false">+L31*10^-3</f>
        <v>3E-005</v>
      </c>
      <c r="N31" s="260" t="n">
        <f aca="false">+(G31*25.4)/1000</f>
        <v>0.023</v>
      </c>
      <c r="O31" s="255" t="n">
        <f aca="false">+N31*10^-3</f>
        <v>2.3E-005</v>
      </c>
      <c r="P31" s="260" t="n">
        <f aca="false">+N31/2</f>
        <v>0.0115</v>
      </c>
      <c r="Q31" s="255" t="n">
        <f aca="false">+(H31*25.4)/2</f>
        <v>1.15E-005</v>
      </c>
      <c r="R31" s="256" t="str">
        <f aca="false">J31</f>
        <v>070000</v>
      </c>
      <c r="S31" s="261" t="n">
        <f aca="false">D31</f>
        <v>0.115</v>
      </c>
      <c r="T31" s="254" t="n">
        <f aca="false">0.4*25.4/1000</f>
        <v>0.01016</v>
      </c>
      <c r="U31" s="254" t="n">
        <v>0.02286</v>
      </c>
      <c r="V31" s="262" t="n">
        <f aca="false">M31*1000</f>
        <v>0.03</v>
      </c>
      <c r="W31" s="263" t="n">
        <f aca="false">(ABS(U31-V31)/$W$2)*1000</f>
        <v>0.0939473684210527</v>
      </c>
      <c r="X31" s="263" t="n">
        <f aca="false">MAX(W31)</f>
        <v>0.0939473684210527</v>
      </c>
      <c r="Y31" s="264" t="n">
        <f aca="false">((AVERAGE(W31)*12/1000))</f>
        <v>0.00112736842105263</v>
      </c>
      <c r="Z31" s="265" t="n">
        <f aca="false">(((Y31)*1000)/SQRT(3))</f>
        <v>0.650886461370621</v>
      </c>
      <c r="AA31" s="265" t="n">
        <f aca="false">((0.02)/SQRT(3))*1000</f>
        <v>11.5470053837925</v>
      </c>
      <c r="AB31" s="187"/>
    </row>
    <row r="32" customFormat="false" ht="16.5" hidden="false" customHeight="false" outlineLevel="0" collapsed="false">
      <c r="B32" s="161" t="n">
        <f aca="false">+B31+1</f>
        <v>28</v>
      </c>
      <c r="C32" s="252" t="s">
        <v>374</v>
      </c>
      <c r="D32" s="266" t="n">
        <v>0.116</v>
      </c>
      <c r="E32" s="254" t="n">
        <v>1.69291338582677</v>
      </c>
      <c r="F32" s="255" t="n">
        <f aca="false">+E32/1000000</f>
        <v>1.69291338582677E-006</v>
      </c>
      <c r="G32" s="253" t="n">
        <v>0.905511811023622</v>
      </c>
      <c r="H32" s="255" t="n">
        <f aca="false">+G32/1000000</f>
        <v>9.05511811023622E-007</v>
      </c>
      <c r="J32" s="256" t="str">
        <f aca="false">C32</f>
        <v>070018</v>
      </c>
      <c r="K32" s="257" t="n">
        <f aca="false">+D32*25.4</f>
        <v>2.9464</v>
      </c>
      <c r="L32" s="258" t="n">
        <f aca="false">+(E32*25.4)/1000</f>
        <v>0.043</v>
      </c>
      <c r="M32" s="259" t="n">
        <f aca="false">+L32*10^-3</f>
        <v>4.3E-005</v>
      </c>
      <c r="N32" s="260" t="n">
        <f aca="false">+(G32*25.4)/1000</f>
        <v>0.023</v>
      </c>
      <c r="O32" s="255" t="n">
        <f aca="false">+N32*10^-3</f>
        <v>2.3E-005</v>
      </c>
      <c r="P32" s="260" t="n">
        <f aca="false">+N32/2</f>
        <v>0.0115</v>
      </c>
      <c r="Q32" s="255" t="n">
        <f aca="false">+(H32*25.4)/2</f>
        <v>1.15E-005</v>
      </c>
      <c r="R32" s="256" t="str">
        <f aca="false">J32</f>
        <v>070018</v>
      </c>
      <c r="S32" s="261" t="n">
        <f aca="false">D32</f>
        <v>0.116</v>
      </c>
      <c r="T32" s="254" t="n">
        <f aca="false">0.4*25.4/1000</f>
        <v>0.01016</v>
      </c>
      <c r="U32" s="254" t="n">
        <v>0.0381</v>
      </c>
      <c r="V32" s="262" t="n">
        <f aca="false">M32*1000</f>
        <v>0.043</v>
      </c>
      <c r="W32" s="263" t="n">
        <f aca="false">(ABS(U32-V32)/$W$2)*1000</f>
        <v>0.0644736842105263</v>
      </c>
      <c r="X32" s="263" t="n">
        <f aca="false">MAX(W32)</f>
        <v>0.0644736842105263</v>
      </c>
      <c r="Y32" s="264" t="n">
        <f aca="false">((AVERAGE(W32)*12/1000))</f>
        <v>0.000773684210526316</v>
      </c>
      <c r="Z32" s="265" t="n">
        <f aca="false">(((Y32)*1000)/SQRT(3))</f>
        <v>0.446686787215132</v>
      </c>
      <c r="AA32" s="265" t="n">
        <f aca="false">((0.02)/SQRT(3))*1000</f>
        <v>11.5470053837925</v>
      </c>
      <c r="AB32" s="187"/>
    </row>
    <row r="33" customFormat="false" ht="16.5" hidden="false" customHeight="false" outlineLevel="0" collapsed="false">
      <c r="B33" s="161" t="n">
        <f aca="false">+B32+1</f>
        <v>29</v>
      </c>
      <c r="C33" s="252" t="s">
        <v>375</v>
      </c>
      <c r="D33" s="266" t="n">
        <v>0.117</v>
      </c>
      <c r="E33" s="254" t="n">
        <v>2.28346456692913</v>
      </c>
      <c r="F33" s="255" t="n">
        <f aca="false">+E33/1000000</f>
        <v>2.28346456692913E-006</v>
      </c>
      <c r="G33" s="253" t="n">
        <v>0.905511811023622</v>
      </c>
      <c r="H33" s="255" t="n">
        <f aca="false">+G33/1000000</f>
        <v>9.05511811023622E-007</v>
      </c>
      <c r="J33" s="256" t="str">
        <f aca="false">C33</f>
        <v>070027</v>
      </c>
      <c r="K33" s="257" t="n">
        <f aca="false">+D33*25.4</f>
        <v>2.9718</v>
      </c>
      <c r="L33" s="258" t="n">
        <f aca="false">+(E33*25.4)/1000</f>
        <v>0.058</v>
      </c>
      <c r="M33" s="259" t="n">
        <f aca="false">+L33*10^-3</f>
        <v>5.8E-005</v>
      </c>
      <c r="N33" s="260" t="n">
        <f aca="false">+(G33*25.4)/1000</f>
        <v>0.023</v>
      </c>
      <c r="O33" s="255" t="n">
        <f aca="false">+N33*10^-3</f>
        <v>2.3E-005</v>
      </c>
      <c r="P33" s="260" t="n">
        <f aca="false">+N33/2</f>
        <v>0.0115</v>
      </c>
      <c r="Q33" s="255" t="n">
        <f aca="false">+(H33*25.4)/2</f>
        <v>1.15E-005</v>
      </c>
      <c r="R33" s="256" t="str">
        <f aca="false">J33</f>
        <v>070027</v>
      </c>
      <c r="S33" s="261" t="n">
        <f aca="false">D33</f>
        <v>0.117</v>
      </c>
      <c r="T33" s="254" t="n">
        <f aca="false">0.4*25.4/1000</f>
        <v>0.01016</v>
      </c>
      <c r="U33" s="254" t="n">
        <v>0.05334</v>
      </c>
      <c r="V33" s="262" t="n">
        <f aca="false">M33*1000</f>
        <v>0.058</v>
      </c>
      <c r="W33" s="263" t="n">
        <f aca="false">(ABS(U33-V33)/$W$2)*1000</f>
        <v>0.0613157894736843</v>
      </c>
      <c r="X33" s="263" t="n">
        <f aca="false">MAX(W33)</f>
        <v>0.0613157894736843</v>
      </c>
      <c r="Y33" s="264" t="n">
        <f aca="false">((AVERAGE(W33)*12/1000))</f>
        <v>0.000735789473684211</v>
      </c>
      <c r="Z33" s="265" t="n">
        <f aca="false">(((Y33)*1000)/SQRT(3))</f>
        <v>0.424808250698472</v>
      </c>
      <c r="AA33" s="265" t="n">
        <f aca="false">((0.02)/SQRT(3))*1000</f>
        <v>11.5470053837925</v>
      </c>
      <c r="AB33" s="187"/>
    </row>
    <row r="34" customFormat="false" ht="16.5" hidden="false" customHeight="false" outlineLevel="0" collapsed="false">
      <c r="B34" s="161" t="n">
        <f aca="false">+B33+1</f>
        <v>30</v>
      </c>
      <c r="C34" s="252" t="s">
        <v>376</v>
      </c>
      <c r="D34" s="266" t="n">
        <v>0.118</v>
      </c>
      <c r="E34" s="254" t="n">
        <v>1.18110236220472</v>
      </c>
      <c r="F34" s="255" t="n">
        <f aca="false">+E34/1000000</f>
        <v>1.18110236220472E-006</v>
      </c>
      <c r="G34" s="253" t="n">
        <v>0.905511811023622</v>
      </c>
      <c r="H34" s="255" t="n">
        <f aca="false">+G34/1000000</f>
        <v>9.05511811023622E-007</v>
      </c>
      <c r="J34" s="256" t="str">
        <f aca="false">C34</f>
        <v>070004</v>
      </c>
      <c r="K34" s="257" t="n">
        <f aca="false">+D34*25.4</f>
        <v>2.9972</v>
      </c>
      <c r="L34" s="258" t="n">
        <f aca="false">+(E34*25.4)/1000</f>
        <v>0.03</v>
      </c>
      <c r="M34" s="259" t="n">
        <f aca="false">+L34*10^-3</f>
        <v>3E-005</v>
      </c>
      <c r="N34" s="260" t="n">
        <f aca="false">+(G34*25.4)/1000</f>
        <v>0.023</v>
      </c>
      <c r="O34" s="255" t="n">
        <f aca="false">+N34*10^-3</f>
        <v>2.3E-005</v>
      </c>
      <c r="P34" s="260" t="n">
        <f aca="false">+N34/2</f>
        <v>0.0115</v>
      </c>
      <c r="Q34" s="255" t="n">
        <f aca="false">+(H34*25.4)/2</f>
        <v>1.15E-005</v>
      </c>
      <c r="R34" s="256" t="str">
        <f aca="false">J34</f>
        <v>070004</v>
      </c>
      <c r="S34" s="261" t="n">
        <f aca="false">D34</f>
        <v>0.118</v>
      </c>
      <c r="T34" s="254" t="n">
        <f aca="false">0.4*25.4/1000</f>
        <v>0.01016</v>
      </c>
      <c r="U34" s="254" t="n">
        <v>0.02286</v>
      </c>
      <c r="V34" s="262" t="n">
        <f aca="false">M34*1000</f>
        <v>0.03</v>
      </c>
      <c r="W34" s="263" t="n">
        <f aca="false">(ABS(U34-V34)/$W$2)*1000</f>
        <v>0.0939473684210527</v>
      </c>
      <c r="X34" s="263" t="n">
        <f aca="false">MAX(W34)</f>
        <v>0.0939473684210527</v>
      </c>
      <c r="Y34" s="264" t="n">
        <f aca="false">((AVERAGE(W34)*12/1000))</f>
        <v>0.00112736842105263</v>
      </c>
      <c r="Z34" s="265" t="n">
        <f aca="false">(((Y34)*1000)/SQRT(3))</f>
        <v>0.650886461370621</v>
      </c>
      <c r="AA34" s="265" t="n">
        <f aca="false">((0.02)/SQRT(3))*1000</f>
        <v>11.5470053837925</v>
      </c>
      <c r="AB34" s="187"/>
    </row>
    <row r="35" customFormat="false" ht="16.5" hidden="false" customHeight="false" outlineLevel="0" collapsed="false">
      <c r="B35" s="161" t="n">
        <f aca="false">+B34+1</f>
        <v>31</v>
      </c>
      <c r="C35" s="252" t="s">
        <v>377</v>
      </c>
      <c r="D35" s="266" t="n">
        <v>0.119</v>
      </c>
      <c r="E35" s="254" t="n">
        <v>0.393700787401575</v>
      </c>
      <c r="F35" s="255" t="n">
        <f aca="false">+E35/1000000</f>
        <v>3.93700787401575E-007</v>
      </c>
      <c r="G35" s="253" t="n">
        <v>0.905511811023622</v>
      </c>
      <c r="H35" s="255" t="n">
        <f aca="false">+G35/1000000</f>
        <v>9.05511811023622E-007</v>
      </c>
      <c r="J35" s="256" t="str">
        <f aca="false">C35</f>
        <v>070016</v>
      </c>
      <c r="K35" s="257" t="n">
        <f aca="false">+D35*25.4</f>
        <v>3.0226</v>
      </c>
      <c r="L35" s="258" t="n">
        <f aca="false">+(E35*25.4)/1000</f>
        <v>0.01</v>
      </c>
      <c r="M35" s="259" t="n">
        <f aca="false">+L35*10^-3</f>
        <v>1E-005</v>
      </c>
      <c r="N35" s="260" t="n">
        <f aca="false">+(G35*25.4)/1000</f>
        <v>0.023</v>
      </c>
      <c r="O35" s="255" t="n">
        <f aca="false">+N35*10^-3</f>
        <v>2.3E-005</v>
      </c>
      <c r="P35" s="260" t="n">
        <f aca="false">+N35/2</f>
        <v>0.0115</v>
      </c>
      <c r="Q35" s="255" t="n">
        <f aca="false">+(H35*25.4)/2</f>
        <v>1.15E-005</v>
      </c>
      <c r="R35" s="256" t="str">
        <f aca="false">J35</f>
        <v>070016</v>
      </c>
      <c r="S35" s="261" t="n">
        <f aca="false">D35</f>
        <v>0.119</v>
      </c>
      <c r="T35" s="254" t="n">
        <f aca="false">0.4*25.4/1000</f>
        <v>0.01016</v>
      </c>
      <c r="U35" s="254" t="n">
        <v>0.00508</v>
      </c>
      <c r="V35" s="262" t="n">
        <f aca="false">M35*1000</f>
        <v>0.01</v>
      </c>
      <c r="W35" s="263" t="n">
        <f aca="false">(ABS(U35-V35)/$W$2)*1000</f>
        <v>0.0647368421052632</v>
      </c>
      <c r="X35" s="263" t="n">
        <f aca="false">MAX(W35)</f>
        <v>0.0647368421052632</v>
      </c>
      <c r="Y35" s="264" t="n">
        <f aca="false">((AVERAGE(W35)*12/1000))</f>
        <v>0.000776842105263158</v>
      </c>
      <c r="Z35" s="265" t="n">
        <f aca="false">(((Y35)*1000)/SQRT(3))</f>
        <v>0.44850999859152</v>
      </c>
      <c r="AA35" s="265" t="n">
        <f aca="false">((0.02)/SQRT(3))*1000</f>
        <v>11.5470053837925</v>
      </c>
      <c r="AB35" s="187"/>
    </row>
    <row r="36" customFormat="false" ht="16.5" hidden="false" customHeight="false" outlineLevel="0" collapsed="false">
      <c r="B36" s="161" t="n">
        <f aca="false">+B35+1</f>
        <v>32</v>
      </c>
      <c r="C36" s="252" t="s">
        <v>378</v>
      </c>
      <c r="D36" s="268" t="n">
        <v>0.12</v>
      </c>
      <c r="E36" s="254" t="n">
        <v>2.20472440944882</v>
      </c>
      <c r="F36" s="255" t="n">
        <f aca="false">+E36/1000000</f>
        <v>2.20472440944882E-006</v>
      </c>
      <c r="G36" s="253" t="n">
        <v>0.905511811023622</v>
      </c>
      <c r="H36" s="255" t="n">
        <f aca="false">+G36/1000000</f>
        <v>9.05511811023622E-007</v>
      </c>
      <c r="J36" s="256" t="str">
        <f aca="false">C36</f>
        <v>060100</v>
      </c>
      <c r="K36" s="257" t="n">
        <f aca="false">+D36*25.4</f>
        <v>3.048</v>
      </c>
      <c r="L36" s="258" t="n">
        <f aca="false">+(E36*25.4)/1000</f>
        <v>0.056</v>
      </c>
      <c r="M36" s="259" t="n">
        <f aca="false">+L36*10^-3</f>
        <v>5.6E-005</v>
      </c>
      <c r="N36" s="260" t="n">
        <f aca="false">+(G36*25.4)/1000</f>
        <v>0.023</v>
      </c>
      <c r="O36" s="255" t="n">
        <f aca="false">+N36*10^-3</f>
        <v>2.3E-005</v>
      </c>
      <c r="P36" s="260" t="n">
        <f aca="false">+N36/2</f>
        <v>0.0115</v>
      </c>
      <c r="Q36" s="255" t="n">
        <f aca="false">+(H36*25.4)/2</f>
        <v>1.15E-005</v>
      </c>
      <c r="R36" s="256" t="str">
        <f aca="false">J36</f>
        <v>060100</v>
      </c>
      <c r="S36" s="261" t="n">
        <f aca="false">D36</f>
        <v>0.12</v>
      </c>
      <c r="T36" s="254" t="n">
        <f aca="false">0.4*25.4/1000</f>
        <v>0.01016</v>
      </c>
      <c r="U36" s="254" t="n">
        <v>0.0381</v>
      </c>
      <c r="V36" s="262" t="n">
        <f aca="false">M36*1000</f>
        <v>0.056</v>
      </c>
      <c r="W36" s="263" t="n">
        <f aca="false">(ABS(U36-V36)/$W$2)*1000</f>
        <v>0.235526315789474</v>
      </c>
      <c r="X36" s="263" t="n">
        <f aca="false">MAX(W36)</f>
        <v>0.235526315789474</v>
      </c>
      <c r="Y36" s="264" t="n">
        <f aca="false">((AVERAGE(W36)*12/1000))</f>
        <v>0.00282631578947368</v>
      </c>
      <c r="Z36" s="265" t="n">
        <f aca="false">(((Y36)*1000)/SQRT(3))</f>
        <v>1.63177418186752</v>
      </c>
      <c r="AA36" s="265" t="n">
        <f aca="false">((0.02)/SQRT(3))*1000</f>
        <v>11.5470053837925</v>
      </c>
      <c r="AB36" s="187"/>
    </row>
    <row r="37" customFormat="false" ht="16.5" hidden="false" customHeight="false" outlineLevel="0" collapsed="false">
      <c r="B37" s="161" t="n">
        <f aca="false">+B36+1</f>
        <v>33</v>
      </c>
      <c r="C37" s="252" t="s">
        <v>363</v>
      </c>
      <c r="D37" s="266" t="n">
        <v>0.121</v>
      </c>
      <c r="E37" s="254" t="n">
        <v>0.511811023622047</v>
      </c>
      <c r="F37" s="255" t="n">
        <f aca="false">+E37/1000000</f>
        <v>5.11811023622047E-007</v>
      </c>
      <c r="G37" s="253" t="n">
        <v>0.905511811023622</v>
      </c>
      <c r="H37" s="255" t="n">
        <f aca="false">+G37/1000000</f>
        <v>9.05511811023622E-007</v>
      </c>
      <c r="J37" s="256" t="str">
        <f aca="false">C37</f>
        <v>070022</v>
      </c>
      <c r="K37" s="257" t="n">
        <f aca="false">+D37*25.4</f>
        <v>3.0734</v>
      </c>
      <c r="L37" s="258" t="n">
        <f aca="false">+(E37*25.4)/1000</f>
        <v>0.013</v>
      </c>
      <c r="M37" s="259" t="n">
        <f aca="false">+L37*10^-3</f>
        <v>1.3E-005</v>
      </c>
      <c r="N37" s="260" t="n">
        <f aca="false">+(G37*25.4)/1000</f>
        <v>0.023</v>
      </c>
      <c r="O37" s="255" t="n">
        <f aca="false">+N37*10^-3</f>
        <v>2.3E-005</v>
      </c>
      <c r="P37" s="260" t="n">
        <f aca="false">+N37/2</f>
        <v>0.0115</v>
      </c>
      <c r="Q37" s="255" t="n">
        <f aca="false">+(H37*25.4)/2</f>
        <v>1.15E-005</v>
      </c>
      <c r="R37" s="256" t="str">
        <f aca="false">J37</f>
        <v>070022</v>
      </c>
      <c r="S37" s="261" t="n">
        <f aca="false">D37</f>
        <v>0.121</v>
      </c>
      <c r="T37" s="254" t="n">
        <f aca="false">0.4*25.4/1000</f>
        <v>0.01016</v>
      </c>
      <c r="U37" s="254" t="n">
        <v>0.00762</v>
      </c>
      <c r="V37" s="262" t="n">
        <f aca="false">M37*1000</f>
        <v>0.013</v>
      </c>
      <c r="W37" s="263" t="n">
        <f aca="false">(ABS(U37-V37)/$W$2)*1000</f>
        <v>0.0707894736842105</v>
      </c>
      <c r="X37" s="263" t="n">
        <f aca="false">MAX(W37)</f>
        <v>0.0707894736842105</v>
      </c>
      <c r="Y37" s="264" t="n">
        <f aca="false">((AVERAGE(W37)*12/1000))</f>
        <v>0.000849473684210526</v>
      </c>
      <c r="Z37" s="265" t="n">
        <f aca="false">(((Y37)*1000)/SQRT(3))</f>
        <v>0.49044386024845</v>
      </c>
      <c r="AA37" s="265" t="n">
        <f aca="false">((0.02)/SQRT(3))*1000</f>
        <v>11.5470053837925</v>
      </c>
      <c r="AB37" s="187"/>
    </row>
    <row r="38" customFormat="false" ht="16.5" hidden="false" customHeight="false" outlineLevel="0" collapsed="false">
      <c r="B38" s="161" t="n">
        <f aca="false">+B37+1</f>
        <v>34</v>
      </c>
      <c r="C38" s="252" t="s">
        <v>379</v>
      </c>
      <c r="D38" s="266" t="n">
        <v>0.122</v>
      </c>
      <c r="E38" s="254" t="n">
        <v>1.61417322834646</v>
      </c>
      <c r="F38" s="255" t="n">
        <f aca="false">+E38/1000000</f>
        <v>1.61417322834646E-006</v>
      </c>
      <c r="G38" s="253" t="n">
        <v>0.905511811023622</v>
      </c>
      <c r="H38" s="255" t="n">
        <f aca="false">+G38/1000000</f>
        <v>9.05511811023622E-007</v>
      </c>
      <c r="J38" s="256" t="str">
        <f aca="false">C38</f>
        <v>070011</v>
      </c>
      <c r="K38" s="257" t="n">
        <f aca="false">+D38*25.4</f>
        <v>3.0988</v>
      </c>
      <c r="L38" s="258" t="n">
        <f aca="false">+(E38*25.4)/1000</f>
        <v>0.041</v>
      </c>
      <c r="M38" s="259" t="n">
        <f aca="false">+L38*10^-3</f>
        <v>4.1E-005</v>
      </c>
      <c r="N38" s="260" t="n">
        <f aca="false">+(G38*25.4)/1000</f>
        <v>0.023</v>
      </c>
      <c r="O38" s="255" t="n">
        <f aca="false">+N38*10^-3</f>
        <v>2.3E-005</v>
      </c>
      <c r="P38" s="260" t="n">
        <f aca="false">+N38/2</f>
        <v>0.0115</v>
      </c>
      <c r="Q38" s="255" t="n">
        <f aca="false">+(H38*25.4)/2</f>
        <v>1.15E-005</v>
      </c>
      <c r="R38" s="256" t="str">
        <f aca="false">J38</f>
        <v>070011</v>
      </c>
      <c r="S38" s="261" t="n">
        <f aca="false">D38</f>
        <v>0.122</v>
      </c>
      <c r="T38" s="254" t="n">
        <f aca="false">0.4*25.4/1000</f>
        <v>0.01016</v>
      </c>
      <c r="U38" s="254" t="n">
        <v>0.04572</v>
      </c>
      <c r="V38" s="262" t="n">
        <f aca="false">M38*1000</f>
        <v>0.041</v>
      </c>
      <c r="W38" s="263" t="n">
        <f aca="false">(ABS(U38-V38)/$W$2)*1000</f>
        <v>0.0621052631578947</v>
      </c>
      <c r="X38" s="263" t="n">
        <f aca="false">MAX(W38)</f>
        <v>0.0621052631578947</v>
      </c>
      <c r="Y38" s="264" t="n">
        <f aca="false">((AVERAGE(W38)*12/1000))</f>
        <v>0.000745263157894736</v>
      </c>
      <c r="Z38" s="265" t="n">
        <f aca="false">(((Y38)*1000)/SQRT(3))</f>
        <v>0.430277884827637</v>
      </c>
      <c r="AA38" s="265" t="n">
        <f aca="false">((0.02)/SQRT(3))*1000</f>
        <v>11.5470053837925</v>
      </c>
      <c r="AB38" s="187"/>
    </row>
    <row r="39" customFormat="false" ht="16.5" hidden="false" customHeight="false" outlineLevel="0" collapsed="false">
      <c r="B39" s="161" t="n">
        <f aca="false">+B38+1</f>
        <v>35</v>
      </c>
      <c r="C39" s="252" t="s">
        <v>380</v>
      </c>
      <c r="D39" s="266" t="n">
        <v>0.123</v>
      </c>
      <c r="E39" s="254" t="n">
        <v>-0.511811023622047</v>
      </c>
      <c r="F39" s="255" t="n">
        <f aca="false">+E39/1000000</f>
        <v>-5.11811023622047E-007</v>
      </c>
      <c r="G39" s="253" t="n">
        <v>0.905511811023622</v>
      </c>
      <c r="H39" s="255" t="n">
        <f aca="false">+G39/1000000</f>
        <v>9.05511811023622E-007</v>
      </c>
      <c r="J39" s="256" t="str">
        <f aca="false">C39</f>
        <v>070031</v>
      </c>
      <c r="K39" s="257" t="n">
        <f aca="false">+D39*25.4</f>
        <v>3.1242</v>
      </c>
      <c r="L39" s="258" t="n">
        <f aca="false">+(E39*25.4)/1000</f>
        <v>-0.013</v>
      </c>
      <c r="M39" s="259" t="n">
        <f aca="false">+L39*10^-3</f>
        <v>-1.3E-005</v>
      </c>
      <c r="N39" s="260" t="n">
        <f aca="false">+(G39*25.4)/1000</f>
        <v>0.023</v>
      </c>
      <c r="O39" s="255" t="n">
        <f aca="false">+N39*10^-3</f>
        <v>2.3E-005</v>
      </c>
      <c r="P39" s="260" t="n">
        <f aca="false">+N39/2</f>
        <v>0.0115</v>
      </c>
      <c r="Q39" s="255" t="n">
        <f aca="false">+(H39*25.4)/2</f>
        <v>1.15E-005</v>
      </c>
      <c r="R39" s="256" t="str">
        <f aca="false">J39</f>
        <v>070031</v>
      </c>
      <c r="S39" s="261" t="n">
        <f aca="false">D39</f>
        <v>0.123</v>
      </c>
      <c r="T39" s="254" t="n">
        <f aca="false">0.4*25.4/1000</f>
        <v>0.01016</v>
      </c>
      <c r="U39" s="254" t="n">
        <v>-0.04064</v>
      </c>
      <c r="V39" s="262" t="n">
        <f aca="false">M39*1000</f>
        <v>-0.013</v>
      </c>
      <c r="W39" s="263" t="n">
        <f aca="false">(ABS(U39-V39)/$W$2)*1000</f>
        <v>0.363684210526316</v>
      </c>
      <c r="X39" s="263" t="n">
        <f aca="false">MAX(W39)</f>
        <v>0.363684210526316</v>
      </c>
      <c r="Y39" s="264" t="n">
        <f aca="false">((AVERAGE(W39)*12/1000))</f>
        <v>0.00436421052631579</v>
      </c>
      <c r="Z39" s="265" t="n">
        <f aca="false">(((Y39)*1000)/SQRT(3))</f>
        <v>2.51967812216862</v>
      </c>
      <c r="AA39" s="265" t="n">
        <f aca="false">((0.02)/SQRT(3))*1000</f>
        <v>11.5470053837925</v>
      </c>
      <c r="AB39" s="187"/>
    </row>
    <row r="40" customFormat="false" ht="16.5" hidden="false" customHeight="false" outlineLevel="0" collapsed="false">
      <c r="B40" s="161" t="n">
        <f aca="false">+B39+1</f>
        <v>36</v>
      </c>
      <c r="C40" s="252" t="s">
        <v>351</v>
      </c>
      <c r="D40" s="266" t="n">
        <v>0.124</v>
      </c>
      <c r="E40" s="254" t="n">
        <v>1.18110236220472</v>
      </c>
      <c r="F40" s="255" t="n">
        <f aca="false">+E40/1000000</f>
        <v>1.18110236220472E-006</v>
      </c>
      <c r="G40" s="253" t="n">
        <v>0.905511811023622</v>
      </c>
      <c r="H40" s="255" t="n">
        <f aca="false">+G40/1000000</f>
        <v>9.05511811023622E-007</v>
      </c>
      <c r="J40" s="256" t="str">
        <f aca="false">C40</f>
        <v>070007</v>
      </c>
      <c r="K40" s="257" t="n">
        <f aca="false">+D40*25.4</f>
        <v>3.1496</v>
      </c>
      <c r="L40" s="258" t="n">
        <f aca="false">+(E40*25.4)/1000</f>
        <v>0.03</v>
      </c>
      <c r="M40" s="259" t="n">
        <f aca="false">+L40*10^-3</f>
        <v>3E-005</v>
      </c>
      <c r="N40" s="260" t="n">
        <f aca="false">+(G40*25.4)/1000</f>
        <v>0.023</v>
      </c>
      <c r="O40" s="255" t="n">
        <f aca="false">+N40*10^-3</f>
        <v>2.3E-005</v>
      </c>
      <c r="P40" s="260" t="n">
        <f aca="false">+N40/2</f>
        <v>0.0115</v>
      </c>
      <c r="Q40" s="255" t="n">
        <f aca="false">+(H40*25.4)/2</f>
        <v>1.15E-005</v>
      </c>
      <c r="R40" s="256" t="str">
        <f aca="false">J40</f>
        <v>070007</v>
      </c>
      <c r="S40" s="261" t="n">
        <f aca="false">D40</f>
        <v>0.124</v>
      </c>
      <c r="T40" s="254" t="n">
        <f aca="false">0.4*25.4/1000</f>
        <v>0.01016</v>
      </c>
      <c r="U40" s="254" t="n">
        <v>0.02032</v>
      </c>
      <c r="V40" s="262" t="n">
        <f aca="false">M40*1000</f>
        <v>0.03</v>
      </c>
      <c r="W40" s="263" t="n">
        <f aca="false">(ABS(U40-V40)/$W$2)*1000</f>
        <v>0.127368421052632</v>
      </c>
      <c r="X40" s="263" t="n">
        <f aca="false">MAX(W40)</f>
        <v>0.127368421052632</v>
      </c>
      <c r="Y40" s="264" t="n">
        <f aca="false">((AVERAGE(W40)*12/1000))</f>
        <v>0.00152842105263158</v>
      </c>
      <c r="Z40" s="265" t="n">
        <f aca="false">(((Y40)*1000)/SQRT(3))</f>
        <v>0.882434306171933</v>
      </c>
      <c r="AA40" s="265" t="n">
        <f aca="false">((0.02)/SQRT(3))*1000</f>
        <v>11.5470053837925</v>
      </c>
      <c r="AB40" s="187"/>
    </row>
    <row r="41" customFormat="false" ht="16.5" hidden="false" customHeight="false" outlineLevel="0" collapsed="false">
      <c r="B41" s="161" t="n">
        <f aca="false">+B40+1</f>
        <v>37</v>
      </c>
      <c r="C41" s="252" t="s">
        <v>381</v>
      </c>
      <c r="D41" s="268" t="n">
        <v>0.125</v>
      </c>
      <c r="E41" s="254" t="n">
        <v>0.118110236220472</v>
      </c>
      <c r="F41" s="255" t="n">
        <f aca="false">+E41/1000000</f>
        <v>1.18110236220472E-007</v>
      </c>
      <c r="G41" s="253" t="n">
        <v>0.905511811023622</v>
      </c>
      <c r="H41" s="255" t="n">
        <f aca="false">+G41/1000000</f>
        <v>9.05511811023622E-007</v>
      </c>
      <c r="J41" s="256" t="str">
        <f aca="false">C41</f>
        <v>070062</v>
      </c>
      <c r="K41" s="257" t="n">
        <f aca="false">+D41*25.4</f>
        <v>3.175</v>
      </c>
      <c r="L41" s="258" t="n">
        <f aca="false">+(E41*25.4)/1000</f>
        <v>0.003</v>
      </c>
      <c r="M41" s="259" t="n">
        <f aca="false">+L41*10^-3</f>
        <v>3E-006</v>
      </c>
      <c r="N41" s="260" t="n">
        <f aca="false">+(G41*25.4)/1000</f>
        <v>0.023</v>
      </c>
      <c r="O41" s="255" t="n">
        <f aca="false">+N41*10^-3</f>
        <v>2.3E-005</v>
      </c>
      <c r="P41" s="260" t="n">
        <f aca="false">+N41/2</f>
        <v>0.0115</v>
      </c>
      <c r="Q41" s="255" t="n">
        <f aca="false">+(H41*25.4)/2</f>
        <v>1.15E-005</v>
      </c>
      <c r="R41" s="256" t="str">
        <f aca="false">J41</f>
        <v>070062</v>
      </c>
      <c r="S41" s="261" t="n">
        <f aca="false">D41</f>
        <v>0.125</v>
      </c>
      <c r="T41" s="254" t="n">
        <f aca="false">0.4*25.4/1000</f>
        <v>0.01016</v>
      </c>
      <c r="U41" s="254" t="n">
        <v>-0.0127</v>
      </c>
      <c r="V41" s="262" t="n">
        <f aca="false">M41*1000</f>
        <v>0.003</v>
      </c>
      <c r="W41" s="263" t="n">
        <f aca="false">(ABS(U41-V41)/$W$2)*1000</f>
        <v>0.206578947368421</v>
      </c>
      <c r="X41" s="263" t="n">
        <f aca="false">MAX(W41)</f>
        <v>0.206578947368421</v>
      </c>
      <c r="Y41" s="264" t="n">
        <f aca="false">((AVERAGE(W41)*12/1000))</f>
        <v>0.00247894736842105</v>
      </c>
      <c r="Z41" s="265" t="n">
        <f aca="false">(((Y41)*1000)/SQRT(3))</f>
        <v>1.43122093046481</v>
      </c>
      <c r="AA41" s="265" t="n">
        <f aca="false">((0.02)/SQRT(3))*1000</f>
        <v>11.5470053837925</v>
      </c>
      <c r="AB41" s="187"/>
    </row>
    <row r="42" customFormat="false" ht="16.5" hidden="false" customHeight="false" outlineLevel="0" collapsed="false">
      <c r="B42" s="161" t="n">
        <f aca="false">+B41+1</f>
        <v>38</v>
      </c>
      <c r="C42" s="252" t="s">
        <v>382</v>
      </c>
      <c r="D42" s="266" t="n">
        <v>0.126</v>
      </c>
      <c r="E42" s="254" t="n">
        <v>1.69291338582677</v>
      </c>
      <c r="F42" s="255" t="n">
        <f aca="false">+E42/1000000</f>
        <v>1.69291338582677E-006</v>
      </c>
      <c r="G42" s="253" t="n">
        <v>0.905511811023622</v>
      </c>
      <c r="H42" s="255" t="n">
        <f aca="false">+G42/1000000</f>
        <v>9.05511811023622E-007</v>
      </c>
      <c r="J42" s="256" t="str">
        <f aca="false">C42</f>
        <v>060143</v>
      </c>
      <c r="K42" s="257" t="n">
        <f aca="false">+D42*25.4</f>
        <v>3.2004</v>
      </c>
      <c r="L42" s="258" t="n">
        <f aca="false">+(E42*25.4)/1000</f>
        <v>0.043</v>
      </c>
      <c r="M42" s="259" t="n">
        <f aca="false">+L42*10^-3</f>
        <v>4.3E-005</v>
      </c>
      <c r="N42" s="260" t="n">
        <f aca="false">+(G42*25.4)/1000</f>
        <v>0.023</v>
      </c>
      <c r="O42" s="255" t="n">
        <f aca="false">+N42*10^-3</f>
        <v>2.3E-005</v>
      </c>
      <c r="P42" s="260" t="n">
        <f aca="false">+N42/2</f>
        <v>0.0115</v>
      </c>
      <c r="Q42" s="255" t="n">
        <f aca="false">+(H42*25.4)/2</f>
        <v>1.15E-005</v>
      </c>
      <c r="R42" s="256" t="str">
        <f aca="false">J42</f>
        <v>060143</v>
      </c>
      <c r="S42" s="261" t="n">
        <f aca="false">D42</f>
        <v>0.126</v>
      </c>
      <c r="T42" s="254" t="n">
        <f aca="false">0.4*25.4/1000</f>
        <v>0.01016</v>
      </c>
      <c r="U42" s="254" t="n">
        <v>0.03048</v>
      </c>
      <c r="V42" s="262" t="n">
        <f aca="false">M42*1000</f>
        <v>0.043</v>
      </c>
      <c r="W42" s="263" t="n">
        <f aca="false">(ABS(U42-V42)/$W$2)*1000</f>
        <v>0.164736842105263</v>
      </c>
      <c r="X42" s="263" t="n">
        <f aca="false">MAX(W42)</f>
        <v>0.164736842105263</v>
      </c>
      <c r="Y42" s="264" t="n">
        <f aca="false">((AVERAGE(W42)*12/1000))</f>
        <v>0.00197684210526316</v>
      </c>
      <c r="Z42" s="265" t="n">
        <f aca="false">(((Y42)*1000)/SQRT(3))</f>
        <v>1.14133032161907</v>
      </c>
      <c r="AA42" s="265" t="n">
        <f aca="false">((0.02)/SQRT(3))*1000</f>
        <v>11.5470053837925</v>
      </c>
      <c r="AB42" s="187"/>
    </row>
    <row r="43" customFormat="false" ht="16.5" hidden="false" customHeight="false" outlineLevel="0" collapsed="false">
      <c r="B43" s="161" t="n">
        <f aca="false">+B42+1</f>
        <v>39</v>
      </c>
      <c r="C43" s="252" t="s">
        <v>383</v>
      </c>
      <c r="D43" s="266" t="n">
        <v>0.127</v>
      </c>
      <c r="E43" s="254" t="n">
        <v>0.905511811023622</v>
      </c>
      <c r="F43" s="255" t="n">
        <f aca="false">+E43/1000000</f>
        <v>9.05511811023622E-007</v>
      </c>
      <c r="G43" s="253" t="n">
        <v>0.905511811023622</v>
      </c>
      <c r="H43" s="255" t="n">
        <f aca="false">+G43/1000000</f>
        <v>9.05511811023622E-007</v>
      </c>
      <c r="J43" s="256" t="str">
        <f aca="false">C43</f>
        <v>060104</v>
      </c>
      <c r="K43" s="257" t="n">
        <f aca="false">+D43*25.4</f>
        <v>3.2258</v>
      </c>
      <c r="L43" s="258" t="n">
        <f aca="false">+(E43*25.4)/1000</f>
        <v>0.023</v>
      </c>
      <c r="M43" s="259" t="n">
        <f aca="false">+L43*10^-3</f>
        <v>2.3E-005</v>
      </c>
      <c r="N43" s="260" t="n">
        <f aca="false">+(G43*25.4)/1000</f>
        <v>0.023</v>
      </c>
      <c r="O43" s="255" t="n">
        <f aca="false">+N43*10^-3</f>
        <v>2.3E-005</v>
      </c>
      <c r="P43" s="260" t="n">
        <f aca="false">+N43/2</f>
        <v>0.0115</v>
      </c>
      <c r="Q43" s="255" t="n">
        <f aca="false">+(H43*25.4)/2</f>
        <v>1.15E-005</v>
      </c>
      <c r="R43" s="256" t="str">
        <f aca="false">J43</f>
        <v>060104</v>
      </c>
      <c r="S43" s="261" t="n">
        <f aca="false">D43</f>
        <v>0.127</v>
      </c>
      <c r="T43" s="254" t="n">
        <f aca="false">0.4*25.4/1000</f>
        <v>0.01016</v>
      </c>
      <c r="U43" s="254" t="n">
        <v>-0.00762</v>
      </c>
      <c r="V43" s="262" t="n">
        <f aca="false">M43*1000</f>
        <v>0.023</v>
      </c>
      <c r="W43" s="263" t="n">
        <f aca="false">(ABS(U43-V43)/$W$2)*1000</f>
        <v>0.402894736842105</v>
      </c>
      <c r="X43" s="263" t="n">
        <f aca="false">MAX(W43)</f>
        <v>0.402894736842105</v>
      </c>
      <c r="Y43" s="264" t="n">
        <f aca="false">((AVERAGE(W43)*12/1000))</f>
        <v>0.00483473684210526</v>
      </c>
      <c r="Z43" s="265" t="n">
        <f aca="false">(((Y43)*1000)/SQRT(3))</f>
        <v>2.79133661725048</v>
      </c>
      <c r="AA43" s="265" t="n">
        <f aca="false">((0.02)/SQRT(3))*1000</f>
        <v>11.5470053837925</v>
      </c>
      <c r="AB43" s="187"/>
    </row>
    <row r="44" customFormat="false" ht="16.5" hidden="false" customHeight="false" outlineLevel="0" collapsed="false">
      <c r="B44" s="161" t="n">
        <f aca="false">+B43+1</f>
        <v>40</v>
      </c>
      <c r="C44" s="252" t="s">
        <v>384</v>
      </c>
      <c r="D44" s="266" t="n">
        <v>0.128</v>
      </c>
      <c r="E44" s="254" t="n">
        <v>0</v>
      </c>
      <c r="F44" s="255" t="n">
        <f aca="false">+E44/1000000</f>
        <v>0</v>
      </c>
      <c r="G44" s="253" t="n">
        <v>0.905511811023622</v>
      </c>
      <c r="H44" s="255" t="n">
        <f aca="false">+G44/1000000</f>
        <v>9.05511811023622E-007</v>
      </c>
      <c r="J44" s="256" t="str">
        <f aca="false">C44</f>
        <v>070028</v>
      </c>
      <c r="K44" s="257" t="n">
        <f aca="false">+D44*25.4</f>
        <v>3.2512</v>
      </c>
      <c r="L44" s="258" t="n">
        <f aca="false">+(E44*25.4)/1000</f>
        <v>0</v>
      </c>
      <c r="M44" s="259" t="n">
        <f aca="false">+L44*10^-3</f>
        <v>0</v>
      </c>
      <c r="N44" s="260" t="n">
        <f aca="false">+(G44*25.4)/1000</f>
        <v>0.023</v>
      </c>
      <c r="O44" s="255" t="n">
        <f aca="false">+N44*10^-3</f>
        <v>2.3E-005</v>
      </c>
      <c r="P44" s="260" t="n">
        <f aca="false">+N44/2</f>
        <v>0.0115</v>
      </c>
      <c r="Q44" s="255" t="n">
        <f aca="false">+(H44*25.4)/2</f>
        <v>1.15E-005</v>
      </c>
      <c r="R44" s="256" t="str">
        <f aca="false">J44</f>
        <v>070028</v>
      </c>
      <c r="S44" s="261" t="n">
        <f aca="false">D44</f>
        <v>0.128</v>
      </c>
      <c r="T44" s="254" t="n">
        <f aca="false">0.4*25.4/1000</f>
        <v>0.01016</v>
      </c>
      <c r="U44" s="254" t="n">
        <v>-0.00254</v>
      </c>
      <c r="V44" s="262" t="n">
        <f aca="false">M44*1000</f>
        <v>0</v>
      </c>
      <c r="W44" s="263" t="n">
        <f aca="false">(ABS(U44-V44)/$W$2)*1000</f>
        <v>0.033421052631579</v>
      </c>
      <c r="X44" s="263" t="n">
        <f aca="false">MAX(W44)</f>
        <v>0.033421052631579</v>
      </c>
      <c r="Y44" s="264" t="n">
        <f aca="false">((AVERAGE(W44)*12/1000))</f>
        <v>0.000401052631578947</v>
      </c>
      <c r="Z44" s="265" t="n">
        <f aca="false">(((Y44)*1000)/SQRT(3))</f>
        <v>0.231547844801313</v>
      </c>
      <c r="AA44" s="265" t="n">
        <f aca="false">((0.02)/SQRT(3))*1000</f>
        <v>11.5470053837925</v>
      </c>
      <c r="AB44" s="187"/>
    </row>
    <row r="45" customFormat="false" ht="16.5" hidden="false" customHeight="false" outlineLevel="0" collapsed="false">
      <c r="B45" s="161" t="n">
        <f aca="false">+B44+1</f>
        <v>41</v>
      </c>
      <c r="C45" s="252" t="s">
        <v>384</v>
      </c>
      <c r="D45" s="266" t="n">
        <v>0.129</v>
      </c>
      <c r="E45" s="254" t="n">
        <v>0.905511811023622</v>
      </c>
      <c r="F45" s="255" t="n">
        <f aca="false">+E45/1000000</f>
        <v>9.05511811023622E-007</v>
      </c>
      <c r="G45" s="253" t="n">
        <v>0.905511811023622</v>
      </c>
      <c r="H45" s="255" t="n">
        <f aca="false">+G45/1000000</f>
        <v>9.05511811023622E-007</v>
      </c>
      <c r="J45" s="256" t="str">
        <f aca="false">C45</f>
        <v>070028</v>
      </c>
      <c r="K45" s="257" t="n">
        <f aca="false">+D45*25.4</f>
        <v>3.2766</v>
      </c>
      <c r="L45" s="258" t="n">
        <f aca="false">+(E45*25.4)/1000</f>
        <v>0.023</v>
      </c>
      <c r="M45" s="259" t="n">
        <f aca="false">+L45*10^-3</f>
        <v>2.3E-005</v>
      </c>
      <c r="N45" s="260" t="n">
        <f aca="false">+(G45*25.4)/1000</f>
        <v>0.023</v>
      </c>
      <c r="O45" s="255" t="n">
        <f aca="false">+N45*10^-3</f>
        <v>2.3E-005</v>
      </c>
      <c r="P45" s="260" t="n">
        <f aca="false">+N45/2</f>
        <v>0.0115</v>
      </c>
      <c r="Q45" s="255" t="n">
        <f aca="false">+(H45*25.4)/2</f>
        <v>1.15E-005</v>
      </c>
      <c r="R45" s="256" t="str">
        <f aca="false">J45</f>
        <v>070028</v>
      </c>
      <c r="S45" s="261" t="n">
        <f aca="false">D45</f>
        <v>0.129</v>
      </c>
      <c r="T45" s="254" t="n">
        <f aca="false">0.4*25.4/1000</f>
        <v>0.01016</v>
      </c>
      <c r="U45" s="254" t="n">
        <v>0.00508</v>
      </c>
      <c r="V45" s="262" t="n">
        <f aca="false">M45*1000</f>
        <v>0.023</v>
      </c>
      <c r="W45" s="263" t="n">
        <f aca="false">(ABS(U45-V45)/$W$2)*1000</f>
        <v>0.235789473684211</v>
      </c>
      <c r="X45" s="263" t="n">
        <f aca="false">MAX(W45)</f>
        <v>0.235789473684211</v>
      </c>
      <c r="Y45" s="264" t="n">
        <f aca="false">((AVERAGE(W45)*12/1000))</f>
        <v>0.00282947368421053</v>
      </c>
      <c r="Z45" s="265" t="n">
        <f aca="false">(((Y45)*1000)/SQRT(3))</f>
        <v>1.63359739324391</v>
      </c>
      <c r="AA45" s="265" t="n">
        <f aca="false">((0.02)/SQRT(3))*1000</f>
        <v>11.5470053837925</v>
      </c>
      <c r="AB45" s="187"/>
    </row>
    <row r="46" customFormat="false" ht="16.5" hidden="false" customHeight="false" outlineLevel="0" collapsed="false">
      <c r="B46" s="161" t="n">
        <f aca="false">+B45+1</f>
        <v>42</v>
      </c>
      <c r="C46" s="252" t="s">
        <v>356</v>
      </c>
      <c r="D46" s="268" t="n">
        <v>0.13</v>
      </c>
      <c r="E46" s="254" t="n">
        <v>1.41732283464567</v>
      </c>
      <c r="F46" s="255" t="n">
        <f aca="false">+E46/1000000</f>
        <v>1.41732283464567E-006</v>
      </c>
      <c r="G46" s="253" t="n">
        <v>0.905511811023622</v>
      </c>
      <c r="H46" s="255" t="n">
        <f aca="false">+G46/1000000</f>
        <v>9.05511811023622E-007</v>
      </c>
      <c r="J46" s="256" t="str">
        <f aca="false">C46</f>
        <v>070050</v>
      </c>
      <c r="K46" s="257" t="n">
        <f aca="false">+D46*25.4</f>
        <v>3.302</v>
      </c>
      <c r="L46" s="258" t="n">
        <f aca="false">+(E46*25.4)/1000</f>
        <v>0.036</v>
      </c>
      <c r="M46" s="259" t="n">
        <f aca="false">+L46*10^-3</f>
        <v>3.6E-005</v>
      </c>
      <c r="N46" s="260" t="n">
        <f aca="false">+(G46*25.4)/1000</f>
        <v>0.023</v>
      </c>
      <c r="O46" s="255" t="n">
        <f aca="false">+N46*10^-3</f>
        <v>2.3E-005</v>
      </c>
      <c r="P46" s="260" t="n">
        <f aca="false">+N46/2</f>
        <v>0.0115</v>
      </c>
      <c r="Q46" s="255" t="n">
        <f aca="false">+(H46*25.4)/2</f>
        <v>1.15E-005</v>
      </c>
      <c r="R46" s="256" t="str">
        <f aca="false">J46</f>
        <v>070050</v>
      </c>
      <c r="S46" s="261" t="n">
        <f aca="false">D46</f>
        <v>0.13</v>
      </c>
      <c r="T46" s="254" t="n">
        <f aca="false">0.4*25.4/1000</f>
        <v>0.01016</v>
      </c>
      <c r="U46" s="254" t="n">
        <v>0.0254</v>
      </c>
      <c r="V46" s="262" t="n">
        <f aca="false">M46*1000</f>
        <v>0.036</v>
      </c>
      <c r="W46" s="263" t="n">
        <f aca="false">(ABS(U46-V46)/$W$2)*1000</f>
        <v>0.139473684210526</v>
      </c>
      <c r="X46" s="263" t="n">
        <f aca="false">MAX(W46)</f>
        <v>0.139473684210526</v>
      </c>
      <c r="Y46" s="264" t="n">
        <f aca="false">((AVERAGE(W46)*12/1000))</f>
        <v>0.00167368421052632</v>
      </c>
      <c r="Z46" s="265" t="n">
        <f aca="false">(((Y46)*1000)/SQRT(3))</f>
        <v>0.966302029485795</v>
      </c>
      <c r="AA46" s="265" t="n">
        <f aca="false">((0.02)/SQRT(3))*1000</f>
        <v>11.5470053837925</v>
      </c>
      <c r="AB46" s="187"/>
    </row>
    <row r="47" customFormat="false" ht="16.5" hidden="false" customHeight="false" outlineLevel="0" collapsed="false">
      <c r="B47" s="161" t="n">
        <f aca="false">+B46+1</f>
        <v>43</v>
      </c>
      <c r="C47" s="252" t="s">
        <v>355</v>
      </c>
      <c r="D47" s="266" t="n">
        <v>0.131</v>
      </c>
      <c r="E47" s="254" t="n">
        <v>1.10236220472441</v>
      </c>
      <c r="F47" s="255" t="n">
        <f aca="false">+E47/1000000</f>
        <v>1.10236220472441E-006</v>
      </c>
      <c r="G47" s="253" t="n">
        <v>0.905511811023622</v>
      </c>
      <c r="H47" s="255" t="n">
        <f aca="false">+G47/1000000</f>
        <v>9.05511811023622E-007</v>
      </c>
      <c r="J47" s="256" t="str">
        <f aca="false">C47</f>
        <v>070005</v>
      </c>
      <c r="K47" s="257" t="n">
        <f aca="false">+D47*25.4</f>
        <v>3.3274</v>
      </c>
      <c r="L47" s="258" t="n">
        <f aca="false">+(E47*25.4)/1000</f>
        <v>0.028</v>
      </c>
      <c r="M47" s="259" t="n">
        <f aca="false">+L47*10^-3</f>
        <v>2.8E-005</v>
      </c>
      <c r="N47" s="260" t="n">
        <f aca="false">+(G47*25.4)/1000</f>
        <v>0.023</v>
      </c>
      <c r="O47" s="255" t="n">
        <f aca="false">+N47*10^-3</f>
        <v>2.3E-005</v>
      </c>
      <c r="P47" s="260" t="n">
        <f aca="false">+N47/2</f>
        <v>0.0115</v>
      </c>
      <c r="Q47" s="255" t="n">
        <f aca="false">+(H47*25.4)/2</f>
        <v>1.15E-005</v>
      </c>
      <c r="R47" s="256" t="str">
        <f aca="false">J47</f>
        <v>070005</v>
      </c>
      <c r="S47" s="261" t="n">
        <f aca="false">D47</f>
        <v>0.131</v>
      </c>
      <c r="T47" s="254" t="n">
        <f aca="false">0.4*25.4/1000</f>
        <v>0.01016</v>
      </c>
      <c r="U47" s="254" t="n">
        <v>0.01016</v>
      </c>
      <c r="V47" s="262" t="n">
        <f aca="false">M47*1000</f>
        <v>0.028</v>
      </c>
      <c r="W47" s="263" t="n">
        <f aca="false">(ABS(U47-V47)/$W$2)*1000</f>
        <v>0.234736842105263</v>
      </c>
      <c r="X47" s="263" t="n">
        <f aca="false">MAX(W47)</f>
        <v>0.234736842105263</v>
      </c>
      <c r="Y47" s="264" t="n">
        <f aca="false">((AVERAGE(W47)*12/1000))</f>
        <v>0.00281684210526316</v>
      </c>
      <c r="Z47" s="265" t="n">
        <f aca="false">(((Y47)*1000)/SQRT(3))</f>
        <v>1.62630454773836</v>
      </c>
      <c r="AA47" s="265" t="n">
        <f aca="false">((0.02)/SQRT(3))*1000</f>
        <v>11.5470053837925</v>
      </c>
      <c r="AB47" s="187"/>
    </row>
    <row r="48" customFormat="false" ht="16.5" hidden="false" customHeight="false" outlineLevel="0" collapsed="false">
      <c r="B48" s="161" t="n">
        <f aca="false">+B47+1</f>
        <v>44</v>
      </c>
      <c r="C48" s="252" t="s">
        <v>358</v>
      </c>
      <c r="D48" s="266" t="n">
        <v>0.132</v>
      </c>
      <c r="E48" s="254" t="n">
        <v>1.41732283464567</v>
      </c>
      <c r="F48" s="255" t="n">
        <f aca="false">+E48/1000000</f>
        <v>1.41732283464567E-006</v>
      </c>
      <c r="G48" s="253" t="n">
        <v>0.905511811023622</v>
      </c>
      <c r="H48" s="255" t="n">
        <f aca="false">+G48/1000000</f>
        <v>9.05511811023622E-007</v>
      </c>
      <c r="J48" s="256" t="str">
        <f aca="false">C48</f>
        <v>070006</v>
      </c>
      <c r="K48" s="257" t="n">
        <f aca="false">+D48*25.4</f>
        <v>3.3528</v>
      </c>
      <c r="L48" s="258" t="n">
        <f aca="false">+(E48*25.4)/1000</f>
        <v>0.036</v>
      </c>
      <c r="M48" s="259" t="n">
        <f aca="false">+L48*10^-3</f>
        <v>3.6E-005</v>
      </c>
      <c r="N48" s="260" t="n">
        <f aca="false">+(G48*25.4)/1000</f>
        <v>0.023</v>
      </c>
      <c r="O48" s="255" t="n">
        <f aca="false">+N48*10^-3</f>
        <v>2.3E-005</v>
      </c>
      <c r="P48" s="260" t="n">
        <f aca="false">+N48/2</f>
        <v>0.0115</v>
      </c>
      <c r="Q48" s="255" t="n">
        <f aca="false">+(H48*25.4)/2</f>
        <v>1.15E-005</v>
      </c>
      <c r="R48" s="256" t="str">
        <f aca="false">J48</f>
        <v>070006</v>
      </c>
      <c r="S48" s="261" t="n">
        <f aca="false">D48</f>
        <v>0.132</v>
      </c>
      <c r="T48" s="254" t="n">
        <f aca="false">0.4*25.4/1000</f>
        <v>0.01016</v>
      </c>
      <c r="U48" s="254" t="n">
        <v>0.03302</v>
      </c>
      <c r="V48" s="262" t="n">
        <f aca="false">M48*1000</f>
        <v>0.036</v>
      </c>
      <c r="W48" s="263" t="n">
        <f aca="false">(ABS(U48-V48)/$W$2)*1000</f>
        <v>0.0392105263157896</v>
      </c>
      <c r="X48" s="263" t="n">
        <f aca="false">MAX(W48)</f>
        <v>0.0392105263157896</v>
      </c>
      <c r="Y48" s="264" t="n">
        <f aca="false">((AVERAGE(W48)*12/1000))</f>
        <v>0.000470526315789475</v>
      </c>
      <c r="Z48" s="265" t="n">
        <f aca="false">(((Y48)*1000)/SQRT(3))</f>
        <v>0.271658495081856</v>
      </c>
      <c r="AA48" s="265" t="n">
        <f aca="false">((0.02)/SQRT(3))*1000</f>
        <v>11.5470053837925</v>
      </c>
      <c r="AB48" s="187"/>
    </row>
    <row r="49" customFormat="false" ht="16.5" hidden="false" customHeight="false" outlineLevel="0" collapsed="false">
      <c r="B49" s="161" t="n">
        <f aca="false">+B48+1</f>
        <v>45</v>
      </c>
      <c r="C49" s="252" t="s">
        <v>385</v>
      </c>
      <c r="D49" s="266" t="n">
        <v>0.133</v>
      </c>
      <c r="E49" s="254" t="n">
        <v>-0.905511811023622</v>
      </c>
      <c r="F49" s="255" t="n">
        <f aca="false">+E49/1000000</f>
        <v>-9.05511811023622E-007</v>
      </c>
      <c r="G49" s="253" t="n">
        <v>0.905511811023622</v>
      </c>
      <c r="H49" s="255" t="n">
        <f aca="false">+G49/1000000</f>
        <v>9.05511811023622E-007</v>
      </c>
      <c r="J49" s="256" t="str">
        <f aca="false">C49</f>
        <v>070019</v>
      </c>
      <c r="K49" s="257" t="n">
        <f aca="false">+D49*25.4</f>
        <v>3.3782</v>
      </c>
      <c r="L49" s="258" t="n">
        <f aca="false">+(E49*25.4)/1000</f>
        <v>-0.023</v>
      </c>
      <c r="M49" s="259" t="n">
        <f aca="false">+L49*10^-3</f>
        <v>-2.3E-005</v>
      </c>
      <c r="N49" s="260" t="n">
        <f aca="false">+(G49*25.4)/1000</f>
        <v>0.023</v>
      </c>
      <c r="O49" s="255" t="n">
        <f aca="false">+N49*10^-3</f>
        <v>2.3E-005</v>
      </c>
      <c r="P49" s="260" t="n">
        <f aca="false">+N49/2</f>
        <v>0.0115</v>
      </c>
      <c r="Q49" s="255" t="n">
        <f aca="false">+(H49*25.4)/2</f>
        <v>1.15E-005</v>
      </c>
      <c r="R49" s="256" t="str">
        <f aca="false">J49</f>
        <v>070019</v>
      </c>
      <c r="S49" s="261" t="n">
        <f aca="false">D49</f>
        <v>0.133</v>
      </c>
      <c r="T49" s="254" t="n">
        <f aca="false">0.4*25.4/1000</f>
        <v>0.01016</v>
      </c>
      <c r="U49" s="254" t="n">
        <v>-0.03556</v>
      </c>
      <c r="V49" s="262" t="n">
        <f aca="false">M49*1000</f>
        <v>-0.023</v>
      </c>
      <c r="W49" s="263" t="n">
        <f aca="false">(ABS(U49-V49)/$W$2)*1000</f>
        <v>0.165263157894737</v>
      </c>
      <c r="X49" s="263" t="n">
        <f aca="false">MAX(W49)</f>
        <v>0.165263157894737</v>
      </c>
      <c r="Y49" s="264" t="n">
        <f aca="false">((AVERAGE(W49)*12/1000))</f>
        <v>0.00198315789473684</v>
      </c>
      <c r="Z49" s="265" t="n">
        <f aca="false">(((Y49)*1000)/SQRT(3))</f>
        <v>1.14497674437185</v>
      </c>
      <c r="AA49" s="265" t="n">
        <f aca="false">((0.02)/SQRT(3))*1000</f>
        <v>11.5470053837925</v>
      </c>
      <c r="AB49" s="187"/>
    </row>
    <row r="50" customFormat="false" ht="16.5" hidden="false" customHeight="false" outlineLevel="0" collapsed="false">
      <c r="B50" s="161" t="n">
        <f aca="false">+B49+1</f>
        <v>46</v>
      </c>
      <c r="C50" s="252" t="s">
        <v>386</v>
      </c>
      <c r="D50" s="266" t="n">
        <v>0.134</v>
      </c>
      <c r="E50" s="254" t="n">
        <v>1.10236220472441</v>
      </c>
      <c r="F50" s="255" t="n">
        <f aca="false">+E50/1000000</f>
        <v>1.10236220472441E-006</v>
      </c>
      <c r="G50" s="253" t="n">
        <v>0.905511811023622</v>
      </c>
      <c r="H50" s="255" t="n">
        <f aca="false">+G50/1000000</f>
        <v>9.05511811023622E-007</v>
      </c>
      <c r="J50" s="256" t="str">
        <f aca="false">C50</f>
        <v>070064</v>
      </c>
      <c r="K50" s="257" t="n">
        <f aca="false">+D50*25.4</f>
        <v>3.4036</v>
      </c>
      <c r="L50" s="258" t="n">
        <f aca="false">+(E50*25.4)/1000</f>
        <v>0.028</v>
      </c>
      <c r="M50" s="259" t="n">
        <f aca="false">+L50*10^-3</f>
        <v>2.8E-005</v>
      </c>
      <c r="N50" s="260" t="n">
        <f aca="false">+(G50*25.4)/1000</f>
        <v>0.023</v>
      </c>
      <c r="O50" s="255" t="n">
        <f aca="false">+N50*10^-3</f>
        <v>2.3E-005</v>
      </c>
      <c r="P50" s="260" t="n">
        <f aca="false">+N50/2</f>
        <v>0.0115</v>
      </c>
      <c r="Q50" s="255" t="n">
        <f aca="false">+(H50*25.4)/2</f>
        <v>1.15E-005</v>
      </c>
      <c r="R50" s="256" t="str">
        <f aca="false">J50</f>
        <v>070064</v>
      </c>
      <c r="S50" s="261" t="n">
        <f aca="false">D50</f>
        <v>0.134</v>
      </c>
      <c r="T50" s="254" t="n">
        <f aca="false">0.4*25.4/1000</f>
        <v>0.01016</v>
      </c>
      <c r="U50" s="254" t="n">
        <v>0.02794</v>
      </c>
      <c r="V50" s="262" t="n">
        <f aca="false">M50*1000</f>
        <v>0.028</v>
      </c>
      <c r="W50" s="263" t="n">
        <f aca="false">(ABS(U50-V50)/$W$2)*1000</f>
        <v>0.00078947368421054</v>
      </c>
      <c r="X50" s="263" t="n">
        <f aca="false">MAX(W50)</f>
        <v>0.00078947368421054</v>
      </c>
      <c r="Y50" s="264" t="n">
        <f aca="false">((AVERAGE(W50)*12/1000))</f>
        <v>9.47368421052648E-006</v>
      </c>
      <c r="Z50" s="265" t="n">
        <f aca="false">(((Y50)*1000)/SQRT(3))</f>
        <v>0.00546963412916497</v>
      </c>
      <c r="AA50" s="265" t="n">
        <f aca="false">((0.02)/SQRT(3))*1000</f>
        <v>11.5470053837925</v>
      </c>
      <c r="AB50" s="187"/>
    </row>
    <row r="51" customFormat="false" ht="16.5" hidden="false" customHeight="false" outlineLevel="0" collapsed="false">
      <c r="B51" s="161" t="n">
        <f aca="false">+B50+1</f>
        <v>47</v>
      </c>
      <c r="C51" s="252" t="s">
        <v>387</v>
      </c>
      <c r="D51" s="266" t="n">
        <v>0.135</v>
      </c>
      <c r="E51" s="254" t="n">
        <v>0.31496062992126</v>
      </c>
      <c r="F51" s="255" t="n">
        <f aca="false">+E51/1000000</f>
        <v>3.1496062992126E-007</v>
      </c>
      <c r="G51" s="253" t="n">
        <v>0.905511811023622</v>
      </c>
      <c r="H51" s="255" t="n">
        <f aca="false">+G51/1000000</f>
        <v>9.05511811023622E-007</v>
      </c>
      <c r="J51" s="256" t="str">
        <f aca="false">C51</f>
        <v>070014</v>
      </c>
      <c r="K51" s="257" t="n">
        <f aca="false">+D51*25.4</f>
        <v>3.429</v>
      </c>
      <c r="L51" s="258" t="n">
        <f aca="false">+(E51*25.4)/1000</f>
        <v>0.008</v>
      </c>
      <c r="M51" s="259" t="n">
        <f aca="false">+L51*10^-3</f>
        <v>8E-006</v>
      </c>
      <c r="N51" s="260" t="n">
        <f aca="false">+(G51*25.4)/1000</f>
        <v>0.023</v>
      </c>
      <c r="O51" s="255" t="n">
        <f aca="false">+N51*10^-3</f>
        <v>2.3E-005</v>
      </c>
      <c r="P51" s="260" t="n">
        <f aca="false">+N51/2</f>
        <v>0.0115</v>
      </c>
      <c r="Q51" s="255" t="n">
        <f aca="false">+(H51*25.4)/2</f>
        <v>1.15E-005</v>
      </c>
      <c r="R51" s="256" t="str">
        <f aca="false">J51</f>
        <v>070014</v>
      </c>
      <c r="S51" s="261" t="n">
        <f aca="false">D51</f>
        <v>0.135</v>
      </c>
      <c r="T51" s="254" t="n">
        <f aca="false">0.4*25.4/1000</f>
        <v>0.01016</v>
      </c>
      <c r="U51" s="254" t="n">
        <v>-0.00762</v>
      </c>
      <c r="V51" s="262" t="n">
        <f aca="false">M51*1000</f>
        <v>0.008</v>
      </c>
      <c r="W51" s="263" t="n">
        <f aca="false">(ABS(U51-V51)/$W$2)*1000</f>
        <v>0.205526315789474</v>
      </c>
      <c r="X51" s="263" t="n">
        <f aca="false">MAX(W51)</f>
        <v>0.205526315789474</v>
      </c>
      <c r="Y51" s="264" t="n">
        <f aca="false">((AVERAGE(W51)*12/1000))</f>
        <v>0.00246631578947368</v>
      </c>
      <c r="Z51" s="265" t="n">
        <f aca="false">(((Y51)*1000)/SQRT(3))</f>
        <v>1.42392808495926</v>
      </c>
      <c r="AA51" s="265" t="n">
        <f aca="false">((0.02)/SQRT(3))*1000</f>
        <v>11.5470053837925</v>
      </c>
      <c r="AB51" s="187"/>
    </row>
    <row r="52" customFormat="false" ht="16.5" hidden="false" customHeight="false" outlineLevel="0" collapsed="false">
      <c r="B52" s="161" t="n">
        <f aca="false">+B51+1</f>
        <v>48</v>
      </c>
      <c r="C52" s="252" t="s">
        <v>388</v>
      </c>
      <c r="D52" s="266" t="n">
        <v>0.136</v>
      </c>
      <c r="E52" s="254" t="n">
        <v>1.18110236220472</v>
      </c>
      <c r="F52" s="255" t="n">
        <f aca="false">+E52/1000000</f>
        <v>1.18110236220472E-006</v>
      </c>
      <c r="G52" s="253" t="n">
        <v>0.905511811023622</v>
      </c>
      <c r="H52" s="255" t="n">
        <f aca="false">+G52/1000000</f>
        <v>9.05511811023622E-007</v>
      </c>
      <c r="J52" s="256" t="str">
        <f aca="false">C52</f>
        <v>060090</v>
      </c>
      <c r="K52" s="257" t="n">
        <f aca="false">+D52*25.4</f>
        <v>3.4544</v>
      </c>
      <c r="L52" s="258" t="n">
        <f aca="false">+(E52*25.4)/1000</f>
        <v>0.03</v>
      </c>
      <c r="M52" s="259" t="n">
        <f aca="false">+L52*10^-3</f>
        <v>3E-005</v>
      </c>
      <c r="N52" s="260" t="n">
        <f aca="false">+(G52*25.4)/1000</f>
        <v>0.023</v>
      </c>
      <c r="O52" s="255" t="n">
        <f aca="false">+N52*10^-3</f>
        <v>2.3E-005</v>
      </c>
      <c r="P52" s="260" t="n">
        <f aca="false">+N52/2</f>
        <v>0.0115</v>
      </c>
      <c r="Q52" s="255" t="n">
        <f aca="false">+(H52*25.4)/2</f>
        <v>1.15E-005</v>
      </c>
      <c r="R52" s="256" t="str">
        <f aca="false">J52</f>
        <v>060090</v>
      </c>
      <c r="S52" s="261" t="n">
        <f aca="false">D52</f>
        <v>0.136</v>
      </c>
      <c r="T52" s="254" t="n">
        <f aca="false">0.4*25.4/1000</f>
        <v>0.01016</v>
      </c>
      <c r="U52" s="254" t="n">
        <v>0.01778</v>
      </c>
      <c r="V52" s="262" t="n">
        <f aca="false">M52*1000</f>
        <v>0.03</v>
      </c>
      <c r="W52" s="263" t="n">
        <f aca="false">(ABS(U52-V52)/$W$2)*1000</f>
        <v>0.160789473684211</v>
      </c>
      <c r="X52" s="263" t="n">
        <f aca="false">MAX(W52)</f>
        <v>0.160789473684211</v>
      </c>
      <c r="Y52" s="264" t="n">
        <f aca="false">((AVERAGE(W52)*12/1000))</f>
        <v>0.00192947368421053</v>
      </c>
      <c r="Z52" s="265" t="n">
        <f aca="false">(((Y52)*1000)/SQRT(3))</f>
        <v>1.11398215097325</v>
      </c>
      <c r="AA52" s="265" t="n">
        <f aca="false">((0.02)/SQRT(3))*1000</f>
        <v>11.5470053837925</v>
      </c>
      <c r="AB52" s="187"/>
    </row>
    <row r="53" customFormat="false" ht="16.5" hidden="false" customHeight="false" outlineLevel="0" collapsed="false">
      <c r="B53" s="161" t="n">
        <f aca="false">+B52+1</f>
        <v>49</v>
      </c>
      <c r="C53" s="252" t="s">
        <v>368</v>
      </c>
      <c r="D53" s="266" t="n">
        <v>0.137</v>
      </c>
      <c r="E53" s="254" t="n">
        <v>2.00787401574803</v>
      </c>
      <c r="F53" s="255" t="n">
        <f aca="false">+E53/1000000</f>
        <v>2.00787401574803E-006</v>
      </c>
      <c r="G53" s="253" t="n">
        <v>0.905511811023622</v>
      </c>
      <c r="H53" s="255" t="n">
        <f aca="false">+G53/1000000</f>
        <v>9.05511811023622E-007</v>
      </c>
      <c r="J53" s="256" t="str">
        <f aca="false">C53</f>
        <v>070060</v>
      </c>
      <c r="K53" s="257" t="n">
        <f aca="false">+D53*25.4</f>
        <v>3.4798</v>
      </c>
      <c r="L53" s="258" t="n">
        <f aca="false">+(E53*25.4)/1000</f>
        <v>0.051</v>
      </c>
      <c r="M53" s="259" t="n">
        <f aca="false">+L53*10^-3</f>
        <v>5.1E-005</v>
      </c>
      <c r="N53" s="260" t="n">
        <f aca="false">+(G53*25.4)/1000</f>
        <v>0.023</v>
      </c>
      <c r="O53" s="255" t="n">
        <f aca="false">+N53*10^-3</f>
        <v>2.3E-005</v>
      </c>
      <c r="P53" s="260" t="n">
        <f aca="false">+N53/2</f>
        <v>0.0115</v>
      </c>
      <c r="Q53" s="255" t="n">
        <f aca="false">+(H53*25.4)/2</f>
        <v>1.15E-005</v>
      </c>
      <c r="R53" s="256" t="str">
        <f aca="false">J53</f>
        <v>070060</v>
      </c>
      <c r="S53" s="261" t="n">
        <f aca="false">D53</f>
        <v>0.137</v>
      </c>
      <c r="T53" s="254" t="n">
        <f aca="false">0.4*25.4/1000</f>
        <v>0.01016</v>
      </c>
      <c r="U53" s="254" t="n">
        <v>0.02794</v>
      </c>
      <c r="V53" s="262" t="n">
        <f aca="false">M53*1000</f>
        <v>0.051</v>
      </c>
      <c r="W53" s="263" t="n">
        <f aca="false">(ABS(U53-V53)/$W$2)*1000</f>
        <v>0.303421052631579</v>
      </c>
      <c r="X53" s="263" t="n">
        <f aca="false">MAX(W53)</f>
        <v>0.303421052631579</v>
      </c>
      <c r="Y53" s="264" t="n">
        <f aca="false">((AVERAGE(W53)*12/1000))</f>
        <v>0.00364105263157895</v>
      </c>
      <c r="Z53" s="265" t="n">
        <f aca="false">(((Y53)*1000)/SQRT(3))</f>
        <v>2.1021627169757</v>
      </c>
      <c r="AA53" s="265" t="n">
        <f aca="false">((0.02)/SQRT(3))*1000</f>
        <v>11.5470053837925</v>
      </c>
      <c r="AB53" s="187"/>
    </row>
    <row r="54" customFormat="false" ht="16.5" hidden="false" customHeight="false" outlineLevel="0" collapsed="false">
      <c r="B54" s="161" t="n">
        <f aca="false">+B53+1</f>
        <v>50</v>
      </c>
      <c r="C54" s="252" t="s">
        <v>389</v>
      </c>
      <c r="D54" s="266" t="n">
        <v>0.138</v>
      </c>
      <c r="E54" s="254" t="n">
        <v>0.708661417322835</v>
      </c>
      <c r="F54" s="255" t="n">
        <f aca="false">+E54/1000000</f>
        <v>7.08661417322835E-007</v>
      </c>
      <c r="G54" s="253" t="n">
        <v>0.905511811023622</v>
      </c>
      <c r="H54" s="255" t="n">
        <f aca="false">+G54/1000000</f>
        <v>9.05511811023622E-007</v>
      </c>
      <c r="J54" s="256" t="str">
        <f aca="false">C54</f>
        <v>070002</v>
      </c>
      <c r="K54" s="257" t="n">
        <f aca="false">+D54*25.4</f>
        <v>3.5052</v>
      </c>
      <c r="L54" s="258" t="n">
        <f aca="false">+(E54*25.4)/1000</f>
        <v>0.018</v>
      </c>
      <c r="M54" s="259" t="n">
        <f aca="false">+L54*10^-3</f>
        <v>1.8E-005</v>
      </c>
      <c r="N54" s="260" t="n">
        <f aca="false">+(G54*25.4)/1000</f>
        <v>0.023</v>
      </c>
      <c r="O54" s="255" t="n">
        <f aca="false">+N54*10^-3</f>
        <v>2.3E-005</v>
      </c>
      <c r="P54" s="260" t="n">
        <f aca="false">+N54/2</f>
        <v>0.0115</v>
      </c>
      <c r="Q54" s="255" t="n">
        <f aca="false">+(H54*25.4)/2</f>
        <v>1.15E-005</v>
      </c>
      <c r="R54" s="256" t="str">
        <f aca="false">J54</f>
        <v>070002</v>
      </c>
      <c r="S54" s="261" t="n">
        <f aca="false">D54</f>
        <v>0.138</v>
      </c>
      <c r="T54" s="254" t="n">
        <f aca="false">0.4*25.4/1000</f>
        <v>0.01016</v>
      </c>
      <c r="U54" s="254" t="n">
        <v>-0.00508</v>
      </c>
      <c r="V54" s="262" t="n">
        <f aca="false">M54*1000</f>
        <v>0.018</v>
      </c>
      <c r="W54" s="263" t="n">
        <f aca="false">(ABS(U54-V54)/$W$2)*1000</f>
        <v>0.303684210526316</v>
      </c>
      <c r="X54" s="263" t="n">
        <f aca="false">MAX(W54)</f>
        <v>0.303684210526316</v>
      </c>
      <c r="Y54" s="264" t="n">
        <f aca="false">((AVERAGE(W54)*12/1000))</f>
        <v>0.00364421052631579</v>
      </c>
      <c r="Z54" s="265" t="n">
        <f aca="false">(((Y54)*1000)/SQRT(3))</f>
        <v>2.10398592835209</v>
      </c>
      <c r="AA54" s="265" t="n">
        <f aca="false">((0.02)/SQRT(3))*1000</f>
        <v>11.5470053837925</v>
      </c>
      <c r="AB54" s="187"/>
    </row>
    <row r="55" customFormat="false" ht="16.5" hidden="false" customHeight="false" outlineLevel="0" collapsed="false">
      <c r="B55" s="161" t="n">
        <f aca="false">+B54+1</f>
        <v>51</v>
      </c>
      <c r="C55" s="252" t="s">
        <v>362</v>
      </c>
      <c r="D55" s="266" t="n">
        <v>0.139</v>
      </c>
      <c r="E55" s="254" t="n">
        <v>-0.31496062992126</v>
      </c>
      <c r="F55" s="255" t="n">
        <f aca="false">+E55/1000000</f>
        <v>-3.1496062992126E-007</v>
      </c>
      <c r="G55" s="253" t="n">
        <v>0.905511811023622</v>
      </c>
      <c r="H55" s="255" t="n">
        <f aca="false">+G55/1000000</f>
        <v>9.05511811023622E-007</v>
      </c>
      <c r="J55" s="256" t="str">
        <f aca="false">C55</f>
        <v>070017</v>
      </c>
      <c r="K55" s="257" t="n">
        <f aca="false">+D55*25.4</f>
        <v>3.5306</v>
      </c>
      <c r="L55" s="258" t="n">
        <f aca="false">+(E55*25.4)/1000</f>
        <v>-0.008</v>
      </c>
      <c r="M55" s="259" t="n">
        <f aca="false">+L55*10^-3</f>
        <v>-8E-006</v>
      </c>
      <c r="N55" s="260" t="n">
        <f aca="false">+(G55*25.4)/1000</f>
        <v>0.023</v>
      </c>
      <c r="O55" s="255" t="n">
        <f aca="false">+N55*10^-3</f>
        <v>2.3E-005</v>
      </c>
      <c r="P55" s="260" t="n">
        <f aca="false">+N55/2</f>
        <v>0.0115</v>
      </c>
      <c r="Q55" s="255" t="n">
        <f aca="false">+(H55*25.4)/2</f>
        <v>1.15E-005</v>
      </c>
      <c r="R55" s="256" t="str">
        <f aca="false">J55</f>
        <v>070017</v>
      </c>
      <c r="S55" s="261" t="n">
        <f aca="false">D55</f>
        <v>0.139</v>
      </c>
      <c r="T55" s="254" t="n">
        <f aca="false">0.4*25.4/1000</f>
        <v>0.01016</v>
      </c>
      <c r="U55" s="254" t="n">
        <v>-0.02286</v>
      </c>
      <c r="V55" s="262" t="n">
        <f aca="false">M55*1000</f>
        <v>-0.008</v>
      </c>
      <c r="W55" s="263" t="n">
        <f aca="false">(ABS(U55-V55)/$W$2)*1000</f>
        <v>0.195526315789474</v>
      </c>
      <c r="X55" s="263" t="n">
        <f aca="false">MAX(W55)</f>
        <v>0.195526315789474</v>
      </c>
      <c r="Y55" s="264" t="n">
        <f aca="false">((AVERAGE(W55)*12/1000))</f>
        <v>0.00234631578947368</v>
      </c>
      <c r="Z55" s="265" t="n">
        <f aca="false">(((Y55)*1000)/SQRT(3))</f>
        <v>1.3546460526565</v>
      </c>
      <c r="AA55" s="265" t="n">
        <f aca="false">((0.02)/SQRT(3))*1000</f>
        <v>11.5470053837925</v>
      </c>
      <c r="AB55" s="187"/>
    </row>
    <row r="56" customFormat="false" ht="16.5" hidden="false" customHeight="false" outlineLevel="0" collapsed="false">
      <c r="B56" s="161" t="n">
        <f aca="false">+B55+1</f>
        <v>52</v>
      </c>
      <c r="C56" s="252" t="s">
        <v>390</v>
      </c>
      <c r="D56" s="268" t="n">
        <v>0.14</v>
      </c>
      <c r="E56" s="254" t="n">
        <v>0.118110236220472</v>
      </c>
      <c r="F56" s="255" t="n">
        <f aca="false">+E56/1000000</f>
        <v>1.18110236220472E-007</v>
      </c>
      <c r="G56" s="253" t="n">
        <v>0.905511811023622</v>
      </c>
      <c r="H56" s="255" t="n">
        <f aca="false">+G56/1000000</f>
        <v>9.05511811023622E-007</v>
      </c>
      <c r="J56" s="256" t="str">
        <f aca="false">C56</f>
        <v>070037</v>
      </c>
      <c r="K56" s="257" t="n">
        <f aca="false">+D56*25.4</f>
        <v>3.556</v>
      </c>
      <c r="L56" s="258" t="n">
        <f aca="false">+(E56*25.4)/1000</f>
        <v>0.003</v>
      </c>
      <c r="M56" s="259" t="n">
        <f aca="false">+L56*10^-3</f>
        <v>3E-006</v>
      </c>
      <c r="N56" s="260" t="n">
        <f aca="false">+(G56*25.4)/1000</f>
        <v>0.023</v>
      </c>
      <c r="O56" s="255" t="n">
        <f aca="false">+N56*10^-3</f>
        <v>2.3E-005</v>
      </c>
      <c r="P56" s="260" t="n">
        <f aca="false">+N56/2</f>
        <v>0.0115</v>
      </c>
      <c r="Q56" s="255" t="n">
        <f aca="false">+(H56*25.4)/2</f>
        <v>1.15E-005</v>
      </c>
      <c r="R56" s="256" t="str">
        <f aca="false">J56</f>
        <v>070037</v>
      </c>
      <c r="S56" s="261" t="n">
        <f aca="false">D56</f>
        <v>0.14</v>
      </c>
      <c r="T56" s="254" t="n">
        <f aca="false">0.4*25.4/1000</f>
        <v>0.01016</v>
      </c>
      <c r="U56" s="254" t="n">
        <v>-0.0127</v>
      </c>
      <c r="V56" s="262" t="n">
        <f aca="false">M56*1000</f>
        <v>0.003</v>
      </c>
      <c r="W56" s="263" t="n">
        <f aca="false">(ABS(U56-V56)/$W$2)*1000</f>
        <v>0.206578947368421</v>
      </c>
      <c r="X56" s="263" t="n">
        <f aca="false">MAX(W56)</f>
        <v>0.206578947368421</v>
      </c>
      <c r="Y56" s="264" t="n">
        <f aca="false">((AVERAGE(W56)*12/1000))</f>
        <v>0.00247894736842105</v>
      </c>
      <c r="Z56" s="265" t="n">
        <f aca="false">(((Y56)*1000)/SQRT(3))</f>
        <v>1.43122093046481</v>
      </c>
      <c r="AA56" s="265" t="n">
        <f aca="false">((0.02)/SQRT(3))*1000</f>
        <v>11.5470053837925</v>
      </c>
      <c r="AB56" s="187"/>
    </row>
    <row r="57" customFormat="false" ht="16.5" hidden="false" customHeight="false" outlineLevel="0" collapsed="false">
      <c r="B57" s="161" t="n">
        <f aca="false">+B56+1</f>
        <v>53</v>
      </c>
      <c r="C57" s="252" t="s">
        <v>391</v>
      </c>
      <c r="D57" s="266" t="n">
        <v>0.141</v>
      </c>
      <c r="E57" s="254" t="n">
        <v>1.18110236220472</v>
      </c>
      <c r="F57" s="255" t="n">
        <f aca="false">+E57/1000000</f>
        <v>1.18110236220472E-006</v>
      </c>
      <c r="G57" s="253" t="n">
        <v>0.905511811023622</v>
      </c>
      <c r="H57" s="255" t="n">
        <f aca="false">+G57/1000000</f>
        <v>9.05511811023622E-007</v>
      </c>
      <c r="J57" s="256" t="str">
        <f aca="false">C57</f>
        <v>070030</v>
      </c>
      <c r="K57" s="257" t="n">
        <f aca="false">+D57*25.4</f>
        <v>3.5814</v>
      </c>
      <c r="L57" s="258" t="n">
        <f aca="false">+(E57*25.4)/1000</f>
        <v>0.03</v>
      </c>
      <c r="M57" s="259" t="n">
        <f aca="false">+L57*10^-3</f>
        <v>3E-005</v>
      </c>
      <c r="N57" s="260" t="n">
        <f aca="false">+(G57*25.4)/1000</f>
        <v>0.023</v>
      </c>
      <c r="O57" s="255" t="n">
        <f aca="false">+N57*10^-3</f>
        <v>2.3E-005</v>
      </c>
      <c r="P57" s="260" t="n">
        <f aca="false">+N57/2</f>
        <v>0.0115</v>
      </c>
      <c r="Q57" s="255" t="n">
        <f aca="false">+(H57*25.4)/2</f>
        <v>1.15E-005</v>
      </c>
      <c r="R57" s="256" t="str">
        <f aca="false">J57</f>
        <v>070030</v>
      </c>
      <c r="S57" s="261" t="n">
        <f aca="false">D57</f>
        <v>0.141</v>
      </c>
      <c r="T57" s="254" t="n">
        <f aca="false">0.4*25.4/1000</f>
        <v>0.01016</v>
      </c>
      <c r="U57" s="254" t="n">
        <v>0.01524</v>
      </c>
      <c r="V57" s="262" t="n">
        <f aca="false">M57*1000</f>
        <v>0.03</v>
      </c>
      <c r="W57" s="263" t="n">
        <f aca="false">(ABS(U57-V57)/$W$2)*1000</f>
        <v>0.19421052631579</v>
      </c>
      <c r="X57" s="263" t="n">
        <f aca="false">MAX(W57)</f>
        <v>0.19421052631579</v>
      </c>
      <c r="Y57" s="264" t="n">
        <f aca="false">((AVERAGE(W57)*12/1000))</f>
        <v>0.00233052631578947</v>
      </c>
      <c r="Z57" s="265" t="n">
        <f aca="false">(((Y57)*1000)/SQRT(3))</f>
        <v>1.34552999577456</v>
      </c>
      <c r="AA57" s="265" t="n">
        <f aca="false">((0.02)/SQRT(3))*1000</f>
        <v>11.5470053837925</v>
      </c>
      <c r="AB57" s="187"/>
    </row>
    <row r="58" customFormat="false" ht="16.5" hidden="false" customHeight="false" outlineLevel="0" collapsed="false">
      <c r="B58" s="161" t="n">
        <f aca="false">+B57+1</f>
        <v>54</v>
      </c>
      <c r="C58" s="252" t="s">
        <v>385</v>
      </c>
      <c r="D58" s="266" t="n">
        <v>0.142</v>
      </c>
      <c r="E58" s="254" t="n">
        <v>-0.590551181102362</v>
      </c>
      <c r="F58" s="255" t="n">
        <f aca="false">+E58/1000000</f>
        <v>-5.90551181102362E-007</v>
      </c>
      <c r="G58" s="253" t="n">
        <v>0.905511811023622</v>
      </c>
      <c r="H58" s="255" t="n">
        <f aca="false">+G58/1000000</f>
        <v>9.05511811023622E-007</v>
      </c>
      <c r="J58" s="256" t="str">
        <f aca="false">C58</f>
        <v>070019</v>
      </c>
      <c r="K58" s="257" t="n">
        <f aca="false">+D58*25.4</f>
        <v>3.6068</v>
      </c>
      <c r="L58" s="258" t="n">
        <f aca="false">+(E58*25.4)/1000</f>
        <v>-0.015</v>
      </c>
      <c r="M58" s="259" t="n">
        <f aca="false">+L58*10^-3</f>
        <v>-1.5E-005</v>
      </c>
      <c r="N58" s="260" t="n">
        <f aca="false">+(G58*25.4)/1000</f>
        <v>0.023</v>
      </c>
      <c r="O58" s="255" t="n">
        <f aca="false">+N58*10^-3</f>
        <v>2.3E-005</v>
      </c>
      <c r="P58" s="260" t="n">
        <f aca="false">+N58/2</f>
        <v>0.0115</v>
      </c>
      <c r="Q58" s="255" t="n">
        <f aca="false">+(H58*25.4)/2</f>
        <v>1.15E-005</v>
      </c>
      <c r="R58" s="256" t="str">
        <f aca="false">J58</f>
        <v>070019</v>
      </c>
      <c r="S58" s="261" t="n">
        <f aca="false">D58</f>
        <v>0.142</v>
      </c>
      <c r="T58" s="254" t="n">
        <f aca="false">0.4*25.4/1000</f>
        <v>0.01016</v>
      </c>
      <c r="U58" s="254" t="n">
        <v>-0.0254</v>
      </c>
      <c r="V58" s="262" t="n">
        <f aca="false">M58*1000</f>
        <v>-0.015</v>
      </c>
      <c r="W58" s="263" t="n">
        <f aca="false">(ABS(U58-V58)/$W$2)*1000</f>
        <v>0.136842105263158</v>
      </c>
      <c r="X58" s="263" t="n">
        <f aca="false">MAX(W58)</f>
        <v>0.136842105263158</v>
      </c>
      <c r="Y58" s="264" t="n">
        <f aca="false">((AVERAGE(W58)*12/1000))</f>
        <v>0.00164210526315789</v>
      </c>
      <c r="Z58" s="265" t="n">
        <f aca="false">(((Y58)*1000)/SQRT(3))</f>
        <v>0.948069915721912</v>
      </c>
      <c r="AA58" s="265" t="n">
        <f aca="false">((0.02)/SQRT(3))*1000</f>
        <v>11.5470053837925</v>
      </c>
      <c r="AB58" s="187"/>
    </row>
    <row r="59" customFormat="false" ht="16.5" hidden="false" customHeight="false" outlineLevel="0" collapsed="false">
      <c r="B59" s="161" t="n">
        <f aca="false">+B58+1</f>
        <v>55</v>
      </c>
      <c r="C59" s="252" t="s">
        <v>392</v>
      </c>
      <c r="D59" s="266" t="n">
        <v>0.143</v>
      </c>
      <c r="E59" s="254" t="n">
        <v>0.31496062992126</v>
      </c>
      <c r="F59" s="255" t="n">
        <f aca="false">+E59/1000000</f>
        <v>3.1496062992126E-007</v>
      </c>
      <c r="G59" s="253" t="n">
        <v>0.905511811023622</v>
      </c>
      <c r="H59" s="255" t="n">
        <f aca="false">+G59/1000000</f>
        <v>9.05511811023622E-007</v>
      </c>
      <c r="J59" s="256" t="str">
        <f aca="false">C59</f>
        <v>070054</v>
      </c>
      <c r="K59" s="257" t="n">
        <f aca="false">+D59*25.4</f>
        <v>3.6322</v>
      </c>
      <c r="L59" s="258" t="n">
        <f aca="false">+(E59*25.4)/1000</f>
        <v>0.008</v>
      </c>
      <c r="M59" s="259" t="n">
        <f aca="false">+L59*10^-3</f>
        <v>8E-006</v>
      </c>
      <c r="N59" s="260" t="n">
        <f aca="false">+(G59*25.4)/1000</f>
        <v>0.023</v>
      </c>
      <c r="O59" s="255" t="n">
        <f aca="false">+N59*10^-3</f>
        <v>2.3E-005</v>
      </c>
      <c r="P59" s="260" t="n">
        <f aca="false">+N59/2</f>
        <v>0.0115</v>
      </c>
      <c r="Q59" s="255" t="n">
        <f aca="false">+(H59*25.4)/2</f>
        <v>1.15E-005</v>
      </c>
      <c r="R59" s="256" t="str">
        <f aca="false">J59</f>
        <v>070054</v>
      </c>
      <c r="S59" s="261" t="n">
        <f aca="false">D59</f>
        <v>0.143</v>
      </c>
      <c r="T59" s="254" t="n">
        <f aca="false">0.4*25.4/1000</f>
        <v>0.01016</v>
      </c>
      <c r="U59" s="254" t="n">
        <v>-0.00508</v>
      </c>
      <c r="V59" s="262" t="n">
        <f aca="false">M59*1000</f>
        <v>0.008</v>
      </c>
      <c r="W59" s="263" t="n">
        <f aca="false">(ABS(U59-V59)/$W$2)*1000</f>
        <v>0.172105263157895</v>
      </c>
      <c r="X59" s="263" t="n">
        <f aca="false">MAX(W59)</f>
        <v>0.172105263157895</v>
      </c>
      <c r="Y59" s="264" t="n">
        <f aca="false">((AVERAGE(W59)*12/1000))</f>
        <v>0.00206526315789474</v>
      </c>
      <c r="Z59" s="265" t="n">
        <f aca="false">(((Y59)*1000)/SQRT(3))</f>
        <v>1.19238024015794</v>
      </c>
      <c r="AA59" s="265" t="n">
        <f aca="false">((0.02)/SQRT(3))*1000</f>
        <v>11.5470053837925</v>
      </c>
      <c r="AB59" s="187"/>
    </row>
    <row r="60" customFormat="false" ht="16.5" hidden="false" customHeight="false" outlineLevel="0" collapsed="false">
      <c r="B60" s="161" t="n">
        <f aca="false">+B59+1</f>
        <v>56</v>
      </c>
      <c r="C60" s="252" t="s">
        <v>365</v>
      </c>
      <c r="D60" s="266" t="n">
        <v>0.144</v>
      </c>
      <c r="E60" s="254" t="n">
        <v>-0.118110236220472</v>
      </c>
      <c r="F60" s="255" t="n">
        <f aca="false">+E60/1000000</f>
        <v>-1.18110236220472E-007</v>
      </c>
      <c r="G60" s="253" t="n">
        <v>0.905511811023622</v>
      </c>
      <c r="H60" s="255" t="n">
        <f aca="false">+G60/1000000</f>
        <v>9.05511811023622E-007</v>
      </c>
      <c r="J60" s="256" t="str">
        <f aca="false">C60</f>
        <v>060073</v>
      </c>
      <c r="K60" s="257" t="n">
        <f aca="false">+D60*25.4</f>
        <v>3.6576</v>
      </c>
      <c r="L60" s="258" t="n">
        <f aca="false">+(E60*25.4)/1000</f>
        <v>-0.003</v>
      </c>
      <c r="M60" s="259" t="n">
        <f aca="false">+L60*10^-3</f>
        <v>-3E-006</v>
      </c>
      <c r="N60" s="260" t="n">
        <f aca="false">+(G60*25.4)/1000</f>
        <v>0.023</v>
      </c>
      <c r="O60" s="255" t="n">
        <f aca="false">+N60*10^-3</f>
        <v>2.3E-005</v>
      </c>
      <c r="P60" s="260" t="n">
        <f aca="false">+N60/2</f>
        <v>0.0115</v>
      </c>
      <c r="Q60" s="255" t="n">
        <f aca="false">+(H60*25.4)/2</f>
        <v>1.15E-005</v>
      </c>
      <c r="R60" s="256" t="str">
        <f aca="false">J60</f>
        <v>060073</v>
      </c>
      <c r="S60" s="261" t="n">
        <f aca="false">D60</f>
        <v>0.144</v>
      </c>
      <c r="T60" s="254" t="n">
        <f aca="false">0.4*25.4/1000</f>
        <v>0.01016</v>
      </c>
      <c r="U60" s="254" t="n">
        <v>-0.01016</v>
      </c>
      <c r="V60" s="262" t="n">
        <f aca="false">M60*1000</f>
        <v>-0.003</v>
      </c>
      <c r="W60" s="263" t="n">
        <f aca="false">(ABS(U60-V60)/$W$2)*1000</f>
        <v>0.0942105263157895</v>
      </c>
      <c r="X60" s="263" t="n">
        <f aca="false">MAX(W60)</f>
        <v>0.0942105263157895</v>
      </c>
      <c r="Y60" s="264" t="n">
        <f aca="false">((AVERAGE(W60)*12/1000))</f>
        <v>0.00113052631578947</v>
      </c>
      <c r="Z60" s="265" t="n">
        <f aca="false">(((Y60)*1000)/SQRT(3))</f>
        <v>0.652709672747009</v>
      </c>
      <c r="AA60" s="265" t="n">
        <f aca="false">((0.02)/SQRT(3))*1000</f>
        <v>11.5470053837925</v>
      </c>
      <c r="AB60" s="187"/>
    </row>
    <row r="61" customFormat="false" ht="16.5" hidden="false" customHeight="false" outlineLevel="0" collapsed="false">
      <c r="B61" s="161" t="n">
        <f aca="false">+B60+1</f>
        <v>57</v>
      </c>
      <c r="C61" s="252" t="s">
        <v>365</v>
      </c>
      <c r="D61" s="266" t="n">
        <v>0.145</v>
      </c>
      <c r="E61" s="254" t="n">
        <v>2.08661417322835</v>
      </c>
      <c r="F61" s="255" t="n">
        <f aca="false">+E61/1000000</f>
        <v>2.08661417322835E-006</v>
      </c>
      <c r="G61" s="253" t="n">
        <v>0.905511811023622</v>
      </c>
      <c r="H61" s="255" t="n">
        <f aca="false">+G61/1000000</f>
        <v>9.05511811023622E-007</v>
      </c>
      <c r="J61" s="256" t="str">
        <f aca="false">C61</f>
        <v>060073</v>
      </c>
      <c r="K61" s="257" t="n">
        <f aca="false">+D61*25.4</f>
        <v>3.683</v>
      </c>
      <c r="L61" s="258" t="n">
        <f aca="false">+(E61*25.4)/1000</f>
        <v>0.053</v>
      </c>
      <c r="M61" s="259" t="n">
        <f aca="false">+L61*10^-3</f>
        <v>5.3E-005</v>
      </c>
      <c r="N61" s="260" t="n">
        <f aca="false">+(G61*25.4)/1000</f>
        <v>0.023</v>
      </c>
      <c r="O61" s="255" t="n">
        <f aca="false">+N61*10^-3</f>
        <v>2.3E-005</v>
      </c>
      <c r="P61" s="260" t="n">
        <f aca="false">+N61/2</f>
        <v>0.0115</v>
      </c>
      <c r="Q61" s="255" t="n">
        <f aca="false">+(H61*25.4)/2</f>
        <v>1.15E-005</v>
      </c>
      <c r="R61" s="256" t="str">
        <f aca="false">J61</f>
        <v>060073</v>
      </c>
      <c r="S61" s="261" t="n">
        <f aca="false">D61</f>
        <v>0.145</v>
      </c>
      <c r="T61" s="254" t="n">
        <f aca="false">0.4*25.4/1000</f>
        <v>0.01016</v>
      </c>
      <c r="U61" s="254" t="n">
        <v>0.0381</v>
      </c>
      <c r="V61" s="262" t="n">
        <f aca="false">M61*1000</f>
        <v>0.053</v>
      </c>
      <c r="W61" s="263" t="n">
        <f aca="false">(ABS(U61-V61)/$W$2)*1000</f>
        <v>0.196052631578948</v>
      </c>
      <c r="X61" s="263" t="n">
        <f aca="false">MAX(W61)</f>
        <v>0.196052631578948</v>
      </c>
      <c r="Y61" s="264" t="n">
        <f aca="false">((AVERAGE(W61)*12/1000))</f>
        <v>0.00235263157894737</v>
      </c>
      <c r="Z61" s="265" t="n">
        <f aca="false">(((Y61)*1000)/SQRT(3))</f>
        <v>1.35829247540928</v>
      </c>
      <c r="AA61" s="265" t="n">
        <f aca="false">((0.02)/SQRT(3))*1000</f>
        <v>11.5470053837925</v>
      </c>
      <c r="AB61" s="187"/>
    </row>
    <row r="62" customFormat="false" ht="16.5" hidden="false" customHeight="false" outlineLevel="0" collapsed="false">
      <c r="B62" s="161" t="n">
        <f aca="false">+B61+1</f>
        <v>58</v>
      </c>
      <c r="C62" s="252" t="s">
        <v>359</v>
      </c>
      <c r="D62" s="266" t="n">
        <v>0.146</v>
      </c>
      <c r="E62" s="254" t="n">
        <v>2.00787401574803</v>
      </c>
      <c r="F62" s="255" t="n">
        <f aca="false">+E62/1000000</f>
        <v>2.00787401574803E-006</v>
      </c>
      <c r="G62" s="253" t="n">
        <v>0.905511811023622</v>
      </c>
      <c r="H62" s="255" t="n">
        <f aca="false">+G62/1000000</f>
        <v>9.05511811023622E-007</v>
      </c>
      <c r="J62" s="256" t="str">
        <f aca="false">C62</f>
        <v>070008</v>
      </c>
      <c r="K62" s="257" t="n">
        <f aca="false">+D62*25.4</f>
        <v>3.7084</v>
      </c>
      <c r="L62" s="258" t="n">
        <f aca="false">+(E62*25.4)/1000</f>
        <v>0.051</v>
      </c>
      <c r="M62" s="259" t="n">
        <f aca="false">+L62*10^-3</f>
        <v>5.1E-005</v>
      </c>
      <c r="N62" s="260" t="n">
        <f aca="false">+(G62*25.4)/1000</f>
        <v>0.023</v>
      </c>
      <c r="O62" s="255" t="n">
        <f aca="false">+N62*10^-3</f>
        <v>2.3E-005</v>
      </c>
      <c r="P62" s="260" t="n">
        <f aca="false">+N62/2</f>
        <v>0.0115</v>
      </c>
      <c r="Q62" s="255" t="n">
        <f aca="false">+(H62*25.4)/2</f>
        <v>1.15E-005</v>
      </c>
      <c r="R62" s="256" t="str">
        <f aca="false">J62</f>
        <v>070008</v>
      </c>
      <c r="S62" s="261" t="n">
        <f aca="false">D62</f>
        <v>0.146</v>
      </c>
      <c r="T62" s="254" t="n">
        <f aca="false">0.4*25.4/1000</f>
        <v>0.01016</v>
      </c>
      <c r="U62" s="254" t="n">
        <v>0.04064</v>
      </c>
      <c r="V62" s="262" t="n">
        <f aca="false">M62*1000</f>
        <v>0.051</v>
      </c>
      <c r="W62" s="263" t="n">
        <f aca="false">(ABS(U62-V62)/$W$2)*1000</f>
        <v>0.136315789473684</v>
      </c>
      <c r="X62" s="263" t="n">
        <f aca="false">MAX(W62)</f>
        <v>0.136315789473684</v>
      </c>
      <c r="Y62" s="264" t="n">
        <f aca="false">((AVERAGE(W62)*12/1000))</f>
        <v>0.00163578947368421</v>
      </c>
      <c r="Z62" s="265" t="n">
        <f aca="false">(((Y62)*1000)/SQRT(3))</f>
        <v>0.944423492969135</v>
      </c>
      <c r="AA62" s="265" t="n">
        <f aca="false">((0.02)/SQRT(3))*1000</f>
        <v>11.5470053837925</v>
      </c>
      <c r="AB62" s="187"/>
    </row>
    <row r="63" customFormat="false" ht="16.5" hidden="false" customHeight="false" outlineLevel="0" collapsed="false">
      <c r="B63" s="161" t="n">
        <f aca="false">+B62+1</f>
        <v>59</v>
      </c>
      <c r="C63" s="252" t="s">
        <v>375</v>
      </c>
      <c r="D63" s="266" t="n">
        <v>0.147</v>
      </c>
      <c r="E63" s="254" t="n">
        <v>1.18110236220472</v>
      </c>
      <c r="F63" s="255" t="n">
        <f aca="false">+E63/1000000</f>
        <v>1.18110236220472E-006</v>
      </c>
      <c r="G63" s="253" t="n">
        <v>0.905511811023622</v>
      </c>
      <c r="H63" s="255" t="n">
        <f aca="false">+G63/1000000</f>
        <v>9.05511811023622E-007</v>
      </c>
      <c r="J63" s="256" t="str">
        <f aca="false">C63</f>
        <v>070027</v>
      </c>
      <c r="K63" s="257" t="n">
        <f aca="false">+D63*25.4</f>
        <v>3.7338</v>
      </c>
      <c r="L63" s="258" t="n">
        <f aca="false">+(E63*25.4)/1000</f>
        <v>0.03</v>
      </c>
      <c r="M63" s="259" t="n">
        <f aca="false">+L63*10^-3</f>
        <v>3E-005</v>
      </c>
      <c r="N63" s="260" t="n">
        <f aca="false">+(G63*25.4)/1000</f>
        <v>0.023</v>
      </c>
      <c r="O63" s="255" t="n">
        <f aca="false">+N63*10^-3</f>
        <v>2.3E-005</v>
      </c>
      <c r="P63" s="260" t="n">
        <f aca="false">+N63/2</f>
        <v>0.0115</v>
      </c>
      <c r="Q63" s="255" t="n">
        <f aca="false">+(H63*25.4)/2</f>
        <v>1.15E-005</v>
      </c>
      <c r="R63" s="256" t="str">
        <f aca="false">J63</f>
        <v>070027</v>
      </c>
      <c r="S63" s="261" t="n">
        <f aca="false">D63</f>
        <v>0.147</v>
      </c>
      <c r="T63" s="254" t="n">
        <f aca="false">0.4*25.4/1000</f>
        <v>0.01016</v>
      </c>
      <c r="U63" s="254" t="n">
        <v>0.02286</v>
      </c>
      <c r="V63" s="262" t="n">
        <f aca="false">M63*1000</f>
        <v>0.03</v>
      </c>
      <c r="W63" s="263" t="n">
        <f aca="false">(ABS(U63-V63)/$W$2)*1000</f>
        <v>0.0939473684210527</v>
      </c>
      <c r="X63" s="263" t="n">
        <f aca="false">MAX(W63)</f>
        <v>0.0939473684210527</v>
      </c>
      <c r="Y63" s="264" t="n">
        <f aca="false">((AVERAGE(W63)*12/1000))</f>
        <v>0.00112736842105263</v>
      </c>
      <c r="Z63" s="265" t="n">
        <f aca="false">(((Y63)*1000)/SQRT(3))</f>
        <v>0.650886461370621</v>
      </c>
      <c r="AA63" s="265" t="n">
        <f aca="false">((0.02)/SQRT(3))*1000</f>
        <v>11.5470053837925</v>
      </c>
      <c r="AB63" s="187"/>
    </row>
    <row r="64" customFormat="false" ht="16.5" hidden="false" customHeight="false" outlineLevel="0" collapsed="false">
      <c r="B64" s="161" t="n">
        <f aca="false">+B63+1</f>
        <v>60</v>
      </c>
      <c r="C64" s="252" t="s">
        <v>366</v>
      </c>
      <c r="D64" s="266" t="n">
        <v>0.148</v>
      </c>
      <c r="E64" s="254" t="n">
        <v>1.49606299212598</v>
      </c>
      <c r="F64" s="255" t="n">
        <f aca="false">+E64/1000000</f>
        <v>1.49606299212598E-006</v>
      </c>
      <c r="G64" s="253" t="n">
        <v>0.905511811023622</v>
      </c>
      <c r="H64" s="255" t="n">
        <f aca="false">+G64/1000000</f>
        <v>9.05511811023622E-007</v>
      </c>
      <c r="J64" s="256" t="str">
        <f aca="false">C64</f>
        <v>070024</v>
      </c>
      <c r="K64" s="257" t="n">
        <f aca="false">+D64*25.4</f>
        <v>3.7592</v>
      </c>
      <c r="L64" s="258" t="n">
        <f aca="false">+(E64*25.4)/1000</f>
        <v>0.038</v>
      </c>
      <c r="M64" s="259" t="n">
        <f aca="false">+L64*10^-3</f>
        <v>3.8E-005</v>
      </c>
      <c r="N64" s="260" t="n">
        <f aca="false">+(G64*25.4)/1000</f>
        <v>0.023</v>
      </c>
      <c r="O64" s="255" t="n">
        <f aca="false">+N64*10^-3</f>
        <v>2.3E-005</v>
      </c>
      <c r="P64" s="260" t="n">
        <f aca="false">+N64/2</f>
        <v>0.0115</v>
      </c>
      <c r="Q64" s="255" t="n">
        <f aca="false">+(H64*25.4)/2</f>
        <v>1.15E-005</v>
      </c>
      <c r="R64" s="256" t="str">
        <f aca="false">J64</f>
        <v>070024</v>
      </c>
      <c r="S64" s="261" t="n">
        <f aca="false">D64</f>
        <v>0.148</v>
      </c>
      <c r="T64" s="254" t="n">
        <f aca="false">0.4*25.4/1000</f>
        <v>0.01016</v>
      </c>
      <c r="U64" s="254" t="n">
        <v>0.0381</v>
      </c>
      <c r="V64" s="262" t="n">
        <f aca="false">M64*1000</f>
        <v>0.038</v>
      </c>
      <c r="W64" s="263" t="n">
        <f aca="false">(ABS(U64-V64)/$W$2)*1000</f>
        <v>0.00131578947368416</v>
      </c>
      <c r="X64" s="263" t="n">
        <f aca="false">MAX(W64)</f>
        <v>0.00131578947368416</v>
      </c>
      <c r="Y64" s="264" t="n">
        <f aca="false">((AVERAGE(W64)*12/1000))</f>
        <v>1.57894736842099E-005</v>
      </c>
      <c r="Z64" s="265" t="n">
        <f aca="false">(((Y64)*1000)/SQRT(3))</f>
        <v>0.00911605688194109</v>
      </c>
      <c r="AA64" s="265" t="n">
        <f aca="false">((0.02)/SQRT(3))*1000</f>
        <v>11.5470053837925</v>
      </c>
      <c r="AB64" s="187"/>
    </row>
    <row r="65" customFormat="false" ht="16.5" hidden="false" customHeight="false" outlineLevel="0" collapsed="false">
      <c r="B65" s="161" t="n">
        <f aca="false">+B64+1</f>
        <v>61</v>
      </c>
      <c r="C65" s="252" t="s">
        <v>393</v>
      </c>
      <c r="D65" s="266" t="n">
        <v>0.149</v>
      </c>
      <c r="E65" s="254" t="n">
        <v>-1.2992125984252</v>
      </c>
      <c r="F65" s="255" t="n">
        <f aca="false">+E65/1000000</f>
        <v>-1.2992125984252E-006</v>
      </c>
      <c r="G65" s="253" t="n">
        <v>0.905511811023622</v>
      </c>
      <c r="H65" s="255" t="n">
        <f aca="false">+G65/1000000</f>
        <v>9.05511811023622E-007</v>
      </c>
      <c r="J65" s="256" t="str">
        <f aca="false">C65</f>
        <v>070071</v>
      </c>
      <c r="K65" s="257" t="n">
        <f aca="false">+D65*25.4</f>
        <v>3.7846</v>
      </c>
      <c r="L65" s="258" t="n">
        <f aca="false">+(E65*25.4)/1000</f>
        <v>-0.033</v>
      </c>
      <c r="M65" s="259" t="n">
        <f aca="false">+L65*10^-3</f>
        <v>-3.3E-005</v>
      </c>
      <c r="N65" s="260" t="n">
        <f aca="false">+(G65*25.4)/1000</f>
        <v>0.023</v>
      </c>
      <c r="O65" s="255" t="n">
        <f aca="false">+N65*10^-3</f>
        <v>2.3E-005</v>
      </c>
      <c r="P65" s="260" t="n">
        <f aca="false">+N65/2</f>
        <v>0.0115</v>
      </c>
      <c r="Q65" s="255" t="n">
        <f aca="false">+(H65*25.4)/2</f>
        <v>1.15E-005</v>
      </c>
      <c r="R65" s="256" t="str">
        <f aca="false">J65</f>
        <v>070071</v>
      </c>
      <c r="S65" s="261" t="n">
        <f aca="false">D65</f>
        <v>0.149</v>
      </c>
      <c r="T65" s="254" t="n">
        <f aca="false">0.4*25.4/1000</f>
        <v>0.01016</v>
      </c>
      <c r="U65" s="254" t="n">
        <v>-0.04826</v>
      </c>
      <c r="V65" s="262" t="n">
        <f aca="false">M65*1000</f>
        <v>-0.033</v>
      </c>
      <c r="W65" s="263" t="n">
        <f aca="false">(ABS(U65-V65)/$W$2)*1000</f>
        <v>0.20078947368421</v>
      </c>
      <c r="X65" s="263" t="n">
        <f aca="false">MAX(W65)</f>
        <v>0.20078947368421</v>
      </c>
      <c r="Y65" s="264" t="n">
        <f aca="false">((AVERAGE(W65)*12/1000))</f>
        <v>0.00240947368421053</v>
      </c>
      <c r="Z65" s="265" t="n">
        <f aca="false">(((Y65)*1000)/SQRT(3))</f>
        <v>1.39111028018427</v>
      </c>
      <c r="AA65" s="265" t="n">
        <f aca="false">((0.02)/SQRT(3))*1000</f>
        <v>11.5470053837925</v>
      </c>
      <c r="AB65" s="187"/>
    </row>
    <row r="66" customFormat="false" ht="16.5" hidden="false" customHeight="false" outlineLevel="0" collapsed="false">
      <c r="B66" s="161" t="n">
        <f aca="false">+B65+1</f>
        <v>62</v>
      </c>
      <c r="C66" s="252" t="s">
        <v>394</v>
      </c>
      <c r="D66" s="268" t="n">
        <v>0.15</v>
      </c>
      <c r="E66" s="254" t="n">
        <v>-0.708661417322835</v>
      </c>
      <c r="F66" s="255" t="n">
        <f aca="false">+E66/1000000</f>
        <v>-7.08661417322835E-007</v>
      </c>
      <c r="G66" s="253" t="n">
        <v>0.905511811023622</v>
      </c>
      <c r="H66" s="255" t="n">
        <f aca="false">+G66/1000000</f>
        <v>9.05511811023622E-007</v>
      </c>
      <c r="J66" s="256" t="str">
        <f aca="false">C66</f>
        <v>070046</v>
      </c>
      <c r="K66" s="257" t="n">
        <f aca="false">+D66*25.4</f>
        <v>3.81</v>
      </c>
      <c r="L66" s="258" t="n">
        <f aca="false">+(E66*25.4)/1000</f>
        <v>-0.018</v>
      </c>
      <c r="M66" s="259" t="n">
        <f aca="false">+L66*10^-3</f>
        <v>-1.8E-005</v>
      </c>
      <c r="N66" s="260" t="n">
        <f aca="false">+(G66*25.4)/1000</f>
        <v>0.023</v>
      </c>
      <c r="O66" s="255" t="n">
        <f aca="false">+N66*10^-3</f>
        <v>2.3E-005</v>
      </c>
      <c r="P66" s="260" t="n">
        <f aca="false">+N66/2</f>
        <v>0.0115</v>
      </c>
      <c r="Q66" s="255" t="n">
        <f aca="false">+(H66*25.4)/2</f>
        <v>1.15E-005</v>
      </c>
      <c r="R66" s="256" t="str">
        <f aca="false">J66</f>
        <v>070046</v>
      </c>
      <c r="S66" s="261" t="n">
        <f aca="false">D66</f>
        <v>0.15</v>
      </c>
      <c r="T66" s="254" t="n">
        <f aca="false">0.4*25.4/1000</f>
        <v>0.01016</v>
      </c>
      <c r="U66" s="254" t="n">
        <v>-0.03302</v>
      </c>
      <c r="V66" s="262" t="n">
        <f aca="false">M66*1000</f>
        <v>-0.018</v>
      </c>
      <c r="W66" s="263" t="n">
        <f aca="false">(ABS(U66-V66)/$W$2)*1000</f>
        <v>0.197631578947368</v>
      </c>
      <c r="X66" s="263" t="n">
        <f aca="false">MAX(W66)</f>
        <v>0.197631578947368</v>
      </c>
      <c r="Y66" s="264" t="n">
        <f aca="false">((AVERAGE(W66)*12/1000))</f>
        <v>0.00237157894736842</v>
      </c>
      <c r="Z66" s="265" t="n">
        <f aca="false">(((Y66)*1000)/SQRT(3))</f>
        <v>1.36923174366761</v>
      </c>
      <c r="AA66" s="265" t="n">
        <f aca="false">((0.02)/SQRT(3))*1000</f>
        <v>11.5470053837925</v>
      </c>
      <c r="AB66" s="187"/>
    </row>
    <row r="67" customFormat="false" ht="16.5" hidden="false" customHeight="false" outlineLevel="0" collapsed="false">
      <c r="B67" s="161" t="n">
        <f aca="false">+B66+1</f>
        <v>63</v>
      </c>
      <c r="C67" s="252" t="s">
        <v>395</v>
      </c>
      <c r="D67" s="253" t="n">
        <v>0.2</v>
      </c>
      <c r="E67" s="254" t="n">
        <v>1.88976377952756</v>
      </c>
      <c r="F67" s="255" t="n">
        <f aca="false">+E67/1000000</f>
        <v>1.88976377952756E-006</v>
      </c>
      <c r="G67" s="253" t="n">
        <v>0.905511811023622</v>
      </c>
      <c r="H67" s="255" t="n">
        <f aca="false">+G67/1000000</f>
        <v>9.05511811023622E-007</v>
      </c>
      <c r="J67" s="256" t="str">
        <f aca="false">C67</f>
        <v>043350</v>
      </c>
      <c r="K67" s="257" t="n">
        <f aca="false">+D67*25.4</f>
        <v>5.08</v>
      </c>
      <c r="L67" s="258" t="n">
        <f aca="false">+(E67*25.4)/1000</f>
        <v>0.048</v>
      </c>
      <c r="M67" s="259" t="n">
        <f aca="false">+L67*10^-3</f>
        <v>4.8E-005</v>
      </c>
      <c r="N67" s="260" t="n">
        <f aca="false">+(G67*25.4)/1000</f>
        <v>0.023</v>
      </c>
      <c r="O67" s="255" t="n">
        <f aca="false">+N67*10^-3</f>
        <v>2.3E-005</v>
      </c>
      <c r="P67" s="260" t="n">
        <f aca="false">+N67/2</f>
        <v>0.0115</v>
      </c>
      <c r="Q67" s="255" t="n">
        <f aca="false">+(H67*25.4)/2</f>
        <v>1.15E-005</v>
      </c>
      <c r="R67" s="256" t="str">
        <f aca="false">J67</f>
        <v>043350</v>
      </c>
      <c r="S67" s="261" t="n">
        <f aca="false">D67</f>
        <v>0.2</v>
      </c>
      <c r="T67" s="254" t="n">
        <f aca="false">0.4*25.4/1000</f>
        <v>0.01016</v>
      </c>
      <c r="U67" s="254" t="n">
        <v>0.02794</v>
      </c>
      <c r="V67" s="262" t="n">
        <f aca="false">M67*1000</f>
        <v>0.048</v>
      </c>
      <c r="W67" s="263" t="n">
        <f aca="false">(ABS(U67-V67)/$W$2)*1000</f>
        <v>0.263947368421053</v>
      </c>
      <c r="X67" s="263" t="n">
        <f aca="false">MAX(W67)</f>
        <v>0.263947368421053</v>
      </c>
      <c r="Y67" s="264" t="n">
        <f aca="false">((AVERAGE(W67)*12/1000))</f>
        <v>0.00316736842105263</v>
      </c>
      <c r="Z67" s="265" t="n">
        <f aca="false">(((Y67)*1000)/SQRT(3))</f>
        <v>1.82868101051746</v>
      </c>
      <c r="AA67" s="265" t="n">
        <f aca="false">((0.02)/SQRT(3))*1000</f>
        <v>11.5470053837925</v>
      </c>
      <c r="AB67" s="187"/>
    </row>
    <row r="68" customFormat="false" ht="16.5" hidden="false" customHeight="false" outlineLevel="0" collapsed="false">
      <c r="B68" s="161" t="n">
        <f aca="false">+B67+1</f>
        <v>64</v>
      </c>
      <c r="C68" s="252" t="s">
        <v>358</v>
      </c>
      <c r="D68" s="253" t="n">
        <v>0.25</v>
      </c>
      <c r="E68" s="254" t="n">
        <v>1.18110236220472</v>
      </c>
      <c r="F68" s="255" t="n">
        <f aca="false">+E68/1000000</f>
        <v>1.18110236220472E-006</v>
      </c>
      <c r="G68" s="253" t="n">
        <v>0.905511811023622</v>
      </c>
      <c r="H68" s="255" t="n">
        <f aca="false">+G68/1000000</f>
        <v>9.05511811023622E-007</v>
      </c>
      <c r="J68" s="256" t="str">
        <f aca="false">C68</f>
        <v>070006</v>
      </c>
      <c r="K68" s="257" t="n">
        <f aca="false">+D68*25.4</f>
        <v>6.35</v>
      </c>
      <c r="L68" s="258" t="n">
        <f aca="false">+(E68*25.4)/1000</f>
        <v>0.03</v>
      </c>
      <c r="M68" s="259" t="n">
        <f aca="false">+L68*10^-3</f>
        <v>3E-005</v>
      </c>
      <c r="N68" s="260" t="n">
        <f aca="false">+(G68*25.4)/1000</f>
        <v>0.023</v>
      </c>
      <c r="O68" s="255" t="n">
        <f aca="false">+N68*10^-3</f>
        <v>2.3E-005</v>
      </c>
      <c r="P68" s="260" t="n">
        <f aca="false">+N68/2</f>
        <v>0.0115</v>
      </c>
      <c r="Q68" s="255" t="n">
        <f aca="false">+(H68*25.4)/2</f>
        <v>1.15E-005</v>
      </c>
      <c r="R68" s="256" t="str">
        <f aca="false">J68</f>
        <v>070006</v>
      </c>
      <c r="S68" s="261" t="n">
        <f aca="false">D68</f>
        <v>0.25</v>
      </c>
      <c r="T68" s="254" t="n">
        <f aca="false">0.4*25.4/1000</f>
        <v>0.01016</v>
      </c>
      <c r="U68" s="254" t="n">
        <v>0.01778</v>
      </c>
      <c r="V68" s="262" t="n">
        <f aca="false">M68*1000</f>
        <v>0.03</v>
      </c>
      <c r="W68" s="263" t="n">
        <f aca="false">(ABS(U68-V68)/$W$2)*1000</f>
        <v>0.160789473684211</v>
      </c>
      <c r="X68" s="263" t="n">
        <f aca="false">MAX(W68)</f>
        <v>0.160789473684211</v>
      </c>
      <c r="Y68" s="264" t="n">
        <f aca="false">((AVERAGE(W68)*12/1000))</f>
        <v>0.00192947368421053</v>
      </c>
      <c r="Z68" s="265" t="n">
        <f aca="false">(((Y68)*1000)/SQRT(3))</f>
        <v>1.11398215097325</v>
      </c>
      <c r="AA68" s="265" t="n">
        <f aca="false">((0.02)/SQRT(3))*1000</f>
        <v>11.5470053837925</v>
      </c>
      <c r="AB68" s="187"/>
    </row>
    <row r="69" customFormat="false" ht="16.5" hidden="false" customHeight="false" outlineLevel="0" collapsed="false">
      <c r="B69" s="161" t="n">
        <f aca="false">+B68+1</f>
        <v>65</v>
      </c>
      <c r="C69" s="252" t="s">
        <v>396</v>
      </c>
      <c r="D69" s="253" t="n">
        <v>0.3</v>
      </c>
      <c r="E69" s="254" t="n">
        <v>2.51968503937008</v>
      </c>
      <c r="F69" s="255" t="n">
        <f aca="false">+E69/1000000</f>
        <v>2.51968503937008E-006</v>
      </c>
      <c r="G69" s="253" t="n">
        <v>0.905511811023622</v>
      </c>
      <c r="H69" s="255" t="n">
        <f aca="false">+G69/1000000</f>
        <v>9.05511811023622E-007</v>
      </c>
      <c r="J69" s="256" t="str">
        <f aca="false">C69</f>
        <v>043478</v>
      </c>
      <c r="K69" s="257" t="n">
        <f aca="false">+D69*25.4</f>
        <v>7.62</v>
      </c>
      <c r="L69" s="258" t="n">
        <f aca="false">+(E69*25.4)/1000</f>
        <v>0.064</v>
      </c>
      <c r="M69" s="259" t="n">
        <f aca="false">+L69*10^-3</f>
        <v>6.4E-005</v>
      </c>
      <c r="N69" s="260" t="n">
        <f aca="false">+(G69*25.4)/1000</f>
        <v>0.023</v>
      </c>
      <c r="O69" s="255" t="n">
        <f aca="false">+N69*10^-3</f>
        <v>2.3E-005</v>
      </c>
      <c r="P69" s="260" t="n">
        <f aca="false">+N69/2</f>
        <v>0.0115</v>
      </c>
      <c r="Q69" s="255" t="n">
        <f aca="false">+(H69*25.4)/2</f>
        <v>1.15E-005</v>
      </c>
      <c r="R69" s="256" t="str">
        <f aca="false">J69</f>
        <v>043478</v>
      </c>
      <c r="S69" s="261" t="n">
        <f aca="false">D69</f>
        <v>0.3</v>
      </c>
      <c r="T69" s="254" t="n">
        <f aca="false">0.4*25.4/1000</f>
        <v>0.01016</v>
      </c>
      <c r="U69" s="254" t="n">
        <v>0.04572</v>
      </c>
      <c r="V69" s="262" t="n">
        <f aca="false">M69*1000</f>
        <v>0.064</v>
      </c>
      <c r="W69" s="263" t="n">
        <f aca="false">(ABS(U69-V69)/$W$2)*1000</f>
        <v>0.240526315789474</v>
      </c>
      <c r="X69" s="263" t="n">
        <f aca="false">MAX(W69)</f>
        <v>0.240526315789474</v>
      </c>
      <c r="Y69" s="264" t="n">
        <f aca="false">((AVERAGE(W69)*12/1000))</f>
        <v>0.00288631578947368</v>
      </c>
      <c r="Z69" s="265" t="n">
        <f aca="false">(((Y69)*1000)/SQRT(3))</f>
        <v>1.6664151980189</v>
      </c>
      <c r="AA69" s="265" t="n">
        <f aca="false">((0.02)/SQRT(3))*1000</f>
        <v>11.5470053837925</v>
      </c>
      <c r="AB69" s="187"/>
    </row>
    <row r="70" customFormat="false" ht="16.5" hidden="false" customHeight="false" outlineLevel="0" collapsed="false">
      <c r="B70" s="161" t="n">
        <f aca="false">+B69+1</f>
        <v>66</v>
      </c>
      <c r="C70" s="252" t="s">
        <v>359</v>
      </c>
      <c r="D70" s="253" t="n">
        <v>0.35</v>
      </c>
      <c r="E70" s="254" t="n">
        <v>0.393700787401575</v>
      </c>
      <c r="F70" s="255" t="n">
        <f aca="false">+E70/1000000</f>
        <v>3.93700787401575E-007</v>
      </c>
      <c r="G70" s="253" t="n">
        <v>0.905511811023622</v>
      </c>
      <c r="H70" s="255" t="n">
        <f aca="false">+G70/1000000</f>
        <v>9.05511811023622E-007</v>
      </c>
      <c r="J70" s="256" t="str">
        <f aca="false">C70</f>
        <v>070008</v>
      </c>
      <c r="K70" s="257" t="n">
        <f aca="false">+D70*25.4</f>
        <v>8.89</v>
      </c>
      <c r="L70" s="258" t="n">
        <f aca="false">+(E70*25.4)/1000</f>
        <v>0.01</v>
      </c>
      <c r="M70" s="259" t="n">
        <f aca="false">+L70*10^-3</f>
        <v>1E-005</v>
      </c>
      <c r="N70" s="260" t="n">
        <f aca="false">+(G70*25.4)/1000</f>
        <v>0.023</v>
      </c>
      <c r="O70" s="255" t="n">
        <f aca="false">+N70*10^-3</f>
        <v>2.3E-005</v>
      </c>
      <c r="P70" s="260" t="n">
        <f aca="false">+N70/2</f>
        <v>0.0115</v>
      </c>
      <c r="Q70" s="255" t="n">
        <f aca="false">+(H70*25.4)/2</f>
        <v>1.15E-005</v>
      </c>
      <c r="R70" s="256" t="str">
        <f aca="false">J70</f>
        <v>070008</v>
      </c>
      <c r="S70" s="261" t="n">
        <f aca="false">D70</f>
        <v>0.35</v>
      </c>
      <c r="T70" s="254" t="n">
        <f aca="false">0.4*25.4/1000</f>
        <v>0.01016</v>
      </c>
      <c r="U70" s="254" t="n">
        <v>0.00508</v>
      </c>
      <c r="V70" s="262" t="n">
        <f aca="false">M70*1000</f>
        <v>0.01</v>
      </c>
      <c r="W70" s="263" t="n">
        <f aca="false">(ABS(U70-V70)/$W$2)*1000</f>
        <v>0.0647368421052632</v>
      </c>
      <c r="X70" s="263" t="n">
        <f aca="false">MAX(W70)</f>
        <v>0.0647368421052632</v>
      </c>
      <c r="Y70" s="264" t="n">
        <f aca="false">((AVERAGE(W70)*12/1000))</f>
        <v>0.000776842105263158</v>
      </c>
      <c r="Z70" s="265" t="n">
        <f aca="false">(((Y70)*1000)/SQRT(3))</f>
        <v>0.44850999859152</v>
      </c>
      <c r="AA70" s="265" t="n">
        <f aca="false">((0.02)/SQRT(3))*1000</f>
        <v>11.5470053837925</v>
      </c>
      <c r="AB70" s="187"/>
    </row>
    <row r="71" customFormat="false" ht="16.5" hidden="false" customHeight="false" outlineLevel="0" collapsed="false">
      <c r="B71" s="161" t="n">
        <f aca="false">+B70+1</f>
        <v>67</v>
      </c>
      <c r="C71" s="252" t="s">
        <v>359</v>
      </c>
      <c r="D71" s="253" t="n">
        <v>0.4</v>
      </c>
      <c r="E71" s="254" t="n">
        <v>0.511811023622047</v>
      </c>
      <c r="F71" s="255" t="n">
        <f aca="false">+E71/1000000</f>
        <v>5.11811023622047E-007</v>
      </c>
      <c r="G71" s="253" t="n">
        <v>0.905511811023622</v>
      </c>
      <c r="H71" s="255" t="n">
        <f aca="false">+G71/1000000</f>
        <v>9.05511811023622E-007</v>
      </c>
      <c r="J71" s="256" t="str">
        <f aca="false">C71</f>
        <v>070008</v>
      </c>
      <c r="K71" s="257" t="n">
        <f aca="false">+D71*25.4</f>
        <v>10.16</v>
      </c>
      <c r="L71" s="258" t="n">
        <f aca="false">+(E71*25.4)/1000</f>
        <v>0.013</v>
      </c>
      <c r="M71" s="259" t="n">
        <f aca="false">+L71*10^-3</f>
        <v>1.3E-005</v>
      </c>
      <c r="N71" s="260" t="n">
        <f aca="false">+(G71*25.4)/1000</f>
        <v>0.023</v>
      </c>
      <c r="O71" s="255" t="n">
        <f aca="false">+N71*10^-3</f>
        <v>2.3E-005</v>
      </c>
      <c r="P71" s="260" t="n">
        <f aca="false">+N71/2</f>
        <v>0.0115</v>
      </c>
      <c r="Q71" s="255" t="n">
        <f aca="false">+(H71*25.4)/2</f>
        <v>1.15E-005</v>
      </c>
      <c r="R71" s="256" t="str">
        <f aca="false">J71</f>
        <v>070008</v>
      </c>
      <c r="S71" s="261" t="n">
        <f aca="false">D71</f>
        <v>0.4</v>
      </c>
      <c r="T71" s="254" t="n">
        <f aca="false">0.4*25.4/1000</f>
        <v>0.01016</v>
      </c>
      <c r="U71" s="254" t="n">
        <v>-0.00508</v>
      </c>
      <c r="V71" s="262" t="n">
        <f aca="false">M71*1000</f>
        <v>0.013</v>
      </c>
      <c r="W71" s="263" t="n">
        <f aca="false">(ABS(U71-V71)/$W$2)*1000</f>
        <v>0.237894736842105</v>
      </c>
      <c r="X71" s="263" t="n">
        <f aca="false">MAX(W71)</f>
        <v>0.237894736842105</v>
      </c>
      <c r="Y71" s="264" t="n">
        <f aca="false">((AVERAGE(W71)*12/1000))</f>
        <v>0.00285473684210526</v>
      </c>
      <c r="Z71" s="265" t="n">
        <f aca="false">(((Y71)*1000)/SQRT(3))</f>
        <v>1.64818308425502</v>
      </c>
      <c r="AA71" s="265" t="n">
        <f aca="false">((0.02)/SQRT(3))*1000</f>
        <v>11.5470053837925</v>
      </c>
      <c r="AB71" s="187"/>
    </row>
    <row r="72" customFormat="false" ht="16.5" hidden="false" customHeight="false" outlineLevel="0" collapsed="false">
      <c r="B72" s="161" t="n">
        <f aca="false">+B71+1</f>
        <v>68</v>
      </c>
      <c r="C72" s="252" t="s">
        <v>397</v>
      </c>
      <c r="D72" s="253" t="n">
        <v>0.45</v>
      </c>
      <c r="E72" s="254" t="n">
        <v>1.69291338582677</v>
      </c>
      <c r="F72" s="255" t="n">
        <f aca="false">+E72/1000000</f>
        <v>1.69291338582677E-006</v>
      </c>
      <c r="G72" s="253" t="n">
        <v>0.905511811023622</v>
      </c>
      <c r="H72" s="255" t="n">
        <f aca="false">+G72/1000000</f>
        <v>9.05511811023622E-007</v>
      </c>
      <c r="J72" s="256" t="str">
        <f aca="false">C72</f>
        <v>060055</v>
      </c>
      <c r="K72" s="257" t="n">
        <f aca="false">+D72*25.4</f>
        <v>11.43</v>
      </c>
      <c r="L72" s="258" t="n">
        <f aca="false">+(E72*25.4)/1000</f>
        <v>0.043</v>
      </c>
      <c r="M72" s="259" t="n">
        <f aca="false">+L72*10^-3</f>
        <v>4.3E-005</v>
      </c>
      <c r="N72" s="260" t="n">
        <f aca="false">+(G72*25.4)/1000</f>
        <v>0.023</v>
      </c>
      <c r="O72" s="255" t="n">
        <f aca="false">+N72*10^-3</f>
        <v>2.3E-005</v>
      </c>
      <c r="P72" s="260" t="n">
        <f aca="false">+N72/2</f>
        <v>0.0115</v>
      </c>
      <c r="Q72" s="255" t="n">
        <f aca="false">+(H72*25.4)/2</f>
        <v>1.15E-005</v>
      </c>
      <c r="R72" s="256" t="str">
        <f aca="false">J72</f>
        <v>060055</v>
      </c>
      <c r="S72" s="261" t="n">
        <f aca="false">D72</f>
        <v>0.45</v>
      </c>
      <c r="T72" s="254" t="n">
        <f aca="false">0.4*25.4/1000</f>
        <v>0.01016</v>
      </c>
      <c r="U72" s="254" t="n">
        <v>0.03048</v>
      </c>
      <c r="V72" s="262" t="n">
        <f aca="false">M72*1000</f>
        <v>0.043</v>
      </c>
      <c r="W72" s="263" t="n">
        <f aca="false">(ABS(U72-V72)/$W$2)*1000</f>
        <v>0.164736842105263</v>
      </c>
      <c r="X72" s="263" t="n">
        <f aca="false">MAX(W72)</f>
        <v>0.164736842105263</v>
      </c>
      <c r="Y72" s="264" t="n">
        <f aca="false">((AVERAGE(W72)*12/1000))</f>
        <v>0.00197684210526316</v>
      </c>
      <c r="Z72" s="265" t="n">
        <f aca="false">(((Y72)*1000)/SQRT(3))</f>
        <v>1.14133032161907</v>
      </c>
      <c r="AA72" s="265" t="n">
        <f aca="false">((0.02)/SQRT(3))*1000</f>
        <v>11.5470053837925</v>
      </c>
      <c r="AB72" s="187"/>
    </row>
    <row r="73" customFormat="false" ht="16.5" hidden="false" customHeight="false" outlineLevel="0" collapsed="false">
      <c r="B73" s="161" t="n">
        <f aca="false">+B72+1</f>
        <v>69</v>
      </c>
      <c r="C73" s="252" t="s">
        <v>398</v>
      </c>
      <c r="D73" s="253" t="n">
        <v>0.5</v>
      </c>
      <c r="E73" s="254" t="n">
        <v>-0.196850393700787</v>
      </c>
      <c r="F73" s="255" t="n">
        <f aca="false">+E73/1000000</f>
        <v>-1.96850393700787E-007</v>
      </c>
      <c r="G73" s="253" t="n">
        <v>0.905511811023622</v>
      </c>
      <c r="H73" s="255" t="n">
        <f aca="false">+G73/1000000</f>
        <v>9.05511811023622E-007</v>
      </c>
      <c r="J73" s="256" t="str">
        <f aca="false">C73</f>
        <v>070073</v>
      </c>
      <c r="K73" s="257" t="n">
        <f aca="false">+D73*25.4</f>
        <v>12.7</v>
      </c>
      <c r="L73" s="258" t="n">
        <f aca="false">+(E73*25.4)/1000</f>
        <v>-0.005</v>
      </c>
      <c r="M73" s="259" t="n">
        <f aca="false">+L73*10^-3</f>
        <v>-5E-006</v>
      </c>
      <c r="N73" s="260" t="n">
        <f aca="false">+(G73*25.4)/1000</f>
        <v>0.023</v>
      </c>
      <c r="O73" s="255" t="n">
        <f aca="false">+N73*10^-3</f>
        <v>2.3E-005</v>
      </c>
      <c r="P73" s="260" t="n">
        <f aca="false">+N73/2</f>
        <v>0.0115</v>
      </c>
      <c r="Q73" s="255" t="n">
        <f aca="false">+(H73*25.4)/2</f>
        <v>1.15E-005</v>
      </c>
      <c r="R73" s="256" t="str">
        <f aca="false">J73</f>
        <v>070073</v>
      </c>
      <c r="S73" s="261" t="n">
        <f aca="false">D73</f>
        <v>0.5</v>
      </c>
      <c r="T73" s="254" t="n">
        <f aca="false">0.4*25.4/1000</f>
        <v>0.01016</v>
      </c>
      <c r="U73" s="254" t="n">
        <v>-0.02286</v>
      </c>
      <c r="V73" s="262" t="n">
        <f aca="false">M73*1000</f>
        <v>-0.005</v>
      </c>
      <c r="W73" s="263" t="n">
        <f aca="false">(ABS(U73-V73)/$W$2)*1000</f>
        <v>0.235</v>
      </c>
      <c r="X73" s="263" t="n">
        <f aca="false">MAX(W73)</f>
        <v>0.235</v>
      </c>
      <c r="Y73" s="264" t="n">
        <f aca="false">((AVERAGE(W73)*12/1000))</f>
        <v>0.00282</v>
      </c>
      <c r="Z73" s="265" t="n">
        <f aca="false">(((Y73)*1000)/SQRT(3))</f>
        <v>1.62812775911474</v>
      </c>
      <c r="AA73" s="265" t="n">
        <f aca="false">((0.02)/SQRT(3))*1000</f>
        <v>11.5470053837925</v>
      </c>
      <c r="AB73" s="187"/>
    </row>
    <row r="74" customFormat="false" ht="16.5" hidden="false" customHeight="false" outlineLevel="0" collapsed="false">
      <c r="B74" s="161" t="n">
        <f aca="false">+B73+1</f>
        <v>70</v>
      </c>
      <c r="C74" s="252" t="s">
        <v>360</v>
      </c>
      <c r="D74" s="253" t="n">
        <v>0.55</v>
      </c>
      <c r="E74" s="254" t="n">
        <v>-1.41732283464567</v>
      </c>
      <c r="F74" s="255" t="n">
        <f aca="false">+E74/1000000</f>
        <v>-1.41732283464567E-006</v>
      </c>
      <c r="G74" s="253" t="n">
        <v>0.905511811023622</v>
      </c>
      <c r="H74" s="255" t="n">
        <f aca="false">+G74/1000000</f>
        <v>9.05511811023622E-007</v>
      </c>
      <c r="J74" s="256" t="str">
        <f aca="false">C74</f>
        <v>070001</v>
      </c>
      <c r="K74" s="257" t="n">
        <f aca="false">+D74*25.4</f>
        <v>13.97</v>
      </c>
      <c r="L74" s="258" t="n">
        <f aca="false">+(E74*25.4)/1000</f>
        <v>-0.036</v>
      </c>
      <c r="M74" s="259" t="n">
        <f aca="false">+L74*10^-3</f>
        <v>-3.6E-005</v>
      </c>
      <c r="N74" s="260" t="n">
        <f aca="false">+(G74*25.4)/1000</f>
        <v>0.023</v>
      </c>
      <c r="O74" s="255" t="n">
        <f aca="false">+N74*10^-3</f>
        <v>2.3E-005</v>
      </c>
      <c r="P74" s="260" t="n">
        <f aca="false">+N74/2</f>
        <v>0.0115</v>
      </c>
      <c r="Q74" s="255" t="n">
        <f aca="false">+(H74*25.4)/2</f>
        <v>1.15E-005</v>
      </c>
      <c r="R74" s="256" t="str">
        <f aca="false">J74</f>
        <v>070001</v>
      </c>
      <c r="S74" s="261" t="n">
        <f aca="false">D74</f>
        <v>0.55</v>
      </c>
      <c r="T74" s="254" t="n">
        <f aca="false">0.4*25.4/1000</f>
        <v>0.01016</v>
      </c>
      <c r="U74" s="254" t="n">
        <v>-0.04572</v>
      </c>
      <c r="V74" s="262" t="n">
        <f aca="false">M74*1000</f>
        <v>-0.036</v>
      </c>
      <c r="W74" s="263" t="n">
        <f aca="false">(ABS(U74-V74)/$W$2)*1000</f>
        <v>0.127894736842105</v>
      </c>
      <c r="X74" s="263" t="n">
        <f aca="false">MAX(W74)</f>
        <v>0.127894736842105</v>
      </c>
      <c r="Y74" s="264" t="n">
        <f aca="false">((AVERAGE(W74)*12/1000))</f>
        <v>0.00153473684210526</v>
      </c>
      <c r="Z74" s="265" t="n">
        <f aca="false">(((Y74)*1000)/SQRT(3))</f>
        <v>0.886080728924709</v>
      </c>
      <c r="AA74" s="265" t="n">
        <f aca="false">((0.02)/SQRT(3))*1000</f>
        <v>11.5470053837925</v>
      </c>
      <c r="AB74" s="187"/>
    </row>
    <row r="75" customFormat="false" ht="16.5" hidden="false" customHeight="false" outlineLevel="0" collapsed="false">
      <c r="B75" s="161" t="n">
        <f aca="false">+B74+1</f>
        <v>71</v>
      </c>
      <c r="C75" s="252" t="s">
        <v>399</v>
      </c>
      <c r="D75" s="253" t="n">
        <v>0.6</v>
      </c>
      <c r="E75" s="254" t="n">
        <v>0.78740157480315</v>
      </c>
      <c r="F75" s="255" t="n">
        <f aca="false">+E75/1000000</f>
        <v>7.8740157480315E-007</v>
      </c>
      <c r="G75" s="253" t="n">
        <v>0.905511811023622</v>
      </c>
      <c r="H75" s="255" t="n">
        <f aca="false">+G75/1000000</f>
        <v>9.05511811023622E-007</v>
      </c>
      <c r="J75" s="256" t="str">
        <f aca="false">C75</f>
        <v>060080</v>
      </c>
      <c r="K75" s="257" t="n">
        <f aca="false">+D75*25.4</f>
        <v>15.24</v>
      </c>
      <c r="L75" s="258" t="n">
        <f aca="false">+(E75*25.4)/1000</f>
        <v>0.02</v>
      </c>
      <c r="M75" s="259" t="n">
        <f aca="false">+L75*10^-3</f>
        <v>2E-005</v>
      </c>
      <c r="N75" s="260" t="n">
        <f aca="false">+(G75*25.4)/1000</f>
        <v>0.023</v>
      </c>
      <c r="O75" s="255" t="n">
        <f aca="false">+N75*10^-3</f>
        <v>2.3E-005</v>
      </c>
      <c r="P75" s="260" t="n">
        <f aca="false">+N75/2</f>
        <v>0.0115</v>
      </c>
      <c r="Q75" s="255" t="n">
        <f aca="false">+(H75*25.4)/2</f>
        <v>1.15E-005</v>
      </c>
      <c r="R75" s="256" t="str">
        <f aca="false">J75</f>
        <v>060080</v>
      </c>
      <c r="S75" s="261" t="n">
        <f aca="false">D75</f>
        <v>0.6</v>
      </c>
      <c r="T75" s="254" t="n">
        <f aca="false">0.4*25.4/1000</f>
        <v>0.01016</v>
      </c>
      <c r="U75" s="254" t="n">
        <v>0.0127</v>
      </c>
      <c r="V75" s="262" t="n">
        <f aca="false">M75*1000</f>
        <v>0.02</v>
      </c>
      <c r="W75" s="263" t="n">
        <f aca="false">(ABS(U75-V75)/$W$2)*1000</f>
        <v>0.0960526315789474</v>
      </c>
      <c r="X75" s="263" t="n">
        <f aca="false">MAX(W75)</f>
        <v>0.0960526315789474</v>
      </c>
      <c r="Y75" s="264" t="n">
        <f aca="false">((AVERAGE(W75)*12/1000))</f>
        <v>0.00115263157894737</v>
      </c>
      <c r="Z75" s="265" t="n">
        <f aca="false">(((Y75)*1000)/SQRT(3))</f>
        <v>0.665472152381727</v>
      </c>
      <c r="AA75" s="265" t="n">
        <f aca="false">((0.02)/SQRT(3))*1000</f>
        <v>11.5470053837925</v>
      </c>
      <c r="AB75" s="187"/>
    </row>
    <row r="76" customFormat="false" ht="16.5" hidden="false" customHeight="false" outlineLevel="0" collapsed="false">
      <c r="B76" s="161" t="n">
        <f aca="false">+B75+1</f>
        <v>72</v>
      </c>
      <c r="C76" s="252" t="s">
        <v>400</v>
      </c>
      <c r="D76" s="253" t="n">
        <v>0.65</v>
      </c>
      <c r="E76" s="254" t="n">
        <v>0.393700787401575</v>
      </c>
      <c r="F76" s="255" t="n">
        <f aca="false">+E76/1000000</f>
        <v>3.93700787401575E-007</v>
      </c>
      <c r="G76" s="253" t="n">
        <v>0.94488188976378</v>
      </c>
      <c r="H76" s="255" t="n">
        <f aca="false">+G76/1000000</f>
        <v>9.4488188976378E-007</v>
      </c>
      <c r="J76" s="256" t="str">
        <f aca="false">C76</f>
        <v>060016</v>
      </c>
      <c r="K76" s="257" t="n">
        <f aca="false">+D76*25.4</f>
        <v>16.51</v>
      </c>
      <c r="L76" s="258" t="n">
        <f aca="false">+(E76*25.4)/1000</f>
        <v>0.01</v>
      </c>
      <c r="M76" s="259" t="n">
        <f aca="false">+L76*10^-3</f>
        <v>1E-005</v>
      </c>
      <c r="N76" s="260" t="n">
        <f aca="false">+(G76*25.4)/1000</f>
        <v>0.024</v>
      </c>
      <c r="O76" s="255" t="n">
        <f aca="false">+N76*10^-3</f>
        <v>2.4E-005</v>
      </c>
      <c r="P76" s="260" t="n">
        <f aca="false">+N76/2</f>
        <v>0.012</v>
      </c>
      <c r="Q76" s="255" t="n">
        <f aca="false">+(H76*25.4)/2</f>
        <v>1.2E-005</v>
      </c>
      <c r="R76" s="256" t="str">
        <f aca="false">J76</f>
        <v>060016</v>
      </c>
      <c r="S76" s="261" t="n">
        <f aca="false">D76</f>
        <v>0.65</v>
      </c>
      <c r="T76" s="254" t="n">
        <f aca="false">0.4*25.4/1000</f>
        <v>0.01016</v>
      </c>
      <c r="U76" s="254" t="n">
        <v>0.00254</v>
      </c>
      <c r="V76" s="262" t="n">
        <f aca="false">M76*1000</f>
        <v>0.01</v>
      </c>
      <c r="W76" s="263" t="n">
        <f aca="false">(ABS(U76-V76)/$W$2)*1000</f>
        <v>0.0981578947368421</v>
      </c>
      <c r="X76" s="263" t="n">
        <f aca="false">MAX(W76)</f>
        <v>0.0981578947368421</v>
      </c>
      <c r="Y76" s="264" t="n">
        <f aca="false">((AVERAGE(W76)*12/1000))</f>
        <v>0.00117789473684211</v>
      </c>
      <c r="Z76" s="265" t="n">
        <f aca="false">(((Y76)*1000)/SQRT(3))</f>
        <v>0.680057843392833</v>
      </c>
      <c r="AA76" s="265" t="n">
        <f aca="false">((0.02)/SQRT(3))*1000</f>
        <v>11.5470053837925</v>
      </c>
      <c r="AB76" s="187"/>
    </row>
    <row r="77" customFormat="false" ht="16.5" hidden="false" customHeight="false" outlineLevel="0" collapsed="false">
      <c r="B77" s="161" t="n">
        <f aca="false">+B76+1</f>
        <v>73</v>
      </c>
      <c r="C77" s="252" t="s">
        <v>392</v>
      </c>
      <c r="D77" s="253" t="n">
        <v>0.7</v>
      </c>
      <c r="E77" s="254" t="n">
        <v>1.2992125984252</v>
      </c>
      <c r="F77" s="255" t="n">
        <f aca="false">+E77/1000000</f>
        <v>1.2992125984252E-006</v>
      </c>
      <c r="G77" s="253" t="n">
        <v>0.94488188976378</v>
      </c>
      <c r="H77" s="255" t="n">
        <f aca="false">+G77/1000000</f>
        <v>9.4488188976378E-007</v>
      </c>
      <c r="J77" s="256" t="str">
        <f aca="false">C77</f>
        <v>070054</v>
      </c>
      <c r="K77" s="257" t="n">
        <f aca="false">+D77*25.4</f>
        <v>17.78</v>
      </c>
      <c r="L77" s="258" t="n">
        <f aca="false">+(E77*25.4)/1000</f>
        <v>0.033</v>
      </c>
      <c r="M77" s="259" t="n">
        <f aca="false">+L77*10^-3</f>
        <v>3.3E-005</v>
      </c>
      <c r="N77" s="260" t="n">
        <f aca="false">+(G77*25.4)/1000</f>
        <v>0.024</v>
      </c>
      <c r="O77" s="255" t="n">
        <f aca="false">+N77*10^-3</f>
        <v>2.4E-005</v>
      </c>
      <c r="P77" s="260" t="n">
        <f aca="false">+N77/2</f>
        <v>0.012</v>
      </c>
      <c r="Q77" s="255" t="n">
        <f aca="false">+(H77*25.4)/2</f>
        <v>1.2E-005</v>
      </c>
      <c r="R77" s="256" t="str">
        <f aca="false">J77</f>
        <v>070054</v>
      </c>
      <c r="S77" s="261" t="n">
        <f aca="false">D77</f>
        <v>0.7</v>
      </c>
      <c r="T77" s="254" t="n">
        <f aca="false">0.4*25.4/1000</f>
        <v>0.01016</v>
      </c>
      <c r="U77" s="254" t="n">
        <v>0.03302</v>
      </c>
      <c r="V77" s="262" t="n">
        <f aca="false">M77*1000</f>
        <v>0.033</v>
      </c>
      <c r="W77" s="263" t="n">
        <f aca="false">(ABS(U77-V77)/$W$2)*1000</f>
        <v>0.00026315789473674</v>
      </c>
      <c r="X77" s="263" t="n">
        <f aca="false">MAX(W77)</f>
        <v>0.00026315789473674</v>
      </c>
      <c r="Y77" s="264" t="n">
        <f aca="false">((AVERAGE(W77)*12/1000))</f>
        <v>3.15789473684088E-006</v>
      </c>
      <c r="Z77" s="265" t="n">
        <f aca="false">(((Y77)*1000)/SQRT(3))</f>
        <v>0.00182321137638759</v>
      </c>
      <c r="AA77" s="265" t="n">
        <f aca="false">((0.02)/SQRT(3))*1000</f>
        <v>11.5470053837925</v>
      </c>
      <c r="AB77" s="187"/>
    </row>
    <row r="78" customFormat="false" ht="16.5" hidden="false" customHeight="false" outlineLevel="0" collapsed="false">
      <c r="B78" s="161" t="n">
        <f aca="false">+B77+1</f>
        <v>74</v>
      </c>
      <c r="C78" s="252" t="s">
        <v>389</v>
      </c>
      <c r="D78" s="253" t="n">
        <v>0.75</v>
      </c>
      <c r="E78" s="254" t="n">
        <v>2.59842519685039</v>
      </c>
      <c r="F78" s="255" t="n">
        <f aca="false">+E78/1000000</f>
        <v>2.59842519685039E-006</v>
      </c>
      <c r="G78" s="253" t="n">
        <v>0.94488188976378</v>
      </c>
      <c r="H78" s="255" t="n">
        <f aca="false">+G78/1000000</f>
        <v>9.4488188976378E-007</v>
      </c>
      <c r="J78" s="256" t="str">
        <f aca="false">C78</f>
        <v>070002</v>
      </c>
      <c r="K78" s="257" t="n">
        <f aca="false">+D78*25.4</f>
        <v>19.05</v>
      </c>
      <c r="L78" s="258" t="n">
        <f aca="false">+(E78*25.4)/1000</f>
        <v>0.066</v>
      </c>
      <c r="M78" s="259" t="n">
        <f aca="false">+L78*10^-3</f>
        <v>6.6E-005</v>
      </c>
      <c r="N78" s="260" t="n">
        <f aca="false">+(G78*25.4)/1000</f>
        <v>0.024</v>
      </c>
      <c r="O78" s="255" t="n">
        <f aca="false">+N78*10^-3</f>
        <v>2.4E-005</v>
      </c>
      <c r="P78" s="260" t="n">
        <f aca="false">+N78/2</f>
        <v>0.012</v>
      </c>
      <c r="Q78" s="255" t="n">
        <f aca="false">+(H78*25.4)/2</f>
        <v>1.2E-005</v>
      </c>
      <c r="R78" s="256" t="str">
        <f aca="false">J78</f>
        <v>070002</v>
      </c>
      <c r="S78" s="261" t="n">
        <f aca="false">D78</f>
        <v>0.75</v>
      </c>
      <c r="T78" s="254" t="n">
        <f aca="false">0.4*25.4/1000</f>
        <v>0.01016</v>
      </c>
      <c r="U78" s="254" t="n">
        <v>0.05588</v>
      </c>
      <c r="V78" s="262" t="n">
        <f aca="false">M78*1000</f>
        <v>0.066</v>
      </c>
      <c r="W78" s="263" t="n">
        <f aca="false">(ABS(U78-V78)/$W$2)*1000</f>
        <v>0.133157894736842</v>
      </c>
      <c r="X78" s="263" t="n">
        <f aca="false">MAX(W78)</f>
        <v>0.133157894736842</v>
      </c>
      <c r="Y78" s="264" t="n">
        <f aca="false">((AVERAGE(W78)*12/1000))</f>
        <v>0.00159789473684211</v>
      </c>
      <c r="Z78" s="265" t="n">
        <f aca="false">(((Y78)*1000)/SQRT(3))</f>
        <v>0.922544956452476</v>
      </c>
      <c r="AA78" s="265" t="n">
        <f aca="false">((0.02)/SQRT(3))*1000</f>
        <v>11.5470053837925</v>
      </c>
      <c r="AB78" s="187"/>
    </row>
    <row r="79" customFormat="false" ht="16.5" hidden="false" customHeight="false" outlineLevel="0" collapsed="false">
      <c r="B79" s="161" t="n">
        <f aca="false">+B78+1</f>
        <v>75</v>
      </c>
      <c r="C79" s="252" t="s">
        <v>374</v>
      </c>
      <c r="D79" s="253" t="n">
        <v>0.8</v>
      </c>
      <c r="E79" s="254" t="n">
        <v>2.00787401574803</v>
      </c>
      <c r="F79" s="255" t="n">
        <f aca="false">+E79/1000000</f>
        <v>2.00787401574803E-006</v>
      </c>
      <c r="G79" s="253" t="n">
        <v>0.94488188976378</v>
      </c>
      <c r="H79" s="255" t="n">
        <f aca="false">+G79/1000000</f>
        <v>9.4488188976378E-007</v>
      </c>
      <c r="J79" s="256" t="str">
        <f aca="false">C79</f>
        <v>070018</v>
      </c>
      <c r="K79" s="257" t="n">
        <f aca="false">+D79*25.4</f>
        <v>20.32</v>
      </c>
      <c r="L79" s="258" t="n">
        <f aca="false">+(E79*25.4)/1000</f>
        <v>0.051</v>
      </c>
      <c r="M79" s="259" t="n">
        <f aca="false">+L79*10^-3</f>
        <v>5.1E-005</v>
      </c>
      <c r="N79" s="260" t="n">
        <f aca="false">+(G79*25.4)/1000</f>
        <v>0.024</v>
      </c>
      <c r="O79" s="255" t="n">
        <f aca="false">+N79*10^-3</f>
        <v>2.4E-005</v>
      </c>
      <c r="P79" s="260" t="n">
        <f aca="false">+N79/2</f>
        <v>0.012</v>
      </c>
      <c r="Q79" s="255" t="n">
        <f aca="false">+(H79*25.4)/2</f>
        <v>1.2E-005</v>
      </c>
      <c r="R79" s="256" t="str">
        <f aca="false">J79</f>
        <v>070018</v>
      </c>
      <c r="S79" s="261" t="n">
        <f aca="false">D79</f>
        <v>0.8</v>
      </c>
      <c r="T79" s="254" t="n">
        <f aca="false">0.4*25.4/1000</f>
        <v>0.01016</v>
      </c>
      <c r="U79" s="254" t="n">
        <v>0.04318</v>
      </c>
      <c r="V79" s="262" t="n">
        <f aca="false">M79*1000</f>
        <v>0.051</v>
      </c>
      <c r="W79" s="263" t="n">
        <f aca="false">(ABS(U79-V79)/$W$2)*1000</f>
        <v>0.102894736842105</v>
      </c>
      <c r="X79" s="263" t="n">
        <f aca="false">MAX(W79)</f>
        <v>0.102894736842105</v>
      </c>
      <c r="Y79" s="264" t="n">
        <f aca="false">((AVERAGE(W79)*12/1000))</f>
        <v>0.00123473684210526</v>
      </c>
      <c r="Z79" s="265" t="n">
        <f aca="false">(((Y79)*1000)/SQRT(3))</f>
        <v>0.712875648167822</v>
      </c>
      <c r="AA79" s="265" t="n">
        <f aca="false">((0.02)/SQRT(3))*1000</f>
        <v>11.5470053837925</v>
      </c>
      <c r="AB79" s="187"/>
    </row>
    <row r="80" customFormat="false" ht="16.5" hidden="false" customHeight="false" outlineLevel="0" collapsed="false">
      <c r="B80" s="161" t="n">
        <f aca="false">+B79+1</f>
        <v>76</v>
      </c>
      <c r="C80" s="252" t="s">
        <v>401</v>
      </c>
      <c r="D80" s="253" t="n">
        <v>0.85</v>
      </c>
      <c r="E80" s="254" t="n">
        <v>0.708661417322835</v>
      </c>
      <c r="F80" s="255" t="n">
        <f aca="false">+E80/1000000</f>
        <v>7.08661417322835E-007</v>
      </c>
      <c r="G80" s="253" t="n">
        <v>0.94488188976378</v>
      </c>
      <c r="H80" s="255" t="n">
        <f aca="false">+G80/1000000</f>
        <v>9.4488188976378E-007</v>
      </c>
      <c r="J80" s="256" t="str">
        <f aca="false">C80</f>
        <v>070023</v>
      </c>
      <c r="K80" s="257" t="n">
        <f aca="false">+D80*25.4</f>
        <v>21.59</v>
      </c>
      <c r="L80" s="258" t="n">
        <f aca="false">+(E80*25.4)/1000</f>
        <v>0.018</v>
      </c>
      <c r="M80" s="259" t="n">
        <f aca="false">+L80*10^-3</f>
        <v>1.8E-005</v>
      </c>
      <c r="N80" s="260" t="n">
        <f aca="false">+(G80*25.4)/1000</f>
        <v>0.024</v>
      </c>
      <c r="O80" s="255" t="n">
        <f aca="false">+N80*10^-3</f>
        <v>2.4E-005</v>
      </c>
      <c r="P80" s="260" t="n">
        <f aca="false">+N80/2</f>
        <v>0.012</v>
      </c>
      <c r="Q80" s="255" t="n">
        <f aca="false">+(H80*25.4)/2</f>
        <v>1.2E-005</v>
      </c>
      <c r="R80" s="256" t="str">
        <f aca="false">J80</f>
        <v>070023</v>
      </c>
      <c r="S80" s="261" t="n">
        <f aca="false">D80</f>
        <v>0.85</v>
      </c>
      <c r="T80" s="254" t="n">
        <f aca="false">0.4*25.4/1000</f>
        <v>0.01016</v>
      </c>
      <c r="U80" s="254" t="n">
        <v>0.00762</v>
      </c>
      <c r="V80" s="262" t="n">
        <f aca="false">M80*1000</f>
        <v>0.018</v>
      </c>
      <c r="W80" s="263" t="n">
        <f aca="false">(ABS(U80-V80)/$W$2)*1000</f>
        <v>0.136578947368421</v>
      </c>
      <c r="X80" s="263" t="n">
        <f aca="false">MAX(W80)</f>
        <v>0.136578947368421</v>
      </c>
      <c r="Y80" s="264" t="n">
        <f aca="false">((AVERAGE(W80)*12/1000))</f>
        <v>0.00163894736842105</v>
      </c>
      <c r="Z80" s="265" t="n">
        <f aca="false">(((Y80)*1000)/SQRT(3))</f>
        <v>0.946246704345524</v>
      </c>
      <c r="AA80" s="265" t="n">
        <f aca="false">((0.02)/SQRT(3))*1000</f>
        <v>11.5470053837925</v>
      </c>
      <c r="AB80" s="187"/>
    </row>
    <row r="81" customFormat="false" ht="16.5" hidden="false" customHeight="false" outlineLevel="0" collapsed="false">
      <c r="B81" s="161" t="n">
        <f aca="false">+B80+1</f>
        <v>77</v>
      </c>
      <c r="C81" s="252" t="s">
        <v>397</v>
      </c>
      <c r="D81" s="253" t="n">
        <v>0.9</v>
      </c>
      <c r="E81" s="254" t="n">
        <v>1.69291338582677</v>
      </c>
      <c r="F81" s="255" t="n">
        <f aca="false">+E81/1000000</f>
        <v>1.69291338582677E-006</v>
      </c>
      <c r="G81" s="253" t="n">
        <v>0.984251968503937</v>
      </c>
      <c r="H81" s="255" t="n">
        <f aca="false">+G81/1000000</f>
        <v>9.84251968503937E-007</v>
      </c>
      <c r="J81" s="256" t="str">
        <f aca="false">C81</f>
        <v>060055</v>
      </c>
      <c r="K81" s="257" t="n">
        <f aca="false">+D81*25.4</f>
        <v>22.86</v>
      </c>
      <c r="L81" s="258" t="n">
        <f aca="false">+(E81*25.4)/1000</f>
        <v>0.043</v>
      </c>
      <c r="M81" s="259" t="n">
        <f aca="false">+L81*10^-3</f>
        <v>4.3E-005</v>
      </c>
      <c r="N81" s="260" t="n">
        <f aca="false">+(G81*25.4)/1000</f>
        <v>0.025</v>
      </c>
      <c r="O81" s="255" t="n">
        <f aca="false">+N81*10^-3</f>
        <v>2.5E-005</v>
      </c>
      <c r="P81" s="260" t="n">
        <f aca="false">+N81/2</f>
        <v>0.0125</v>
      </c>
      <c r="Q81" s="255" t="n">
        <f aca="false">+(H81*25.4)/2</f>
        <v>1.25E-005</v>
      </c>
      <c r="R81" s="256" t="str">
        <f aca="false">J81</f>
        <v>060055</v>
      </c>
      <c r="S81" s="261" t="n">
        <f aca="false">D81</f>
        <v>0.9</v>
      </c>
      <c r="T81" s="254" t="n">
        <f aca="false">0.4*25.4/1000</f>
        <v>0.01016</v>
      </c>
      <c r="U81" s="254" t="n">
        <v>0.03302</v>
      </c>
      <c r="V81" s="262" t="n">
        <f aca="false">M81*1000</f>
        <v>0.043</v>
      </c>
      <c r="W81" s="263" t="n">
        <f aca="false">(ABS(U81-V81)/$W$2)*1000</f>
        <v>0.131315789473684</v>
      </c>
      <c r="X81" s="263" t="n">
        <f aca="false">MAX(W81)</f>
        <v>0.131315789473684</v>
      </c>
      <c r="Y81" s="264" t="n">
        <f aca="false">((AVERAGE(W81)*12/1000))</f>
        <v>0.00157578947368421</v>
      </c>
      <c r="Z81" s="265" t="n">
        <f aca="false">(((Y81)*1000)/SQRT(3))</f>
        <v>0.909782476817758</v>
      </c>
      <c r="AA81" s="265" t="n">
        <f aca="false">((0.02)/SQRT(3))*1000</f>
        <v>11.5470053837925</v>
      </c>
      <c r="AB81" s="187"/>
    </row>
    <row r="82" customFormat="false" ht="16.5" hidden="false" customHeight="false" outlineLevel="0" collapsed="false">
      <c r="B82" s="161" t="n">
        <f aca="false">+B81+1</f>
        <v>78</v>
      </c>
      <c r="C82" s="252" t="s">
        <v>402</v>
      </c>
      <c r="D82" s="253" t="n">
        <v>0.95</v>
      </c>
      <c r="E82" s="254" t="n">
        <v>-0.118110236220472</v>
      </c>
      <c r="F82" s="255" t="n">
        <f aca="false">+E82/1000000</f>
        <v>-1.18110236220472E-007</v>
      </c>
      <c r="G82" s="253" t="n">
        <v>0.984251968503937</v>
      </c>
      <c r="H82" s="255" t="n">
        <f aca="false">+G82/1000000</f>
        <v>9.84251968503937E-007</v>
      </c>
      <c r="J82" s="256" t="str">
        <f aca="false">C82</f>
        <v>070036</v>
      </c>
      <c r="K82" s="257" t="n">
        <f aca="false">+D82*25.4</f>
        <v>24.13</v>
      </c>
      <c r="L82" s="258" t="n">
        <f aca="false">+(E82*25.4)/1000</f>
        <v>-0.003</v>
      </c>
      <c r="M82" s="259" t="n">
        <f aca="false">+L82*10^-3</f>
        <v>-3E-006</v>
      </c>
      <c r="N82" s="260" t="n">
        <f aca="false">+(G82*25.4)/1000</f>
        <v>0.025</v>
      </c>
      <c r="O82" s="255" t="n">
        <f aca="false">+N82*10^-3</f>
        <v>2.5E-005</v>
      </c>
      <c r="P82" s="260" t="n">
        <f aca="false">+N82/2</f>
        <v>0.0125</v>
      </c>
      <c r="Q82" s="255" t="n">
        <f aca="false">+(H82*25.4)/2</f>
        <v>1.25E-005</v>
      </c>
      <c r="R82" s="256" t="str">
        <f aca="false">J82</f>
        <v>070036</v>
      </c>
      <c r="S82" s="261" t="n">
        <f aca="false">D82</f>
        <v>0.95</v>
      </c>
      <c r="T82" s="254" t="n">
        <f aca="false">0.4*25.4/1000</f>
        <v>0.01016</v>
      </c>
      <c r="U82" s="254" t="n">
        <v>-0.00254</v>
      </c>
      <c r="V82" s="262" t="n">
        <f aca="false">M82*1000</f>
        <v>-0.003</v>
      </c>
      <c r="W82" s="263" t="n">
        <f aca="false">(ABS(U82-V82)/$W$2)*1000</f>
        <v>0.00605263157894737</v>
      </c>
      <c r="X82" s="263" t="n">
        <f aca="false">MAX(W82)</f>
        <v>0.00605263157894737</v>
      </c>
      <c r="Y82" s="264" t="n">
        <f aca="false">((AVERAGE(W82)*12/1000))</f>
        <v>7.26315789473684E-005</v>
      </c>
      <c r="Z82" s="265" t="n">
        <f aca="false">(((Y82)*1000)/SQRT(3))</f>
        <v>0.0419338616569307</v>
      </c>
      <c r="AA82" s="265" t="n">
        <f aca="false">((0.02)/SQRT(3))*1000</f>
        <v>11.5470053837925</v>
      </c>
      <c r="AB82" s="187"/>
    </row>
    <row r="83" customFormat="false" ht="16.5" hidden="false" customHeight="false" outlineLevel="0" collapsed="false">
      <c r="B83" s="161" t="n">
        <f aca="false">+B82+1</f>
        <v>79</v>
      </c>
      <c r="C83" s="252" t="s">
        <v>403</v>
      </c>
      <c r="D83" s="253" t="n">
        <v>1</v>
      </c>
      <c r="E83" s="254" t="n">
        <v>1.69291338582677</v>
      </c>
      <c r="F83" s="255" t="n">
        <f aca="false">+E83/1000000</f>
        <v>1.69291338582677E-006</v>
      </c>
      <c r="G83" s="253" t="n">
        <v>0.984251968503937</v>
      </c>
      <c r="H83" s="255" t="n">
        <f aca="false">+G83/1000000</f>
        <v>9.84251968503937E-007</v>
      </c>
      <c r="J83" s="256" t="str">
        <f aca="false">C83</f>
        <v>070072</v>
      </c>
      <c r="K83" s="257" t="n">
        <f aca="false">+D83*25.4</f>
        <v>25.4</v>
      </c>
      <c r="L83" s="258" t="n">
        <f aca="false">+(E83*25.4)/1000</f>
        <v>0.043</v>
      </c>
      <c r="M83" s="259" t="n">
        <f aca="false">+L83*10^-3</f>
        <v>4.3E-005</v>
      </c>
      <c r="N83" s="260" t="n">
        <f aca="false">+(G83*25.4)/1000</f>
        <v>0.025</v>
      </c>
      <c r="O83" s="255" t="n">
        <f aca="false">+N83*10^-3</f>
        <v>2.5E-005</v>
      </c>
      <c r="P83" s="260" t="n">
        <f aca="false">+N83/2</f>
        <v>0.0125</v>
      </c>
      <c r="Q83" s="255" t="n">
        <f aca="false">+(H83*25.4)/2</f>
        <v>1.25E-005</v>
      </c>
      <c r="R83" s="256" t="str">
        <f aca="false">J83</f>
        <v>070072</v>
      </c>
      <c r="S83" s="261" t="n">
        <f aca="false">D83</f>
        <v>1</v>
      </c>
      <c r="T83" s="254" t="n">
        <f aca="false">0.4*25.4/1000</f>
        <v>0.01016</v>
      </c>
      <c r="U83" s="254" t="n">
        <v>0.0381</v>
      </c>
      <c r="V83" s="262" t="n">
        <f aca="false">M83*1000</f>
        <v>0.043</v>
      </c>
      <c r="W83" s="263" t="n">
        <f aca="false">(ABS(U83-V83)/$W$2)*1000</f>
        <v>0.0644736842105263</v>
      </c>
      <c r="X83" s="263" t="n">
        <f aca="false">MAX(W83)</f>
        <v>0.0644736842105263</v>
      </c>
      <c r="Y83" s="264" t="n">
        <f aca="false">((AVERAGE(W83)*12/1000))</f>
        <v>0.000773684210526316</v>
      </c>
      <c r="Z83" s="265" t="n">
        <f aca="false">(((Y83)*1000)/SQRT(3))</f>
        <v>0.446686787215132</v>
      </c>
      <c r="AA83" s="265" t="n">
        <f aca="false">((0.02)/SQRT(3))*1000</f>
        <v>11.5470053837925</v>
      </c>
      <c r="AB83" s="187"/>
    </row>
    <row r="84" customFormat="false" ht="16.5" hidden="false" customHeight="false" outlineLevel="0" collapsed="false">
      <c r="B84" s="161" t="n">
        <f aca="false">+B83+1</f>
        <v>80</v>
      </c>
      <c r="C84" s="252" t="s">
        <v>367</v>
      </c>
      <c r="D84" s="253" t="n">
        <v>2</v>
      </c>
      <c r="E84" s="254" t="n">
        <v>2.71653543307087</v>
      </c>
      <c r="F84" s="255" t="n">
        <f aca="false">+E84/1000000</f>
        <v>2.71653543307087E-006</v>
      </c>
      <c r="G84" s="253" t="n">
        <v>1.22047244094488</v>
      </c>
      <c r="H84" s="255" t="n">
        <f aca="false">+G84/1000000</f>
        <v>1.22047244094488E-006</v>
      </c>
      <c r="J84" s="256" t="str">
        <f aca="false">C84</f>
        <v>070045</v>
      </c>
      <c r="K84" s="257" t="n">
        <f aca="false">+D84*25.4</f>
        <v>50.8</v>
      </c>
      <c r="L84" s="258" t="n">
        <f aca="false">+(E84*25.4)/1000</f>
        <v>0.069</v>
      </c>
      <c r="M84" s="259" t="n">
        <f aca="false">+L84*10^-3</f>
        <v>6.9E-005</v>
      </c>
      <c r="N84" s="260" t="n">
        <f aca="false">+(G84*25.4)/1000</f>
        <v>0.031</v>
      </c>
      <c r="O84" s="255" t="n">
        <f aca="false">+N84*10^-3</f>
        <v>3.1E-005</v>
      </c>
      <c r="P84" s="260" t="n">
        <f aca="false">+N84/2</f>
        <v>0.0155</v>
      </c>
      <c r="Q84" s="255" t="n">
        <f aca="false">+(H84*25.4)/2</f>
        <v>1.55E-005</v>
      </c>
      <c r="R84" s="256" t="str">
        <f aca="false">J84</f>
        <v>070045</v>
      </c>
      <c r="S84" s="261" t="n">
        <f aca="false">D84</f>
        <v>2</v>
      </c>
      <c r="T84" s="254" t="n">
        <f aca="false">0.4*25.4/1000</f>
        <v>0.01016</v>
      </c>
      <c r="U84" s="254" t="n">
        <v>0.0635</v>
      </c>
      <c r="V84" s="262" t="n">
        <f aca="false">M84*1000</f>
        <v>0.069</v>
      </c>
      <c r="W84" s="263" t="n">
        <f aca="false">(ABS(U84-V84)/$W$2)*1000</f>
        <v>0.0723684210526316</v>
      </c>
      <c r="X84" s="263" t="n">
        <f aca="false">MAX(W84)</f>
        <v>0.0723684210526316</v>
      </c>
      <c r="Y84" s="264" t="n">
        <f aca="false">((AVERAGE(W84)*12/1000))</f>
        <v>0.00086842105263158</v>
      </c>
      <c r="Z84" s="265" t="n">
        <f aca="false">(((Y84)*1000)/SQRT(3))</f>
        <v>0.501383128506781</v>
      </c>
      <c r="AA84" s="265" t="n">
        <f aca="false">((0.02)/SQRT(3))*1000</f>
        <v>11.5470053837925</v>
      </c>
      <c r="AB84" s="187"/>
    </row>
    <row r="85" customFormat="false" ht="16.5" hidden="false" customHeight="false" outlineLevel="0" collapsed="false">
      <c r="B85" s="161" t="n">
        <f aca="false">+B84+1</f>
        <v>81</v>
      </c>
      <c r="C85" s="252" t="s">
        <v>385</v>
      </c>
      <c r="D85" s="253" t="n">
        <v>3</v>
      </c>
      <c r="E85" s="254" t="n">
        <v>2.99212598425197</v>
      </c>
      <c r="F85" s="255" t="n">
        <f aca="false">+E85/1000000</f>
        <v>2.99212598425197E-006</v>
      </c>
      <c r="G85" s="253" t="n">
        <v>1.53543307086614</v>
      </c>
      <c r="H85" s="255" t="n">
        <f aca="false">+G85/1000000</f>
        <v>1.53543307086614E-006</v>
      </c>
      <c r="J85" s="256" t="str">
        <f aca="false">C85</f>
        <v>070019</v>
      </c>
      <c r="K85" s="257" t="n">
        <f aca="false">+D85*25.4</f>
        <v>76.2</v>
      </c>
      <c r="L85" s="258" t="n">
        <f aca="false">+(E85*25.4)/1000</f>
        <v>0.076</v>
      </c>
      <c r="M85" s="259" t="n">
        <f aca="false">+L85*10^-3</f>
        <v>7.6E-005</v>
      </c>
      <c r="N85" s="260" t="n">
        <f aca="false">+(G85*25.4)/1000</f>
        <v>0.039</v>
      </c>
      <c r="O85" s="255" t="n">
        <f aca="false">+N85*10^-3</f>
        <v>3.9E-005</v>
      </c>
      <c r="P85" s="260" t="n">
        <f aca="false">+N85/2</f>
        <v>0.0195</v>
      </c>
      <c r="Q85" s="255" t="n">
        <f aca="false">+(H85*25.4)/2</f>
        <v>1.95E-005</v>
      </c>
      <c r="R85" s="256" t="str">
        <f aca="false">J85</f>
        <v>070019</v>
      </c>
      <c r="S85" s="261" t="n">
        <f aca="false">D85</f>
        <v>3</v>
      </c>
      <c r="T85" s="254" t="n">
        <f aca="false">0.4*25.4/1000</f>
        <v>0.01016</v>
      </c>
      <c r="U85" s="254" t="n">
        <v>0.05842</v>
      </c>
      <c r="V85" s="262" t="n">
        <f aca="false">M85*1000</f>
        <v>0.076</v>
      </c>
      <c r="W85" s="263" t="n">
        <f aca="false">(ABS(U85-V85)/$W$2)*1000</f>
        <v>0.231315789473684</v>
      </c>
      <c r="X85" s="263" t="n">
        <f aca="false">MAX(W85)</f>
        <v>0.231315789473684</v>
      </c>
      <c r="Y85" s="264" t="n">
        <f aca="false">((AVERAGE(W85)*12/1000))</f>
        <v>0.00277578947368421</v>
      </c>
      <c r="Z85" s="265" t="n">
        <f aca="false">(((Y85)*1000)/SQRT(3))</f>
        <v>1.60260279984531</v>
      </c>
      <c r="AA85" s="265" t="n">
        <f aca="false">((0.02)/SQRT(3))*1000</f>
        <v>11.5470053837925</v>
      </c>
      <c r="AB85" s="187"/>
    </row>
    <row r="86" customFormat="false" ht="18" hidden="false" customHeight="false" outlineLevel="0" collapsed="false">
      <c r="B86" s="161" t="n">
        <f aca="false">+B85+1</f>
        <v>82</v>
      </c>
      <c r="C86" s="252" t="s">
        <v>404</v>
      </c>
      <c r="D86" s="253" t="n">
        <v>4</v>
      </c>
      <c r="E86" s="254" t="n">
        <v>2.51968503937008</v>
      </c>
      <c r="F86" s="255" t="n">
        <f aca="false">+E86/1000000</f>
        <v>2.51968503937008E-006</v>
      </c>
      <c r="G86" s="253" t="n">
        <v>1.92913385826772</v>
      </c>
      <c r="H86" s="255" t="n">
        <f aca="false">+G86/1000000</f>
        <v>1.92913385826772E-006</v>
      </c>
      <c r="J86" s="256" t="str">
        <f aca="false">C86</f>
        <v>070013</v>
      </c>
      <c r="K86" s="257" t="n">
        <f aca="false">+D86*25.4</f>
        <v>101.6</v>
      </c>
      <c r="L86" s="258" t="n">
        <f aca="false">+(E86*25.4)/1000</f>
        <v>0.064</v>
      </c>
      <c r="M86" s="259" t="n">
        <f aca="false">+L86*10^-3</f>
        <v>6.4E-005</v>
      </c>
      <c r="N86" s="260" t="n">
        <f aca="false">+(G86*25.4)/1000</f>
        <v>0.049</v>
      </c>
      <c r="O86" s="255" t="n">
        <f aca="false">+N86*10^-3</f>
        <v>4.9E-005</v>
      </c>
      <c r="P86" s="260" t="n">
        <f aca="false">+N86/2</f>
        <v>0.0245</v>
      </c>
      <c r="Q86" s="255" t="n">
        <f aca="false">+(H86*25.4)/2</f>
        <v>2.45E-005</v>
      </c>
      <c r="R86" s="256" t="str">
        <f aca="false">J86</f>
        <v>070013</v>
      </c>
      <c r="S86" s="261" t="n">
        <f aca="false">D86</f>
        <v>4</v>
      </c>
      <c r="T86" s="254" t="n">
        <f aca="false">0.4*25.4/1000</f>
        <v>0.01016</v>
      </c>
      <c r="U86" s="254" t="n">
        <v>0.05588</v>
      </c>
      <c r="V86" s="262" t="n">
        <f aca="false">M86*1000</f>
        <v>0.064</v>
      </c>
      <c r="W86" s="263" t="n">
        <f aca="false">(ABS(U86-V86)/$W$2)*1000</f>
        <v>0.106842105263158</v>
      </c>
      <c r="X86" s="269" t="n">
        <f aca="false">MAX(W86)</f>
        <v>0.106842105263158</v>
      </c>
      <c r="Y86" s="264" t="n">
        <f aca="false">((AVERAGE(W86)*12/1000))</f>
        <v>0.00128210526315789</v>
      </c>
      <c r="Z86" s="265" t="n">
        <f aca="false">(((Y86)*1000)/SQRT(3))</f>
        <v>0.740223818813646</v>
      </c>
      <c r="AA86" s="270" t="n">
        <f aca="false">((0.02)/SQRT(3))*1000</f>
        <v>11.5470053837925</v>
      </c>
      <c r="AB86" s="187"/>
    </row>
    <row r="87" customFormat="false" ht="18" hidden="false" customHeight="false" outlineLevel="0" collapsed="false">
      <c r="B87" s="161" t="n">
        <f aca="false">+B86+1</f>
        <v>83</v>
      </c>
      <c r="C87" s="252" t="s">
        <v>405</v>
      </c>
      <c r="D87" s="271" t="n">
        <f aca="false">ROUNDDOWN((1.09+0.5)*0.0393701,4)</f>
        <v>0.0625</v>
      </c>
      <c r="E87" s="254" t="n">
        <v>2.59000139860009</v>
      </c>
      <c r="F87" s="255" t="n">
        <f aca="false">+E87/1000000</f>
        <v>2.59000139860009E-006</v>
      </c>
      <c r="G87" s="272" t="n">
        <f aca="false">(SQRT(((0.000000023)^2)+((0.000000023)^2)))*0.0393701*1000000</f>
        <v>0.00128058777555565</v>
      </c>
      <c r="H87" s="273" t="n">
        <f aca="false">+G87/1000000</f>
        <v>1.28058777555565E-009</v>
      </c>
      <c r="J87" s="256" t="str">
        <f aca="false">C87</f>
        <v>23045J y 03982K</v>
      </c>
      <c r="K87" s="257" t="n">
        <f aca="false">D87*25.4</f>
        <v>1.5875</v>
      </c>
      <c r="L87" s="258" t="n">
        <f aca="false">+(E87*25.4)/1000</f>
        <v>0.0657860355244423</v>
      </c>
      <c r="M87" s="259" t="n">
        <f aca="false">+L87*10^-3</f>
        <v>6.57860355244423E-005</v>
      </c>
      <c r="N87" s="260" t="n">
        <f aca="false">+(G87*25.4)/1000</f>
        <v>3.25269294991136E-005</v>
      </c>
      <c r="O87" s="255" t="n">
        <f aca="false">+N87*10^-3</f>
        <v>3.25269294991136E-008</v>
      </c>
      <c r="P87" s="260" t="n">
        <f aca="false">+N87/2</f>
        <v>1.62634647495568E-005</v>
      </c>
      <c r="Q87" s="255" t="n">
        <f aca="false">+(H87*25.4)/2</f>
        <v>1.62634647495568E-008</v>
      </c>
      <c r="R87" s="256" t="str">
        <f aca="false">J87</f>
        <v>23045J y 03982K</v>
      </c>
      <c r="S87" s="261" t="n">
        <f aca="false">D87</f>
        <v>0.0625</v>
      </c>
      <c r="T87" s="254" t="n">
        <f aca="false">0.4*25.4/1000</f>
        <v>0.01016</v>
      </c>
      <c r="U87" s="254" t="n">
        <f aca="false">U25+U$5</f>
        <v>0.0254</v>
      </c>
      <c r="V87" s="262" t="n">
        <f aca="false">M87*1000</f>
        <v>0.0657860355244423</v>
      </c>
      <c r="W87" s="263" t="n">
        <f aca="false">(ABS(U87-V87)/$W$2)*1000</f>
        <v>0.531395204268978</v>
      </c>
      <c r="X87" s="269" t="n">
        <f aca="false">MAX(W87)</f>
        <v>0.531395204268978</v>
      </c>
      <c r="Y87" s="264" t="n">
        <f aca="false">((AVERAGE(W87)*12/1000))</f>
        <v>0.00637674245122774</v>
      </c>
      <c r="Z87" s="265" t="n">
        <f aca="false">(((Y87)*1000)/SQRT(3))</f>
        <v>3.68161397076925</v>
      </c>
      <c r="AA87" s="270" t="n">
        <f aca="false">((0.02)/SQRT(3))*1000</f>
        <v>11.5470053837925</v>
      </c>
    </row>
    <row r="88" customFormat="false" ht="18" hidden="false" customHeight="false" outlineLevel="0" collapsed="false">
      <c r="B88" s="161" t="n">
        <f aca="false">+B87+1</f>
        <v>84</v>
      </c>
      <c r="C88" s="252" t="s">
        <v>406</v>
      </c>
      <c r="D88" s="253" t="n">
        <v>0.16</v>
      </c>
      <c r="E88" s="254" t="n">
        <f aca="false">E26+E$5</f>
        <v>1.49606299212598</v>
      </c>
      <c r="F88" s="255" t="n">
        <f aca="false">+E88/1000000</f>
        <v>1.49606299212598E-006</v>
      </c>
      <c r="G88" s="254" t="n">
        <f aca="false">G26+G$5</f>
        <v>1.81102362204724</v>
      </c>
      <c r="H88" s="273" t="n">
        <f aca="false">+G88/1000000</f>
        <v>1.81102362204724E-006</v>
      </c>
      <c r="J88" s="256" t="str">
        <f aca="false">C88</f>
        <v>060058 y 070007</v>
      </c>
      <c r="K88" s="257" t="n">
        <f aca="false">D88*25.4</f>
        <v>4.064</v>
      </c>
      <c r="L88" s="258" t="n">
        <f aca="false">+(E88*25.4)/1000</f>
        <v>0.038</v>
      </c>
      <c r="M88" s="259" t="n">
        <f aca="false">+L88*10^-3</f>
        <v>3.8E-005</v>
      </c>
      <c r="N88" s="260" t="n">
        <f aca="false">+(G88*25.4)/1000</f>
        <v>0.046</v>
      </c>
      <c r="O88" s="255" t="n">
        <f aca="false">+N88*10^-3</f>
        <v>4.6E-005</v>
      </c>
      <c r="P88" s="260" t="n">
        <f aca="false">+N88/2</f>
        <v>0.023</v>
      </c>
      <c r="Q88" s="255" t="n">
        <f aca="false">+(H88*25.4)/2</f>
        <v>2.3E-005</v>
      </c>
      <c r="R88" s="256" t="str">
        <f aca="false">J88</f>
        <v>060058 y 070007</v>
      </c>
      <c r="S88" s="261" t="n">
        <f aca="false">D88</f>
        <v>0.16</v>
      </c>
      <c r="T88" s="254" t="n">
        <f aca="false">0.4*25.4/1000</f>
        <v>0.01016</v>
      </c>
      <c r="U88" s="254" t="n">
        <f aca="false">U26+U$5</f>
        <v>0.02286</v>
      </c>
      <c r="V88" s="262" t="n">
        <f aca="false">M88*1000</f>
        <v>0.038</v>
      </c>
      <c r="W88" s="263" t="n">
        <f aca="false">(ABS(U88-V88)/$W$2)*1000</f>
        <v>0.19921052631579</v>
      </c>
      <c r="X88" s="269" t="n">
        <f aca="false">MAX(W88)</f>
        <v>0.19921052631579</v>
      </c>
      <c r="Y88" s="264" t="n">
        <f aca="false">((AVERAGE(W88)*12/1000))</f>
        <v>0.00239052631578947</v>
      </c>
      <c r="Z88" s="265" t="n">
        <f aca="false">(((Y88)*1000)/SQRT(3))</f>
        <v>1.38017101192594</v>
      </c>
      <c r="AA88" s="270" t="n">
        <f aca="false">((0.02)/SQRT(3))*1000</f>
        <v>11.5470053837925</v>
      </c>
    </row>
    <row r="89" customFormat="false" ht="18" hidden="false" customHeight="false" outlineLevel="0" collapsed="false">
      <c r="B89" s="161" t="n">
        <f aca="false">+B88+1</f>
        <v>85</v>
      </c>
      <c r="C89" s="252" t="s">
        <v>407</v>
      </c>
      <c r="D89" s="253" t="n">
        <v>0.17</v>
      </c>
      <c r="E89" s="254" t="n">
        <f aca="false">E36+E$5</f>
        <v>2.51968503937008</v>
      </c>
      <c r="F89" s="255" t="n">
        <f aca="false">+E89/1000000</f>
        <v>2.51968503937008E-006</v>
      </c>
      <c r="G89" s="254" t="n">
        <f aca="false">G36+G$5</f>
        <v>1.81102362204724</v>
      </c>
      <c r="H89" s="273" t="n">
        <f aca="false">+G89/1000000</f>
        <v>1.81102362204724E-006</v>
      </c>
      <c r="J89" s="256" t="str">
        <f aca="false">C89</f>
        <v>060100 y 070007</v>
      </c>
      <c r="K89" s="257" t="n">
        <f aca="false">D89*25.4</f>
        <v>4.318</v>
      </c>
      <c r="L89" s="258" t="n">
        <f aca="false">+(E89*25.4)/1000</f>
        <v>0.064</v>
      </c>
      <c r="M89" s="259" t="n">
        <f aca="false">+L89*10^-3</f>
        <v>6.4E-005</v>
      </c>
      <c r="N89" s="260" t="n">
        <f aca="false">+(G89*25.4)/1000</f>
        <v>0.046</v>
      </c>
      <c r="O89" s="255" t="n">
        <f aca="false">+N89*10^-3</f>
        <v>4.6E-005</v>
      </c>
      <c r="P89" s="260" t="n">
        <f aca="false">+N89/2</f>
        <v>0.023</v>
      </c>
      <c r="Q89" s="255" t="n">
        <f aca="false">+(H89*25.4)/2</f>
        <v>2.3E-005</v>
      </c>
      <c r="R89" s="256" t="str">
        <f aca="false">J89</f>
        <v>060100 y 070007</v>
      </c>
      <c r="S89" s="261" t="n">
        <f aca="false">D89</f>
        <v>0.17</v>
      </c>
      <c r="T89" s="254" t="n">
        <f aca="false">0.4*25.4/1000</f>
        <v>0.01016</v>
      </c>
      <c r="U89" s="254" t="n">
        <f aca="false">U36+U$5</f>
        <v>0.03302</v>
      </c>
      <c r="V89" s="262" t="n">
        <f aca="false">M89*1000</f>
        <v>0.064</v>
      </c>
      <c r="W89" s="263" t="n">
        <f aca="false">(ABS(U89-V89)/$W$2)*1000</f>
        <v>0.407631578947368</v>
      </c>
      <c r="X89" s="269" t="n">
        <f aca="false">MAX(W89)</f>
        <v>0.407631578947368</v>
      </c>
      <c r="Y89" s="264" t="n">
        <f aca="false">((AVERAGE(W89)*12/1000))</f>
        <v>0.00489157894736842</v>
      </c>
      <c r="Z89" s="265" t="n">
        <f aca="false">(((Y89)*1000)/SQRT(3))</f>
        <v>2.82415442202546</v>
      </c>
      <c r="AA89" s="270" t="n">
        <f aca="false">((0.02)/SQRT(3))*1000</f>
        <v>11.5470053837925</v>
      </c>
    </row>
    <row r="90" customFormat="false" ht="18" hidden="false" customHeight="false" outlineLevel="0" collapsed="false">
      <c r="B90" s="161" t="n">
        <f aca="false">+B89+1</f>
        <v>86</v>
      </c>
      <c r="C90" s="252" t="s">
        <v>408</v>
      </c>
      <c r="D90" s="253" t="n">
        <v>0.18</v>
      </c>
      <c r="E90" s="254" t="n">
        <f aca="false">E46+E$5</f>
        <v>1.73228346456693</v>
      </c>
      <c r="F90" s="255" t="n">
        <f aca="false">+E90/1000000</f>
        <v>1.73228346456693E-006</v>
      </c>
      <c r="G90" s="254" t="n">
        <f aca="false">G46+G$5</f>
        <v>1.81102362204724</v>
      </c>
      <c r="H90" s="273" t="n">
        <f aca="false">+G90/1000000</f>
        <v>1.81102362204724E-006</v>
      </c>
      <c r="J90" s="256" t="str">
        <f aca="false">C90</f>
        <v>070050 y 070008</v>
      </c>
      <c r="K90" s="257" t="n">
        <f aca="false">D90*25.4</f>
        <v>4.572</v>
      </c>
      <c r="L90" s="258" t="n">
        <f aca="false">+(E90*25.4)/1000</f>
        <v>0.044</v>
      </c>
      <c r="M90" s="259" t="n">
        <f aca="false">+L90*10^-3</f>
        <v>4.4E-005</v>
      </c>
      <c r="N90" s="260" t="n">
        <f aca="false">+(G90*25.4)/1000</f>
        <v>0.046</v>
      </c>
      <c r="O90" s="255" t="n">
        <f aca="false">+N90*10^-3</f>
        <v>4.6E-005</v>
      </c>
      <c r="P90" s="260" t="n">
        <f aca="false">+N90/2</f>
        <v>0.023</v>
      </c>
      <c r="Q90" s="255" t="n">
        <f aca="false">+(H90*25.4)/2</f>
        <v>2.3E-005</v>
      </c>
      <c r="R90" s="256" t="str">
        <f aca="false">J90</f>
        <v>070050 y 070008</v>
      </c>
      <c r="S90" s="261" t="n">
        <f aca="false">D90</f>
        <v>0.18</v>
      </c>
      <c r="T90" s="254" t="n">
        <f aca="false">0.4*25.4/1000</f>
        <v>0.01016</v>
      </c>
      <c r="U90" s="254" t="n">
        <f aca="false">U46+U$5</f>
        <v>0.02032</v>
      </c>
      <c r="V90" s="262" t="n">
        <f aca="false">M90*1000</f>
        <v>0.044</v>
      </c>
      <c r="W90" s="263" t="n">
        <f aca="false">(ABS(U90-V90)/$W$2)*1000</f>
        <v>0.311578947368421</v>
      </c>
      <c r="X90" s="269" t="n">
        <f aca="false">MAX(W90)</f>
        <v>0.311578947368421</v>
      </c>
      <c r="Y90" s="264" t="n">
        <f aca="false">((AVERAGE(W90)*12/1000))</f>
        <v>0.00373894736842105</v>
      </c>
      <c r="Z90" s="265" t="n">
        <f aca="false">(((Y90)*1000)/SQRT(3))</f>
        <v>2.15868226964374</v>
      </c>
      <c r="AA90" s="270" t="n">
        <f aca="false">((0.02)/SQRT(3))*1000</f>
        <v>11.5470053837925</v>
      </c>
    </row>
    <row r="91" customFormat="false" ht="18" hidden="false" customHeight="false" outlineLevel="0" collapsed="false">
      <c r="B91" s="161" t="n">
        <f aca="false">+B90+1</f>
        <v>87</v>
      </c>
      <c r="C91" s="252" t="s">
        <v>409</v>
      </c>
      <c r="D91" s="253" t="n">
        <v>0.19</v>
      </c>
      <c r="E91" s="254" t="n">
        <f aca="false">E56+E$5</f>
        <v>0.433070866141732</v>
      </c>
      <c r="F91" s="255" t="n">
        <f aca="false">+E91/1000000</f>
        <v>4.33070866141732E-007</v>
      </c>
      <c r="G91" s="254" t="n">
        <f aca="false">G56+G$5</f>
        <v>1.81102362204724</v>
      </c>
      <c r="H91" s="273" t="n">
        <f aca="false">+G91/1000000</f>
        <v>1.81102362204724E-006</v>
      </c>
      <c r="J91" s="256" t="str">
        <f aca="false">C91</f>
        <v>070037 y 070009</v>
      </c>
      <c r="K91" s="257" t="n">
        <f aca="false">D91*25.4</f>
        <v>4.826</v>
      </c>
      <c r="L91" s="258" t="n">
        <f aca="false">+(E91*25.4)/1000</f>
        <v>0.011</v>
      </c>
      <c r="M91" s="259" t="n">
        <f aca="false">+L91*10^-3</f>
        <v>1.1E-005</v>
      </c>
      <c r="N91" s="260" t="n">
        <f aca="false">+(G91*25.4)/1000</f>
        <v>0.046</v>
      </c>
      <c r="O91" s="255" t="n">
        <f aca="false">+N91*10^-3</f>
        <v>4.6E-005</v>
      </c>
      <c r="P91" s="260" t="n">
        <f aca="false">+N91/2</f>
        <v>0.023</v>
      </c>
      <c r="Q91" s="255" t="n">
        <f aca="false">+(H91*25.4)/2</f>
        <v>2.3E-005</v>
      </c>
      <c r="R91" s="256" t="str">
        <f aca="false">J91</f>
        <v>070037 y 070009</v>
      </c>
      <c r="S91" s="261" t="n">
        <f aca="false">D91</f>
        <v>0.19</v>
      </c>
      <c r="T91" s="254" t="n">
        <f aca="false">0.4*25.4/1000</f>
        <v>0.01016</v>
      </c>
      <c r="U91" s="254" t="n">
        <f aca="false">U56+U$5</f>
        <v>-0.01778</v>
      </c>
      <c r="V91" s="262" t="n">
        <f aca="false">M91*1000</f>
        <v>0.011</v>
      </c>
      <c r="W91" s="263" t="n">
        <f aca="false">(ABS(U91-V91)/$W$2)*1000</f>
        <v>0.378684210526316</v>
      </c>
      <c r="X91" s="269" t="n">
        <f aca="false">MAX(W91)</f>
        <v>0.378684210526316</v>
      </c>
      <c r="Y91" s="264" t="n">
        <f aca="false">((AVERAGE(W91)*12/1000))</f>
        <v>0.00454421052631579</v>
      </c>
      <c r="Z91" s="265" t="n">
        <f aca="false">(((Y91)*1000)/SQRT(3))</f>
        <v>2.62360117062275</v>
      </c>
      <c r="AA91" s="270" t="n">
        <f aca="false">((0.02)/SQRT(3))*1000</f>
        <v>11.5470053837925</v>
      </c>
    </row>
  </sheetData>
  <mergeCells count="7">
    <mergeCell ref="C3:D3"/>
    <mergeCell ref="E3:F3"/>
    <mergeCell ref="G3:H3"/>
    <mergeCell ref="J3:K3"/>
    <mergeCell ref="L3:M3"/>
    <mergeCell ref="N3:Q3"/>
    <mergeCell ref="S3:AA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Z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1" activeCellId="0" sqref="G11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23.5"/>
    <col collapsed="false" customWidth="true" hidden="false" outlineLevel="0" max="3" min="3" style="1" width="14.17"/>
    <col collapsed="false" customWidth="true" hidden="true" outlineLevel="0" max="5" min="5" style="1" width="10.16"/>
    <col collapsed="false" customWidth="true" hidden="false" outlineLevel="0" max="6" min="6" style="1" width="12.17"/>
    <col collapsed="false" customWidth="true" hidden="false" outlineLevel="0" max="22" min="22" style="1" width="23"/>
    <col collapsed="false" customWidth="true" hidden="false" outlineLevel="0" max="23" min="23" style="1" width="17"/>
    <col collapsed="false" customWidth="true" hidden="false" outlineLevel="0" max="24" min="24" style="1" width="23.33"/>
    <col collapsed="false" customWidth="true" hidden="false" outlineLevel="0" max="26" min="26" style="1" width="19.17"/>
  </cols>
  <sheetData>
    <row r="1" customFormat="false" ht="48.75" hidden="false" customHeight="false" outlineLevel="0" collapsed="false">
      <c r="A1" s="61" t="s">
        <v>410</v>
      </c>
      <c r="B1" s="61" t="s">
        <v>411</v>
      </c>
      <c r="C1" s="61" t="str">
        <f aca="false">CONCATENATE("Valor Nominal ",IF('conversion datos'!$L$30='Patrones LACOMET'!$D$3,"Pulgadas",IF('conversion datos'!$L$30='Patrones LACOMET'!$D$4,"mm","No existe el patrón")))</f>
        <v>Valor Nominal mm</v>
      </c>
      <c r="D1" s="61" t="str">
        <f aca="false">CONCATENATE("Deviación long central ",IF('conversion datos'!$L$30='Patrones LACOMET'!$D$3,"(µPulgadas)",IF('conversion datos'!$L$30='Patrones LACOMET'!$D$4," (µm)","No existe el patrón")))</f>
        <v>Deviación long central  (µm)</v>
      </c>
      <c r="E1" s="274" t="s">
        <v>412</v>
      </c>
      <c r="F1" s="61" t="str">
        <f aca="false">CONCATENATE("Deviación long central ",IF('conversion datos'!$L$30='Patrones LACOMET'!$D$3,"(µPulgadas)",IF('conversion datos'!$L$30='Patrones LACOMET'!$D$4," (µm)","No existe el patrón")))</f>
        <v>Deviación long central  (µm)</v>
      </c>
      <c r="I1" s="275" t="s">
        <v>413</v>
      </c>
      <c r="J1" s="275"/>
      <c r="K1" s="276" t="str">
        <f aca="false">VLOOKUP($L$27,$V$2:$W$4,2,FALSE())</f>
        <v>LRR-DI-01 FOLIOS</v>
      </c>
      <c r="L1" s="276"/>
      <c r="V1" s="61" t="s">
        <v>414</v>
      </c>
      <c r="W1" s="61" t="s">
        <v>415</v>
      </c>
      <c r="X1" s="61" t="s">
        <v>416</v>
      </c>
      <c r="Y1" s="61" t="s">
        <v>417</v>
      </c>
      <c r="Z1" s="61" t="s">
        <v>418</v>
      </c>
    </row>
    <row r="2" customFormat="false" ht="16.5" hidden="false" customHeight="false" outlineLevel="0" collapsed="false">
      <c r="A2" s="277" t="n">
        <v>1</v>
      </c>
      <c r="B2" s="278" t="e">
        <f aca="false">IF('introduccion de datos de calib.'!#ref!="","",'introduccion de datos de calib.'!#ref!)</f>
        <v>#VALUE!</v>
      </c>
      <c r="C2" s="279" t="str">
        <f aca="false">IF('Introduccion de datos de Calib.'!A2="","",'Introduccion de datos de Calib.'!A2)</f>
        <v/>
      </c>
      <c r="D2" s="280" t="str">
        <f aca="false">IF('Introduccion de datos de Calib.'!E2="","",'Introduccion de datos de Calib.'!E2+IF('conversion datos'!$L$30='Patrones LACOMET'!$D$3,VLOOKUP($C2,'BLOQUES PATRON (pulg) '!$D$5:$E$91,2,FALSE()),IF('conversion datos'!$L$30='Patrones LACOMET'!$D$4,VLOOKUP($C2,'BLOQUES PATRON (mm)'!$D$5:$F$126,3,FALSE()),"No existe el patrón")))</f>
        <v/>
      </c>
      <c r="E2" s="281"/>
      <c r="F2" s="282" t="str">
        <f aca="false">IF(D2="","",(IF(E2="-",-D2,D2)))</f>
        <v/>
      </c>
      <c r="V2" s="283" t="s">
        <v>419</v>
      </c>
      <c r="W2" s="284" t="s">
        <v>420</v>
      </c>
      <c r="X2" s="283" t="s">
        <v>421</v>
      </c>
      <c r="Y2" s="284" t="n">
        <v>88141568</v>
      </c>
      <c r="Z2" s="285" t="s">
        <v>422</v>
      </c>
    </row>
    <row r="3" customFormat="false" ht="16.5" hidden="false" customHeight="false" outlineLevel="0" collapsed="false">
      <c r="A3" s="277" t="n">
        <v>2</v>
      </c>
      <c r="B3" s="278" t="e">
        <f aca="false">IF('introduccion de datos de calib.'!#ref!="","",'introduccion de datos de calib.'!#ref!)</f>
        <v>#VALUE!</v>
      </c>
      <c r="C3" s="279" t="str">
        <f aca="false">IF('Introduccion de datos de Calib.'!A3="","",'Introduccion de datos de Calib.'!A3)</f>
        <v/>
      </c>
      <c r="D3" s="280" t="str">
        <f aca="false">IF('Introduccion de datos de Calib.'!E3="","",'Introduccion de datos de Calib.'!E3+IF('conversion datos'!$L$30='Patrones LACOMET'!$D$3,VLOOKUP($C3,'BLOQUES PATRON (pulg) '!$D$5:$E$91,2,FALSE()),IF('conversion datos'!$L$30='Patrones LACOMET'!$D$4,VLOOKUP($C3,'BLOQUES PATRON (mm)'!$D$5:$F$126,3,FALSE()),"No existe el patrón")))</f>
        <v/>
      </c>
      <c r="E3" s="281"/>
      <c r="F3" s="282" t="str">
        <f aca="false">IF(D3="","",(IF(E3="-",-D3,D3)))</f>
        <v/>
      </c>
      <c r="I3" s="286" t="s">
        <v>423</v>
      </c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V3" s="283" t="s">
        <v>424</v>
      </c>
      <c r="W3" s="284" t="s">
        <v>425</v>
      </c>
      <c r="X3" s="283" t="s">
        <v>426</v>
      </c>
      <c r="Y3" s="284"/>
      <c r="Z3" s="285" t="s">
        <v>427</v>
      </c>
    </row>
    <row r="4" customFormat="false" ht="16.5" hidden="false" customHeight="false" outlineLevel="0" collapsed="false">
      <c r="A4" s="277" t="n">
        <v>3</v>
      </c>
      <c r="B4" s="278" t="e">
        <f aca="false">IF('introduccion de datos de calib.'!#ref!="","",'introduccion de datos de calib.'!#ref!)</f>
        <v>#VALUE!</v>
      </c>
      <c r="C4" s="279" t="str">
        <f aca="false">IF('Introduccion de datos de Calib.'!A4="","",'Introduccion de datos de Calib.'!A4)</f>
        <v/>
      </c>
      <c r="D4" s="280" t="str">
        <f aca="false">IF('Introduccion de datos de Calib.'!E4="","",'Introduccion de datos de Calib.'!E4+IF('conversion datos'!$L$30='Patrones LACOMET'!$D$3,VLOOKUP($C4,'BLOQUES PATRON (pulg) '!$D$5:$E$91,2,FALSE()),IF('conversion datos'!$L$30='Patrones LACOMET'!$D$4,VLOOKUP($C4,'BLOQUES PATRON (mm)'!$D$5:$F$126,3,FALSE()),"No existe el patrón")))</f>
        <v/>
      </c>
      <c r="E4" s="281"/>
      <c r="F4" s="282" t="str">
        <f aca="false">IF(D4="","",(IF(E4="-",-D4,D4)))</f>
        <v/>
      </c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V4" s="283" t="s">
        <v>428</v>
      </c>
      <c r="W4" s="284" t="s">
        <v>429</v>
      </c>
      <c r="X4" s="283" t="s">
        <v>430</v>
      </c>
      <c r="Y4" s="284"/>
      <c r="Z4" s="285" t="s">
        <v>431</v>
      </c>
    </row>
    <row r="5" customFormat="false" ht="15.75" hidden="false" customHeight="false" outlineLevel="0" collapsed="false">
      <c r="A5" s="277" t="n">
        <v>4</v>
      </c>
      <c r="B5" s="278" t="e">
        <f aca="false">IF('introduccion de datos de calib.'!#ref!="","",'introduccion de datos de calib.'!#ref!)</f>
        <v>#VALUE!</v>
      </c>
      <c r="C5" s="279" t="str">
        <f aca="false">IF('Introduccion de datos de Calib.'!A5="","",'Introduccion de datos de Calib.'!A5)</f>
        <v/>
      </c>
      <c r="D5" s="280" t="str">
        <f aca="false">IF('Introduccion de datos de Calib.'!E5="","",'Introduccion de datos de Calib.'!E5)</f>
        <v/>
      </c>
      <c r="E5" s="281"/>
      <c r="F5" s="282" t="str">
        <f aca="false">IF(D5="","",(IF(E5="-",-D5,D5)))</f>
        <v/>
      </c>
      <c r="I5" s="288" t="s">
        <v>432</v>
      </c>
      <c r="J5" s="288"/>
      <c r="K5" s="288"/>
      <c r="L5" s="289" t="n">
        <f aca="true">TODAY()</f>
        <v>45268</v>
      </c>
      <c r="M5" s="289"/>
      <c r="N5" s="289"/>
      <c r="O5" s="289"/>
      <c r="P5" s="289"/>
      <c r="Q5" s="289"/>
      <c r="R5" s="289"/>
      <c r="S5" s="289"/>
      <c r="T5" s="289"/>
      <c r="V5" s="283" t="s">
        <v>433</v>
      </c>
      <c r="W5" s="284" t="s">
        <v>434</v>
      </c>
      <c r="X5" s="283" t="s">
        <v>435</v>
      </c>
      <c r="Y5" s="284"/>
      <c r="Z5" s="285" t="s">
        <v>436</v>
      </c>
    </row>
    <row r="6" customFormat="false" ht="15" hidden="false" customHeight="false" outlineLevel="0" collapsed="false">
      <c r="A6" s="277" t="n">
        <v>5</v>
      </c>
      <c r="B6" s="278" t="e">
        <f aca="false">IF('introduccion de datos de calib.'!#ref!="","",'introduccion de datos de calib.'!#ref!)</f>
        <v>#VALUE!</v>
      </c>
      <c r="C6" s="279" t="str">
        <f aca="false">IF('Introduccion de datos de Calib.'!A6="","",'Introduccion de datos de Calib.'!A6)</f>
        <v/>
      </c>
      <c r="D6" s="280" t="str">
        <f aca="false">IF('Introduccion de datos de Calib.'!E6="","",'Introduccion de datos de Calib.'!E6)</f>
        <v/>
      </c>
      <c r="E6" s="281"/>
      <c r="F6" s="282" t="str">
        <f aca="false">IF(D6="","",(IF(E6="-",-D6,D6)))</f>
        <v/>
      </c>
      <c r="I6" s="290" t="s">
        <v>437</v>
      </c>
      <c r="J6" s="290"/>
      <c r="K6" s="290"/>
      <c r="L6" s="291" t="s">
        <v>438</v>
      </c>
      <c r="M6" s="291"/>
      <c r="N6" s="291"/>
      <c r="O6" s="291"/>
      <c r="P6" s="291"/>
      <c r="Q6" s="291"/>
      <c r="R6" s="291"/>
      <c r="S6" s="291"/>
      <c r="T6" s="291"/>
      <c r="V6" s="292"/>
      <c r="W6" s="292"/>
      <c r="X6" s="292"/>
      <c r="Y6" s="292"/>
      <c r="Z6" s="292"/>
    </row>
    <row r="7" customFormat="false" ht="15" hidden="false" customHeight="false" outlineLevel="0" collapsed="false">
      <c r="A7" s="277" t="n">
        <v>6</v>
      </c>
      <c r="B7" s="278" t="e">
        <f aca="false">IF('introduccion de datos de calib.'!#ref!="","",'introduccion de datos de calib.'!#ref!)</f>
        <v>#VALUE!</v>
      </c>
      <c r="C7" s="279" t="str">
        <f aca="false">IF('Introduccion de datos de Calib.'!A7="","",'Introduccion de datos de Calib.'!A7)</f>
        <v/>
      </c>
      <c r="D7" s="280" t="str">
        <f aca="false">IF('Introduccion de datos de Calib.'!E7="","",'Introduccion de datos de Calib.'!E7)</f>
        <v/>
      </c>
      <c r="E7" s="281"/>
      <c r="F7" s="282" t="str">
        <f aca="false">IF(D7="","",(IF(E7="-",-D7,D7)))</f>
        <v/>
      </c>
      <c r="I7" s="290" t="s">
        <v>439</v>
      </c>
      <c r="J7" s="290"/>
      <c r="K7" s="290"/>
      <c r="L7" s="293" t="s">
        <v>440</v>
      </c>
      <c r="M7" s="293"/>
      <c r="N7" s="293"/>
      <c r="O7" s="293"/>
      <c r="P7" s="293"/>
      <c r="Q7" s="293"/>
      <c r="R7" s="293"/>
      <c r="S7" s="293"/>
      <c r="T7" s="293"/>
      <c r="V7" s="292"/>
      <c r="W7" s="292"/>
      <c r="X7" s="292"/>
      <c r="Y7" s="292"/>
      <c r="Z7" s="292"/>
    </row>
    <row r="8" customFormat="false" ht="15" hidden="false" customHeight="false" outlineLevel="0" collapsed="false">
      <c r="A8" s="277" t="n">
        <v>7</v>
      </c>
      <c r="B8" s="278" t="e">
        <f aca="false">IF('introduccion de datos de calib.'!#ref!="","",'introduccion de datos de calib.'!#ref!)</f>
        <v>#VALUE!</v>
      </c>
      <c r="C8" s="279" t="str">
        <f aca="false">IF('Introduccion de datos de Calib.'!A8="","",'Introduccion de datos de Calib.'!A8)</f>
        <v/>
      </c>
      <c r="D8" s="280" t="str">
        <f aca="false">IF('Introduccion de datos de Calib.'!E8="","",'Introduccion de datos de Calib.'!E8)</f>
        <v/>
      </c>
      <c r="E8" s="281"/>
      <c r="F8" s="282" t="str">
        <f aca="false">IF(D8="","",(IF(E8="-",-D8,D8)))</f>
        <v/>
      </c>
      <c r="I8" s="290" t="s">
        <v>441</v>
      </c>
      <c r="J8" s="290"/>
      <c r="K8" s="290"/>
      <c r="L8" s="294"/>
      <c r="M8" s="294"/>
      <c r="N8" s="294"/>
      <c r="O8" s="294"/>
      <c r="P8" s="294"/>
      <c r="Q8" s="294"/>
      <c r="R8" s="294"/>
      <c r="S8" s="294"/>
      <c r="T8" s="294"/>
      <c r="V8" s="292"/>
      <c r="W8" s="292"/>
      <c r="X8" s="292"/>
      <c r="Y8" s="292"/>
      <c r="Z8" s="292"/>
    </row>
    <row r="9" customFormat="false" ht="15" hidden="false" customHeight="false" outlineLevel="0" collapsed="false">
      <c r="A9" s="277" t="n">
        <v>8</v>
      </c>
      <c r="B9" s="278" t="e">
        <f aca="false">IF('introduccion de datos de calib.'!#ref!="","",'introduccion de datos de calib.'!#ref!)</f>
        <v>#VALUE!</v>
      </c>
      <c r="C9" s="279" t="str">
        <f aca="false">IF('Introduccion de datos de Calib.'!A9="","",'Introduccion de datos de Calib.'!A9)</f>
        <v/>
      </c>
      <c r="D9" s="280" t="str">
        <f aca="false">IF('Introduccion de datos de Calib.'!E9="","",'Introduccion de datos de Calib.'!E9)</f>
        <v/>
      </c>
      <c r="E9" s="281"/>
      <c r="F9" s="282" t="str">
        <f aca="false">IF(D9="","",(IF(E9="-",-D9,D9)))</f>
        <v/>
      </c>
      <c r="I9" s="290" t="s">
        <v>442</v>
      </c>
      <c r="J9" s="290"/>
      <c r="K9" s="290"/>
      <c r="L9" s="295" t="s">
        <v>443</v>
      </c>
      <c r="M9" s="295"/>
      <c r="N9" s="295"/>
      <c r="O9" s="295"/>
      <c r="P9" s="295"/>
      <c r="Q9" s="295"/>
      <c r="R9" s="295"/>
      <c r="S9" s="295"/>
      <c r="T9" s="295"/>
      <c r="V9" s="292"/>
      <c r="W9" s="292"/>
      <c r="X9" s="292"/>
      <c r="Y9" s="292"/>
      <c r="Z9" s="292"/>
    </row>
    <row r="10" customFormat="false" ht="15" hidden="false" customHeight="false" outlineLevel="0" collapsed="false">
      <c r="A10" s="277" t="n">
        <v>9</v>
      </c>
      <c r="B10" s="278" t="e">
        <f aca="false">IF('introduccion de datos de calib.'!#ref!="","",'introduccion de datos de calib.'!#ref!)</f>
        <v>#VALUE!</v>
      </c>
      <c r="C10" s="279" t="str">
        <f aca="false">IF('Introduccion de datos de Calib.'!A10="","",'Introduccion de datos de Calib.'!A10)</f>
        <v/>
      </c>
      <c r="D10" s="280" t="str">
        <f aca="false">IF('Introduccion de datos de Calib.'!E10="","",'Introduccion de datos de Calib.'!E10)</f>
        <v/>
      </c>
      <c r="E10" s="281"/>
      <c r="F10" s="282" t="str">
        <f aca="false">IF(D10="","",(IF(E10="-",-D10,D10)))</f>
        <v/>
      </c>
      <c r="I10" s="290" t="s">
        <v>444</v>
      </c>
      <c r="J10" s="290"/>
      <c r="K10" s="290"/>
      <c r="L10" s="296" t="str">
        <f aca="false">CONCATENATE("LCM ", L6)</f>
        <v>LCM 03890122</v>
      </c>
      <c r="M10" s="296"/>
      <c r="N10" s="296"/>
      <c r="O10" s="296"/>
      <c r="P10" s="296"/>
      <c r="Q10" s="296"/>
      <c r="R10" s="296"/>
      <c r="S10" s="296"/>
      <c r="T10" s="296"/>
      <c r="V10" s="292"/>
      <c r="W10" s="292"/>
      <c r="X10" s="292"/>
      <c r="Y10" s="292"/>
      <c r="Z10" s="292"/>
    </row>
    <row r="11" customFormat="false" ht="15" hidden="false" customHeight="false" outlineLevel="0" collapsed="false">
      <c r="A11" s="277" t="n">
        <v>10</v>
      </c>
      <c r="B11" s="278" t="e">
        <f aca="false">IF('introduccion de datos de calib.'!#ref!="","",'introduccion de datos de calib.'!#ref!)</f>
        <v>#VALUE!</v>
      </c>
      <c r="C11" s="279" t="str">
        <f aca="false">IF('Introduccion de datos de Calib.'!A11="","",'Introduccion de datos de Calib.'!A11)</f>
        <v/>
      </c>
      <c r="D11" s="280" t="str">
        <f aca="false">IF('Introduccion de datos de Calib.'!E11="","",'Introduccion de datos de Calib.'!E11)</f>
        <v/>
      </c>
      <c r="E11" s="281"/>
      <c r="F11" s="282" t="str">
        <f aca="false">IF(D11="","",(IF(E11="-",-D11,D11)))</f>
        <v/>
      </c>
      <c r="I11" s="290" t="s">
        <v>445</v>
      </c>
      <c r="J11" s="290"/>
      <c r="K11" s="290"/>
      <c r="L11" s="297" t="s">
        <v>446</v>
      </c>
      <c r="M11" s="297"/>
      <c r="N11" s="297"/>
      <c r="O11" s="297"/>
      <c r="P11" s="297"/>
      <c r="Q11" s="297"/>
      <c r="R11" s="297"/>
      <c r="S11" s="297"/>
      <c r="T11" s="297"/>
      <c r="V11" s="292"/>
      <c r="W11" s="292"/>
      <c r="X11" s="292"/>
      <c r="Y11" s="292"/>
      <c r="Z11" s="292"/>
    </row>
    <row r="12" customFormat="false" ht="15" hidden="false" customHeight="false" outlineLevel="0" collapsed="false">
      <c r="A12" s="277" t="n">
        <v>11</v>
      </c>
      <c r="B12" s="278" t="e">
        <f aca="false">IF('introduccion de datos de calib.'!#ref!="","",'introduccion de datos de calib.'!#ref!)</f>
        <v>#VALUE!</v>
      </c>
      <c r="C12" s="279" t="str">
        <f aca="false">IF('Introduccion de datos de Calib.'!A12="","",'Introduccion de datos de Calib.'!A12)</f>
        <v/>
      </c>
      <c r="D12" s="280" t="str">
        <f aca="false">IF('Introduccion de datos de Calib.'!E12="","",'Introduccion de datos de Calib.'!E12)</f>
        <v/>
      </c>
      <c r="E12" s="281"/>
      <c r="F12" s="282" t="str">
        <f aca="false">IF(D12="","",(IF(E12="-",-D12,D12)))</f>
        <v/>
      </c>
      <c r="I12" s="290" t="s">
        <v>447</v>
      </c>
      <c r="J12" s="290"/>
      <c r="K12" s="290"/>
      <c r="L12" s="298" t="s">
        <v>448</v>
      </c>
      <c r="M12" s="298"/>
      <c r="N12" s="298"/>
      <c r="O12" s="298"/>
      <c r="P12" s="298"/>
      <c r="Q12" s="298"/>
      <c r="R12" s="298"/>
      <c r="S12" s="298"/>
      <c r="T12" s="298"/>
    </row>
    <row r="13" customFormat="false" ht="15.75" hidden="false" customHeight="false" outlineLevel="0" collapsed="false">
      <c r="A13" s="277" t="n">
        <v>12</v>
      </c>
      <c r="B13" s="278" t="e">
        <f aca="false">IF('introduccion de datos de calib.'!#ref!="","",'introduccion de datos de calib.'!#ref!)</f>
        <v>#VALUE!</v>
      </c>
      <c r="C13" s="279" t="str">
        <f aca="false">IF('Introduccion de datos de Calib.'!A13="","",'Introduccion de datos de Calib.'!A13)</f>
        <v/>
      </c>
      <c r="D13" s="280" t="str">
        <f aca="false">IF('Introduccion de datos de Calib.'!E13="","",'Introduccion de datos de Calib.'!E13)</f>
        <v/>
      </c>
      <c r="E13" s="281"/>
      <c r="F13" s="282" t="str">
        <f aca="false">IF(D13="","",(IF(E13="-",-D13,D13)))</f>
        <v/>
      </c>
      <c r="I13" s="299" t="s">
        <v>449</v>
      </c>
      <c r="J13" s="299"/>
      <c r="K13" s="299"/>
      <c r="L13" s="300" t="s">
        <v>450</v>
      </c>
      <c r="M13" s="300"/>
      <c r="N13" s="300"/>
      <c r="O13" s="300"/>
      <c r="P13" s="300"/>
      <c r="Q13" s="300"/>
      <c r="R13" s="300"/>
      <c r="S13" s="300"/>
      <c r="T13" s="300"/>
    </row>
    <row r="14" customFormat="false" ht="15.75" hidden="false" customHeight="false" outlineLevel="0" collapsed="false">
      <c r="A14" s="277" t="n">
        <v>13</v>
      </c>
      <c r="B14" s="278" t="e">
        <f aca="false">IF('introduccion de datos de calib.'!#ref!="","",'introduccion de datos de calib.'!#ref!)</f>
        <v>#VALUE!</v>
      </c>
      <c r="C14" s="279" t="str">
        <f aca="false">IF('Introduccion de datos de Calib.'!A14="","",'Introduccion de datos de Calib.'!A14)</f>
        <v/>
      </c>
      <c r="D14" s="280" t="str">
        <f aca="false">IF('Introduccion de datos de Calib.'!E14="","",'Introduccion de datos de Calib.'!E14)</f>
        <v/>
      </c>
      <c r="E14" s="281"/>
      <c r="F14" s="282" t="str">
        <f aca="false">IF(D14="","",(IF(E14="-",-D14,D14)))</f>
        <v/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customFormat="false" ht="16.5" hidden="false" customHeight="false" outlineLevel="0" collapsed="false">
      <c r="A15" s="277" t="n">
        <v>14</v>
      </c>
      <c r="B15" s="278" t="e">
        <f aca="false">IF('introduccion de datos de calib.'!#ref!="","",'introduccion de datos de calib.'!#ref!)</f>
        <v>#VALUE!</v>
      </c>
      <c r="C15" s="279" t="str">
        <f aca="false">IF('Introduccion de datos de Calib.'!A15="","",'Introduccion de datos de Calib.'!A15)</f>
        <v/>
      </c>
      <c r="D15" s="280" t="str">
        <f aca="false">IF('Introduccion de datos de Calib.'!E15="","",'Introduccion de datos de Calib.'!E15)</f>
        <v/>
      </c>
      <c r="E15" s="281"/>
      <c r="F15" s="282" t="str">
        <f aca="false">IF(D15="","",(IF(E15="-",-D15,D15)))</f>
        <v/>
      </c>
      <c r="I15" s="286" t="s">
        <v>451</v>
      </c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</row>
    <row r="16" customFormat="false" ht="16.5" hidden="false" customHeight="false" outlineLevel="0" collapsed="false">
      <c r="A16" s="277" t="n">
        <v>15</v>
      </c>
      <c r="B16" s="278" t="e">
        <f aca="false">IF('introduccion de datos de calib.'!#ref!="","",'introduccion de datos de calib.'!#ref!)</f>
        <v>#VALUE!</v>
      </c>
      <c r="C16" s="279" t="str">
        <f aca="false">IF('Introduccion de datos de Calib.'!A16="","",'Introduccion de datos de Calib.'!A16)</f>
        <v/>
      </c>
      <c r="D16" s="280" t="str">
        <f aca="false">IF('Introduccion de datos de Calib.'!E16="","",'Introduccion de datos de Calib.'!E16)</f>
        <v/>
      </c>
      <c r="E16" s="281"/>
      <c r="F16" s="282" t="str">
        <f aca="false">IF(D16="","",(IF(E16="-",-D16,D16)))</f>
        <v/>
      </c>
      <c r="I16" s="301"/>
      <c r="J16" s="301"/>
      <c r="K16" s="301"/>
      <c r="L16" s="301"/>
      <c r="M16" s="301"/>
      <c r="N16" s="301"/>
      <c r="O16" s="301"/>
      <c r="P16" s="301"/>
      <c r="Q16" s="301"/>
      <c r="R16" s="301"/>
      <c r="S16" s="301"/>
      <c r="T16" s="301"/>
    </row>
    <row r="17" customFormat="false" ht="15" hidden="false" customHeight="false" outlineLevel="0" collapsed="false">
      <c r="A17" s="277" t="n">
        <v>16</v>
      </c>
      <c r="B17" s="278" t="e">
        <f aca="false">IF('introduccion de datos de calib.'!#ref!="","",'introduccion de datos de calib.'!#ref!)</f>
        <v>#VALUE!</v>
      </c>
      <c r="C17" s="279" t="str">
        <f aca="false">IF('Introduccion de datos de Calib.'!A17="","",'Introduccion de datos de Calib.'!A17)</f>
        <v/>
      </c>
      <c r="D17" s="280" t="str">
        <f aca="false">IF('Introduccion de datos de Calib.'!E17="","",'Introduccion de datos de Calib.'!E17)</f>
        <v/>
      </c>
      <c r="E17" s="281"/>
      <c r="F17" s="282" t="str">
        <f aca="false">IF(D17="","",(IF(E17="-",-D17,D17)))</f>
        <v/>
      </c>
      <c r="I17" s="288" t="s">
        <v>452</v>
      </c>
      <c r="J17" s="288"/>
      <c r="K17" s="288"/>
      <c r="L17" s="302" t="s">
        <v>453</v>
      </c>
      <c r="M17" s="302"/>
      <c r="N17" s="302"/>
      <c r="O17" s="302"/>
      <c r="P17" s="302"/>
      <c r="Q17" s="302"/>
      <c r="R17" s="302"/>
      <c r="S17" s="302"/>
      <c r="T17" s="302"/>
    </row>
    <row r="18" customFormat="false" ht="15" hidden="false" customHeight="false" outlineLevel="0" collapsed="false">
      <c r="A18" s="277" t="n">
        <v>17</v>
      </c>
      <c r="B18" s="278" t="e">
        <f aca="false">IF('introduccion de datos de calib.'!#ref!="","",'introduccion de datos de calib.'!#ref!)</f>
        <v>#VALUE!</v>
      </c>
      <c r="C18" s="279" t="str">
        <f aca="false">IF('Introduccion de datos de Calib.'!A18="","",'Introduccion de datos de Calib.'!A18)</f>
        <v/>
      </c>
      <c r="D18" s="280" t="str">
        <f aca="false">IF('Introduccion de datos de Calib.'!E18="","",'Introduccion de datos de Calib.'!E18)</f>
        <v/>
      </c>
      <c r="E18" s="281"/>
      <c r="F18" s="282" t="str">
        <f aca="false">IF(D18="","",(IF(E18="-",-D18,D18)))</f>
        <v/>
      </c>
      <c r="I18" s="290" t="s">
        <v>454</v>
      </c>
      <c r="J18" s="290"/>
      <c r="K18" s="290"/>
      <c r="L18" s="297" t="n">
        <v>3</v>
      </c>
      <c r="M18" s="297"/>
      <c r="N18" s="297"/>
      <c r="O18" s="297"/>
      <c r="P18" s="297"/>
      <c r="Q18" s="297"/>
      <c r="R18" s="297"/>
      <c r="S18" s="297"/>
      <c r="T18" s="297"/>
    </row>
    <row r="19" customFormat="false" ht="15" hidden="false" customHeight="false" outlineLevel="0" collapsed="false">
      <c r="A19" s="277" t="n">
        <v>18</v>
      </c>
      <c r="B19" s="278" t="e">
        <f aca="false">IF('introduccion de datos de calib.'!#ref!="","",'introduccion de datos de calib.'!#ref!)</f>
        <v>#VALUE!</v>
      </c>
      <c r="C19" s="279" t="str">
        <f aca="false">IF('Introduccion de datos de Calib.'!A19="","",'Introduccion de datos de Calib.'!A19)</f>
        <v/>
      </c>
      <c r="D19" s="280" t="str">
        <f aca="false">IF('Introduccion de datos de Calib.'!E19="","",'Introduccion de datos de Calib.'!E19)</f>
        <v/>
      </c>
      <c r="E19" s="281"/>
      <c r="F19" s="282" t="str">
        <f aca="false">IF(D19="","",(IF(E19="-",-D19,D19)))</f>
        <v/>
      </c>
      <c r="I19" s="290" t="s">
        <v>455</v>
      </c>
      <c r="J19" s="290"/>
      <c r="K19" s="290"/>
      <c r="L19" s="295" t="s">
        <v>456</v>
      </c>
      <c r="M19" s="295"/>
      <c r="N19" s="295"/>
      <c r="O19" s="295"/>
      <c r="P19" s="295"/>
      <c r="Q19" s="295"/>
      <c r="R19" s="295"/>
      <c r="S19" s="295"/>
      <c r="T19" s="295"/>
    </row>
    <row r="20" customFormat="false" ht="15" hidden="false" customHeight="false" outlineLevel="0" collapsed="false">
      <c r="A20" s="277" t="n">
        <v>19</v>
      </c>
      <c r="B20" s="278" t="e">
        <f aca="false">IF('introduccion de datos de calib.'!#ref!="","",'introduccion de datos de calib.'!#ref!)</f>
        <v>#VALUE!</v>
      </c>
      <c r="C20" s="279" t="str">
        <f aca="false">IF('Introduccion de datos de Calib.'!A20="","",'Introduccion de datos de Calib.'!A20)</f>
        <v/>
      </c>
      <c r="D20" s="280" t="str">
        <f aca="false">IF('Introduccion de datos de Calib.'!E20="","",'Introduccion de datos de Calib.'!E20)</f>
        <v/>
      </c>
      <c r="E20" s="281"/>
      <c r="F20" s="282" t="str">
        <f aca="false">IF(D20="","",(IF(E20="-",-D20,D20)))</f>
        <v/>
      </c>
      <c r="I20" s="290" t="s">
        <v>457</v>
      </c>
      <c r="J20" s="290"/>
      <c r="K20" s="290"/>
      <c r="L20" s="303" t="s">
        <v>458</v>
      </c>
      <c r="M20" s="303"/>
      <c r="N20" s="303"/>
      <c r="O20" s="303"/>
      <c r="P20" s="303"/>
      <c r="Q20" s="303"/>
      <c r="R20" s="303"/>
      <c r="S20" s="303"/>
      <c r="T20" s="303"/>
    </row>
    <row r="21" customFormat="false" ht="15" hidden="false" customHeight="false" outlineLevel="0" collapsed="false">
      <c r="A21" s="277" t="n">
        <v>20</v>
      </c>
      <c r="B21" s="278" t="e">
        <f aca="false">IF('introduccion de datos de calib.'!#ref!="","",'introduccion de datos de calib.'!#ref!)</f>
        <v>#VALUE!</v>
      </c>
      <c r="C21" s="279" t="str">
        <f aca="false">IF('Introduccion de datos de Calib.'!A21="","",'Introduccion de datos de Calib.'!A21)</f>
        <v/>
      </c>
      <c r="D21" s="280" t="str">
        <f aca="false">IF('Introduccion de datos de Calib.'!E21="","",'Introduccion de datos de Calib.'!E21)</f>
        <v/>
      </c>
      <c r="E21" s="281"/>
      <c r="F21" s="282" t="str">
        <f aca="false">IF(D21="","",(IF(E21="-",-D21,D21)))</f>
        <v/>
      </c>
      <c r="I21" s="290" t="s">
        <v>459</v>
      </c>
      <c r="J21" s="290"/>
      <c r="K21" s="290"/>
      <c r="L21" s="303" t="s">
        <v>460</v>
      </c>
      <c r="M21" s="303"/>
      <c r="N21" s="303"/>
      <c r="O21" s="303"/>
      <c r="P21" s="303"/>
      <c r="Q21" s="303"/>
      <c r="R21" s="303"/>
      <c r="S21" s="303"/>
      <c r="T21" s="303"/>
    </row>
    <row r="22" customFormat="false" ht="15" hidden="false" customHeight="false" outlineLevel="0" collapsed="false">
      <c r="A22" s="277" t="n">
        <v>21</v>
      </c>
      <c r="B22" s="278" t="e">
        <f aca="false">IF('introduccion de datos de calib.'!#ref!="","",'introduccion de datos de calib.'!#ref!)</f>
        <v>#VALUE!</v>
      </c>
      <c r="C22" s="279" t="str">
        <f aca="false">IF('Introduccion de datos de Calib.'!A22="","",'Introduccion de datos de Calib.'!A22)</f>
        <v/>
      </c>
      <c r="D22" s="280" t="str">
        <f aca="false">IF('Introduccion de datos de Calib.'!E22="","",'Introduccion de datos de Calib.'!E22)</f>
        <v/>
      </c>
      <c r="E22" s="281"/>
      <c r="F22" s="282" t="str">
        <f aca="false">IF(D22="","",(IF(E22="-",-D22,D22)))</f>
        <v/>
      </c>
      <c r="I22" s="290" t="s">
        <v>461</v>
      </c>
      <c r="J22" s="290"/>
      <c r="K22" s="290"/>
      <c r="L22" s="303" t="s">
        <v>462</v>
      </c>
      <c r="M22" s="303"/>
      <c r="N22" s="303"/>
      <c r="O22" s="303"/>
      <c r="P22" s="303"/>
      <c r="Q22" s="303"/>
      <c r="R22" s="303"/>
      <c r="S22" s="303"/>
      <c r="T22" s="303"/>
    </row>
    <row r="23" customFormat="false" ht="15" hidden="false" customHeight="false" outlineLevel="0" collapsed="false">
      <c r="A23" s="277" t="n">
        <v>22</v>
      </c>
      <c r="B23" s="278" t="e">
        <f aca="false">IF('introduccion de datos de calib.'!#ref!="","",'introduccion de datos de calib.'!#ref!)</f>
        <v>#VALUE!</v>
      </c>
      <c r="C23" s="279" t="str">
        <f aca="false">IF('Introduccion de datos de Calib.'!A23="","",'Introduccion de datos de Calib.'!A23)</f>
        <v/>
      </c>
      <c r="D23" s="280" t="str">
        <f aca="false">IF('Introduccion de datos de Calib.'!E23="","",'Introduccion de datos de Calib.'!E23)</f>
        <v/>
      </c>
      <c r="E23" s="281"/>
      <c r="F23" s="282" t="str">
        <f aca="false">IF(D23="","",(IF(E23="-",-D23,D23)))</f>
        <v/>
      </c>
      <c r="I23" s="290" t="s">
        <v>463</v>
      </c>
      <c r="J23" s="290"/>
      <c r="K23" s="290"/>
      <c r="L23" s="295" t="s">
        <v>462</v>
      </c>
      <c r="M23" s="295"/>
      <c r="N23" s="295"/>
      <c r="O23" s="295"/>
      <c r="P23" s="295"/>
      <c r="Q23" s="295"/>
      <c r="R23" s="295"/>
      <c r="S23" s="295"/>
      <c r="T23" s="295"/>
    </row>
    <row r="24" customFormat="false" ht="15" hidden="false" customHeight="false" outlineLevel="0" collapsed="false">
      <c r="A24" s="277" t="n">
        <v>23</v>
      </c>
      <c r="B24" s="278" t="e">
        <f aca="false">IF('introduccion de datos de calib.'!#ref!="","",'introduccion de datos de calib.'!#ref!)</f>
        <v>#VALUE!</v>
      </c>
      <c r="C24" s="279" t="str">
        <f aca="false">IF('Introduccion de datos de Calib.'!A24="","",'Introduccion de datos de Calib.'!A24)</f>
        <v/>
      </c>
      <c r="D24" s="280" t="str">
        <f aca="false">IF('Introduccion de datos de Calib.'!E24="","",'Introduccion de datos de Calib.'!E24)</f>
        <v/>
      </c>
      <c r="E24" s="281"/>
      <c r="F24" s="282" t="str">
        <f aca="false">IF(D24="","",(IF(E24="-",-D24,D24)))</f>
        <v/>
      </c>
      <c r="I24" s="290" t="s">
        <v>464</v>
      </c>
      <c r="J24" s="290"/>
      <c r="K24" s="290"/>
      <c r="L24" s="296" t="str">
        <f aca="false">L11</f>
        <v>194-22</v>
      </c>
      <c r="M24" s="296"/>
      <c r="N24" s="296"/>
      <c r="O24" s="296"/>
      <c r="P24" s="296"/>
      <c r="Q24" s="296"/>
      <c r="R24" s="296"/>
      <c r="S24" s="296"/>
      <c r="T24" s="296"/>
    </row>
    <row r="25" customFormat="false" ht="15.75" hidden="false" customHeight="false" outlineLevel="0" collapsed="false">
      <c r="A25" s="277" t="n">
        <v>24</v>
      </c>
      <c r="B25" s="278" t="e">
        <f aca="false">IF('introduccion de datos de calib.'!#ref!="","",'introduccion de datos de calib.'!#ref!)</f>
        <v>#VALUE!</v>
      </c>
      <c r="C25" s="279" t="str">
        <f aca="false">IF('Introduccion de datos de Calib.'!A25="","",'Introduccion de datos de Calib.'!A25)</f>
        <v/>
      </c>
      <c r="D25" s="280" t="str">
        <f aca="false">IF('Introduccion de datos de Calib.'!E25="","",'Introduccion de datos de Calib.'!E25)</f>
        <v/>
      </c>
      <c r="E25" s="281"/>
      <c r="F25" s="282" t="str">
        <f aca="false">IF(D25="","",(IF(E25="-",-D25,D25)))</f>
        <v/>
      </c>
      <c r="I25" s="299" t="s">
        <v>465</v>
      </c>
      <c r="J25" s="299"/>
      <c r="K25" s="299"/>
      <c r="L25" s="304" t="n">
        <f aca="false">VLOOKUP(L21,'Coef. Expansión Térmica'!$C$3:$F$22,2,FALSE())</f>
        <v>9.3E-006</v>
      </c>
      <c r="M25" s="304"/>
      <c r="N25" s="304"/>
      <c r="O25" s="304"/>
      <c r="P25" s="304"/>
      <c r="Q25" s="304"/>
      <c r="R25" s="304"/>
      <c r="S25" s="304"/>
      <c r="T25" s="304"/>
      <c r="U25" s="1" t="s">
        <v>466</v>
      </c>
    </row>
    <row r="26" customFormat="false" ht="15.75" hidden="false" customHeight="false" outlineLevel="0" collapsed="false">
      <c r="A26" s="277" t="n">
        <v>25</v>
      </c>
      <c r="B26" s="278" t="e">
        <f aca="false">IF('introduccion de datos de calib.'!#ref!="","",'introduccion de datos de calib.'!#ref!)</f>
        <v>#VALUE!</v>
      </c>
      <c r="C26" s="279" t="str">
        <f aca="false">IF('Introduccion de datos de Calib.'!A26="","",'Introduccion de datos de Calib.'!A26)</f>
        <v/>
      </c>
      <c r="D26" s="280" t="str">
        <f aca="false">IF('Introduccion de datos de Calib.'!E26="","",'Introduccion de datos de Calib.'!E26)</f>
        <v/>
      </c>
      <c r="E26" s="281"/>
      <c r="F26" s="282" t="str">
        <f aca="false">IF(D26="","",(IF(E26="-",-D26,D26)))</f>
        <v/>
      </c>
    </row>
    <row r="27" customFormat="false" ht="15" hidden="false" customHeight="false" outlineLevel="0" collapsed="false">
      <c r="A27" s="277" t="n">
        <v>26</v>
      </c>
      <c r="B27" s="278" t="e">
        <f aca="false">IF('introduccion de datos de calib.'!#ref!="","",'introduccion de datos de calib.'!#ref!)</f>
        <v>#VALUE!</v>
      </c>
      <c r="C27" s="279" t="str">
        <f aca="false">IF('Introduccion de datos de Calib.'!A27="","",'Introduccion de datos de Calib.'!A27)</f>
        <v/>
      </c>
      <c r="D27" s="280" t="str">
        <f aca="false">IF('Introduccion de datos de Calib.'!E27="","",'Introduccion de datos de Calib.'!E27)</f>
        <v/>
      </c>
      <c r="E27" s="281"/>
      <c r="F27" s="282" t="str">
        <f aca="false">IF(D27="","",(IF(E27="-",-D27,D27)))</f>
        <v/>
      </c>
      <c r="I27" s="305" t="s">
        <v>467</v>
      </c>
      <c r="J27" s="305"/>
      <c r="K27" s="305"/>
      <c r="L27" s="306" t="s">
        <v>419</v>
      </c>
      <c r="M27" s="306"/>
      <c r="N27" s="306"/>
      <c r="P27" s="307" t="s">
        <v>468</v>
      </c>
    </row>
    <row r="28" customFormat="false" ht="14.35" hidden="false" customHeight="false" outlineLevel="0" collapsed="false">
      <c r="A28" s="277" t="n">
        <v>27</v>
      </c>
      <c r="B28" s="278" t="e">
        <f aca="false">IF('introduccion de datos de calib.'!#ref!="","",'introduccion de datos de calib.'!#ref!)</f>
        <v>#VALUE!</v>
      </c>
      <c r="C28" s="279" t="str">
        <f aca="false">IF('Introduccion de datos de Calib.'!A28="","",'Introduccion de datos de Calib.'!A28)</f>
        <v/>
      </c>
      <c r="D28" s="280" t="str">
        <f aca="false">IF('Introduccion de datos de Calib.'!E28="","",'Introduccion de datos de Calib.'!E28)</f>
        <v/>
      </c>
      <c r="E28" s="281"/>
      <c r="F28" s="282" t="str">
        <f aca="false">IF(D28="","",(IF(E28="-",-D28,D28)))</f>
        <v/>
      </c>
      <c r="I28" s="308" t="s">
        <v>469</v>
      </c>
      <c r="J28" s="308"/>
      <c r="K28" s="308"/>
      <c r="L28" s="309" t="s">
        <v>433</v>
      </c>
      <c r="M28" s="309"/>
      <c r="N28" s="309"/>
      <c r="P28" s="307" t="s">
        <v>470</v>
      </c>
    </row>
    <row r="29" customFormat="false" ht="14.35" hidden="false" customHeight="false" outlineLevel="0" collapsed="false">
      <c r="A29" s="277" t="n">
        <v>28</v>
      </c>
      <c r="B29" s="278" t="e">
        <f aca="false">IF('introduccion de datos de calib.'!#ref!="","",'introduccion de datos de calib.'!#ref!)</f>
        <v>#VALUE!</v>
      </c>
      <c r="C29" s="279" t="str">
        <f aca="false">IF('Introduccion de datos de Calib.'!A29="","",'Introduccion de datos de Calib.'!A29)</f>
        <v/>
      </c>
      <c r="D29" s="280" t="str">
        <f aca="false">IF('Introduccion de datos de Calib.'!E29="","",'Introduccion de datos de Calib.'!E29)</f>
        <v/>
      </c>
      <c r="E29" s="281"/>
      <c r="F29" s="282" t="str">
        <f aca="false">IF(D29="","",(IF(E29="-",-D29,D29)))</f>
        <v/>
      </c>
      <c r="P29" s="307"/>
    </row>
    <row r="30" customFormat="false" ht="15.75" hidden="false" customHeight="false" outlineLevel="0" collapsed="false">
      <c r="A30" s="277" t="n">
        <v>29</v>
      </c>
      <c r="B30" s="278" t="e">
        <f aca="false">IF('introduccion de datos de calib.'!#ref!="","",'introduccion de datos de calib.'!#ref!)</f>
        <v>#VALUE!</v>
      </c>
      <c r="C30" s="279" t="str">
        <f aca="false">IF('Introduccion de datos de Calib.'!A30="","",'Introduccion de datos de Calib.'!A30)</f>
        <v/>
      </c>
      <c r="D30" s="280" t="str">
        <f aca="false">IF('Introduccion de datos de Calib.'!E30="","",'Introduccion de datos de Calib.'!E30)</f>
        <v/>
      </c>
      <c r="E30" s="281"/>
      <c r="F30" s="282" t="str">
        <f aca="false">IF(D30="","",(IF(E30="-",-D30,D30)))</f>
        <v/>
      </c>
      <c r="I30" s="310" t="s">
        <v>471</v>
      </c>
      <c r="J30" s="310"/>
      <c r="K30" s="310"/>
      <c r="L30" s="311" t="s">
        <v>472</v>
      </c>
      <c r="M30" s="311"/>
      <c r="N30" s="311"/>
      <c r="O30" s="311"/>
      <c r="P30" s="312"/>
    </row>
    <row r="31" customFormat="false" ht="14.35" hidden="false" customHeight="false" outlineLevel="0" collapsed="false">
      <c r="A31" s="277" t="n">
        <v>30</v>
      </c>
      <c r="B31" s="278" t="e">
        <f aca="false">IF('introduccion de datos de calib.'!#ref!="","",'introduccion de datos de calib.'!#ref!)</f>
        <v>#VALUE!</v>
      </c>
      <c r="C31" s="279" t="str">
        <f aca="false">IF('Introduccion de datos de Calib.'!A31="","",'Introduccion de datos de Calib.'!A31)</f>
        <v/>
      </c>
      <c r="D31" s="280" t="str">
        <f aca="false">IF('Introduccion de datos de Calib.'!E31="","",'Introduccion de datos de Calib.'!E31)</f>
        <v/>
      </c>
      <c r="E31" s="281"/>
      <c r="F31" s="282" t="str">
        <f aca="false">IF(D31="","",(IF(E31="-",-D31,D31)))</f>
        <v/>
      </c>
      <c r="I31" s="308" t="s">
        <v>473</v>
      </c>
      <c r="J31" s="308"/>
      <c r="K31" s="308"/>
      <c r="L31" s="309" t="s">
        <v>474</v>
      </c>
      <c r="M31" s="309"/>
      <c r="N31" s="309"/>
      <c r="P31" s="307"/>
    </row>
    <row r="32" customFormat="false" ht="15" hidden="false" customHeight="false" outlineLevel="0" collapsed="false">
      <c r="A32" s="277" t="n">
        <v>31</v>
      </c>
      <c r="B32" s="278" t="e">
        <f aca="false">IF('introduccion de datos de calib.'!#ref!="","",'introduccion de datos de calib.'!#ref!)</f>
        <v>#VALUE!</v>
      </c>
      <c r="C32" s="279" t="str">
        <f aca="false">IF('Introduccion de datos de Calib.'!A32="","",'Introduccion de datos de Calib.'!A32)</f>
        <v/>
      </c>
      <c r="D32" s="280" t="str">
        <f aca="false">IF('Introduccion de datos de Calib.'!E32="","",'Introduccion de datos de Calib.'!E32)</f>
        <v/>
      </c>
      <c r="E32" s="281"/>
      <c r="F32" s="282" t="str">
        <f aca="false">IF(D32="","",(IF(E32="-",-D32,D32)))</f>
        <v/>
      </c>
    </row>
    <row r="33" customFormat="false" ht="15" hidden="false" customHeight="false" outlineLevel="0" collapsed="false">
      <c r="A33" s="277" t="n">
        <v>32</v>
      </c>
      <c r="B33" s="278" t="e">
        <f aca="false">IF('introduccion de datos de calib.'!#ref!="","",'introduccion de datos de calib.'!#ref!)</f>
        <v>#VALUE!</v>
      </c>
      <c r="C33" s="279" t="str">
        <f aca="false">IF('Introduccion de datos de Calib.'!A33="","",'Introduccion de datos de Calib.'!A33)</f>
        <v/>
      </c>
      <c r="D33" s="280" t="str">
        <f aca="false">IF('Introduccion de datos de Calib.'!E33="","",'Introduccion de datos de Calib.'!E33)</f>
        <v/>
      </c>
      <c r="E33" s="281"/>
      <c r="F33" s="282" t="str">
        <f aca="false">IF(D33="","",(IF(E33="-",-D33,D33)))</f>
        <v/>
      </c>
    </row>
    <row r="34" customFormat="false" ht="15" hidden="false" customHeight="false" outlineLevel="0" collapsed="false">
      <c r="A34" s="277" t="n">
        <v>33</v>
      </c>
      <c r="B34" s="278" t="e">
        <f aca="false">IF('introduccion de datos de calib.'!#ref!="","",'introduccion de datos de calib.'!#ref!)</f>
        <v>#VALUE!</v>
      </c>
      <c r="C34" s="279" t="str">
        <f aca="false">IF('Introduccion de datos de Calib.'!A34="","",'Introduccion de datos de Calib.'!A34)</f>
        <v/>
      </c>
      <c r="D34" s="280" t="str">
        <f aca="false">IF('Introduccion de datos de Calib.'!E34="","",'Introduccion de datos de Calib.'!E34)</f>
        <v/>
      </c>
      <c r="E34" s="281"/>
      <c r="F34" s="282" t="str">
        <f aca="false">IF(D34="","",(IF(E34="-",-D34,D34)))</f>
        <v/>
      </c>
    </row>
    <row r="35" customFormat="false" ht="15" hidden="false" customHeight="false" outlineLevel="0" collapsed="false">
      <c r="A35" s="277" t="n">
        <v>34</v>
      </c>
      <c r="B35" s="278" t="e">
        <f aca="false">IF('introduccion de datos de calib.'!#ref!="","",'introduccion de datos de calib.'!#ref!)</f>
        <v>#VALUE!</v>
      </c>
      <c r="C35" s="279" t="str">
        <f aca="false">IF('Introduccion de datos de Calib.'!A35="","",'Introduccion de datos de Calib.'!A35)</f>
        <v/>
      </c>
      <c r="D35" s="280" t="str">
        <f aca="false">IF('Introduccion de datos de Calib.'!E35="","",'Introduccion de datos de Calib.'!E35)</f>
        <v/>
      </c>
      <c r="E35" s="281"/>
      <c r="F35" s="282" t="str">
        <f aca="false">IF(D35="","",(IF(E35="-",-D35,D35)))</f>
        <v/>
      </c>
    </row>
    <row r="36" customFormat="false" ht="15" hidden="false" customHeight="false" outlineLevel="0" collapsed="false">
      <c r="A36" s="277" t="n">
        <v>35</v>
      </c>
      <c r="B36" s="278" t="e">
        <f aca="false">IF('introduccion de datos de calib.'!#ref!="","",'introduccion de datos de calib.'!#ref!)</f>
        <v>#VALUE!</v>
      </c>
      <c r="C36" s="279" t="str">
        <f aca="false">IF('Introduccion de datos de Calib.'!A36="","",'Introduccion de datos de Calib.'!A36)</f>
        <v/>
      </c>
      <c r="D36" s="280" t="str">
        <f aca="false">IF('Introduccion de datos de Calib.'!E36="","",'Introduccion de datos de Calib.'!E36)</f>
        <v/>
      </c>
      <c r="E36" s="281"/>
      <c r="F36" s="282" t="str">
        <f aca="false">IF(D36="","",(IF(E36="-",-D36,D36)))</f>
        <v/>
      </c>
    </row>
    <row r="37" customFormat="false" ht="15" hidden="false" customHeight="false" outlineLevel="0" collapsed="false">
      <c r="A37" s="277" t="n">
        <v>36</v>
      </c>
      <c r="B37" s="278" t="e">
        <f aca="false">IF('introduccion de datos de calib.'!#ref!="","",'introduccion de datos de calib.'!#ref!)</f>
        <v>#VALUE!</v>
      </c>
      <c r="C37" s="279" t="str">
        <f aca="false">IF('Introduccion de datos de Calib.'!A37="","",'Introduccion de datos de Calib.'!A37)</f>
        <v/>
      </c>
      <c r="D37" s="280" t="str">
        <f aca="false">IF('Introduccion de datos de Calib.'!E37="","",'Introduccion de datos de Calib.'!E37)</f>
        <v/>
      </c>
      <c r="E37" s="281"/>
      <c r="F37" s="282" t="str">
        <f aca="false">IF(D37="","",(IF(E37="-",-D37,D37)))</f>
        <v/>
      </c>
    </row>
    <row r="38" customFormat="false" ht="15" hidden="false" customHeight="false" outlineLevel="0" collapsed="false">
      <c r="A38" s="277" t="n">
        <v>37</v>
      </c>
      <c r="B38" s="278" t="e">
        <f aca="false">IF('introduccion de datos de calib.'!#ref!="","",'introduccion de datos de calib.'!#ref!)</f>
        <v>#VALUE!</v>
      </c>
      <c r="C38" s="279" t="str">
        <f aca="false">IF('Introduccion de datos de Calib.'!A38="","",'Introduccion de datos de Calib.'!A38)</f>
        <v/>
      </c>
      <c r="D38" s="280" t="str">
        <f aca="false">IF('Introduccion de datos de Calib.'!E38="","",'Introduccion de datos de Calib.'!E38)</f>
        <v/>
      </c>
      <c r="E38" s="281"/>
      <c r="F38" s="282" t="str">
        <f aca="false">IF(D38="","",(IF(E38="-",-D38,D38)))</f>
        <v/>
      </c>
    </row>
    <row r="39" customFormat="false" ht="15" hidden="false" customHeight="false" outlineLevel="0" collapsed="false">
      <c r="A39" s="277" t="n">
        <v>38</v>
      </c>
      <c r="B39" s="278" t="e">
        <f aca="false">IF('introduccion de datos de calib.'!#ref!="","",'introduccion de datos de calib.'!#ref!)</f>
        <v>#VALUE!</v>
      </c>
      <c r="C39" s="279" t="str">
        <f aca="false">IF('Introduccion de datos de Calib.'!A39="","",'Introduccion de datos de Calib.'!A39)</f>
        <v/>
      </c>
      <c r="D39" s="280" t="str">
        <f aca="false">IF('Introduccion de datos de Calib.'!E39="","",'Introduccion de datos de Calib.'!E39)</f>
        <v/>
      </c>
      <c r="E39" s="281"/>
      <c r="F39" s="282" t="str">
        <f aca="false">IF(D39="","",(IF(E39="-",-D39,D39)))</f>
        <v/>
      </c>
    </row>
    <row r="40" customFormat="false" ht="15" hidden="false" customHeight="false" outlineLevel="0" collapsed="false">
      <c r="A40" s="277" t="n">
        <v>39</v>
      </c>
      <c r="B40" s="278" t="e">
        <f aca="false">IF('introduccion de datos de calib.'!#ref!="","",'introduccion de datos de calib.'!#ref!)</f>
        <v>#VALUE!</v>
      </c>
      <c r="C40" s="279" t="str">
        <f aca="false">IF('Introduccion de datos de Calib.'!A40="","",'Introduccion de datos de Calib.'!A40)</f>
        <v/>
      </c>
      <c r="D40" s="280" t="str">
        <f aca="false">IF('Introduccion de datos de Calib.'!E40="","",'Introduccion de datos de Calib.'!E40)</f>
        <v/>
      </c>
      <c r="E40" s="281"/>
      <c r="F40" s="282" t="str">
        <f aca="false">IF(D40="","",(IF(E40="-",-D40,D40)))</f>
        <v/>
      </c>
    </row>
    <row r="41" customFormat="false" ht="15" hidden="false" customHeight="false" outlineLevel="0" collapsed="false">
      <c r="A41" s="277" t="n">
        <v>40</v>
      </c>
      <c r="B41" s="278" t="e">
        <f aca="false">IF('introduccion de datos de calib.'!#ref!="","",'introduccion de datos de calib.'!#ref!)</f>
        <v>#VALUE!</v>
      </c>
      <c r="C41" s="279" t="str">
        <f aca="false">IF('Introduccion de datos de Calib.'!A41="","",'Introduccion de datos de Calib.'!A41)</f>
        <v/>
      </c>
      <c r="D41" s="280" t="str">
        <f aca="false">IF('Introduccion de datos de Calib.'!E41="","",'Introduccion de datos de Calib.'!E41)</f>
        <v/>
      </c>
      <c r="E41" s="281"/>
      <c r="F41" s="282" t="str">
        <f aca="false">IF(D41="","",(IF(E41="-",-D41,D41)))</f>
        <v/>
      </c>
    </row>
    <row r="42" customFormat="false" ht="15" hidden="false" customHeight="false" outlineLevel="0" collapsed="false">
      <c r="A42" s="277" t="n">
        <v>41</v>
      </c>
      <c r="B42" s="278" t="e">
        <f aca="false">IF('introduccion de datos de calib.'!#ref!="","",'introduccion de datos de calib.'!#ref!)</f>
        <v>#VALUE!</v>
      </c>
      <c r="C42" s="279" t="str">
        <f aca="false">IF('Introduccion de datos de Calib.'!A42="","",'Introduccion de datos de Calib.'!A42)</f>
        <v/>
      </c>
      <c r="D42" s="280" t="str">
        <f aca="false">IF('Introduccion de datos de Calib.'!E42="","",'Introduccion de datos de Calib.'!E42)</f>
        <v/>
      </c>
      <c r="E42" s="281"/>
      <c r="F42" s="282" t="str">
        <f aca="false">IF(D42="","",(IF(E42="-",-D42,D42)))</f>
        <v/>
      </c>
    </row>
    <row r="43" customFormat="false" ht="15" hidden="false" customHeight="false" outlineLevel="0" collapsed="false">
      <c r="A43" s="277" t="n">
        <v>42</v>
      </c>
      <c r="B43" s="278" t="e">
        <f aca="false">IF('introduccion de datos de calib.'!#ref!="","",'introduccion de datos de calib.'!#ref!)</f>
        <v>#VALUE!</v>
      </c>
      <c r="C43" s="279" t="str">
        <f aca="false">IF('Introduccion de datos de Calib.'!A43="","",'Introduccion de datos de Calib.'!A43)</f>
        <v/>
      </c>
      <c r="D43" s="280" t="str">
        <f aca="false">IF('Introduccion de datos de Calib.'!E43="","",'Introduccion de datos de Calib.'!E43)</f>
        <v/>
      </c>
      <c r="E43" s="281"/>
      <c r="F43" s="282" t="str">
        <f aca="false">IF(D43="","",(IF(E43="-",-D43,D43)))</f>
        <v/>
      </c>
    </row>
    <row r="44" customFormat="false" ht="15" hidden="false" customHeight="false" outlineLevel="0" collapsed="false">
      <c r="A44" s="277" t="n">
        <v>43</v>
      </c>
      <c r="B44" s="278" t="e">
        <f aca="false">IF('introduccion de datos de calib.'!#ref!="","",'introduccion de datos de calib.'!#ref!)</f>
        <v>#VALUE!</v>
      </c>
      <c r="C44" s="279" t="str">
        <f aca="false">IF('Introduccion de datos de Calib.'!A44="","",'Introduccion de datos de Calib.'!A44)</f>
        <v/>
      </c>
      <c r="D44" s="280" t="str">
        <f aca="false">IF('Introduccion de datos de Calib.'!E44="","",'Introduccion de datos de Calib.'!E44)</f>
        <v/>
      </c>
      <c r="E44" s="281"/>
      <c r="F44" s="282" t="str">
        <f aca="false">IF(D44="","",(IF(E44="-",-D44,D44)))</f>
        <v/>
      </c>
    </row>
    <row r="45" customFormat="false" ht="15" hidden="false" customHeight="false" outlineLevel="0" collapsed="false">
      <c r="A45" s="277" t="n">
        <v>44</v>
      </c>
      <c r="B45" s="278" t="e">
        <f aca="false">IF('introduccion de datos de calib.'!#ref!="","",'introduccion de datos de calib.'!#ref!)</f>
        <v>#VALUE!</v>
      </c>
      <c r="C45" s="279" t="str">
        <f aca="false">IF('Introduccion de datos de Calib.'!A45="","",'Introduccion de datos de Calib.'!A45)</f>
        <v/>
      </c>
      <c r="D45" s="280" t="str">
        <f aca="false">IF('Introduccion de datos de Calib.'!E45="","",'Introduccion de datos de Calib.'!E45)</f>
        <v/>
      </c>
      <c r="E45" s="281"/>
      <c r="F45" s="282" t="str">
        <f aca="false">IF(D45="","",(IF(E45="-",-D45,D45)))</f>
        <v/>
      </c>
    </row>
    <row r="46" customFormat="false" ht="15" hidden="false" customHeight="false" outlineLevel="0" collapsed="false">
      <c r="A46" s="277" t="n">
        <v>45</v>
      </c>
      <c r="B46" s="278" t="e">
        <f aca="false">IF('introduccion de datos de calib.'!#ref!="","",'introduccion de datos de calib.'!#ref!)</f>
        <v>#VALUE!</v>
      </c>
      <c r="C46" s="279" t="str">
        <f aca="false">IF('Introduccion de datos de Calib.'!A46="","",'Introduccion de datos de Calib.'!A46)</f>
        <v/>
      </c>
      <c r="D46" s="280" t="str">
        <f aca="false">IF('Introduccion de datos de Calib.'!E46="","",'Introduccion de datos de Calib.'!E46)</f>
        <v/>
      </c>
      <c r="E46" s="281"/>
      <c r="F46" s="282" t="str">
        <f aca="false">IF(D46="","",(IF(E46="-",-D46,D46)))</f>
        <v/>
      </c>
    </row>
    <row r="47" customFormat="false" ht="15" hidden="false" customHeight="false" outlineLevel="0" collapsed="false">
      <c r="A47" s="277" t="n">
        <v>46</v>
      </c>
      <c r="B47" s="278" t="e">
        <f aca="false">IF('introduccion de datos de calib.'!#ref!="","",'introduccion de datos de calib.'!#ref!)</f>
        <v>#VALUE!</v>
      </c>
      <c r="C47" s="279" t="str">
        <f aca="false">IF('Introduccion de datos de Calib.'!A47="","",'Introduccion de datos de Calib.'!A47)</f>
        <v/>
      </c>
      <c r="D47" s="280" t="str">
        <f aca="false">IF('Introduccion de datos de Calib.'!E47="","",'Introduccion de datos de Calib.'!E47)</f>
        <v/>
      </c>
      <c r="E47" s="281"/>
      <c r="F47" s="282" t="str">
        <f aca="false">IF(D47="","",(IF(E47="-",-D47,D47)))</f>
        <v/>
      </c>
    </row>
    <row r="48" customFormat="false" ht="15" hidden="false" customHeight="false" outlineLevel="0" collapsed="false">
      <c r="A48" s="277" t="n">
        <v>47</v>
      </c>
      <c r="B48" s="278" t="e">
        <f aca="false">IF('introduccion de datos de calib.'!#ref!="","",'introduccion de datos de calib.'!#ref!)</f>
        <v>#VALUE!</v>
      </c>
      <c r="C48" s="279" t="str">
        <f aca="false">IF('Introduccion de datos de Calib.'!A48="","",'Introduccion de datos de Calib.'!A48)</f>
        <v/>
      </c>
      <c r="D48" s="280" t="str">
        <f aca="false">IF('Introduccion de datos de Calib.'!E48="","",'Introduccion de datos de Calib.'!E48)</f>
        <v/>
      </c>
      <c r="E48" s="281"/>
      <c r="F48" s="282" t="str">
        <f aca="false">IF(D48="","",(IF(E48="-",-D48,D48)))</f>
        <v/>
      </c>
    </row>
    <row r="49" customFormat="false" ht="15" hidden="false" customHeight="false" outlineLevel="0" collapsed="false">
      <c r="A49" s="277" t="n">
        <v>48</v>
      </c>
      <c r="B49" s="278" t="e">
        <f aca="false">IF('introduccion de datos de calib.'!#ref!="","",'introduccion de datos de calib.'!#ref!)</f>
        <v>#VALUE!</v>
      </c>
      <c r="C49" s="279" t="str">
        <f aca="false">IF('Introduccion de datos de Calib.'!A49="","",'Introduccion de datos de Calib.'!A49)</f>
        <v/>
      </c>
      <c r="D49" s="280" t="str">
        <f aca="false">IF('Introduccion de datos de Calib.'!E49="","",'Introduccion de datos de Calib.'!E49)</f>
        <v/>
      </c>
      <c r="E49" s="281"/>
      <c r="F49" s="282" t="str">
        <f aca="false">IF(D49="","",(IF(E49="-",-D49,D49)))</f>
        <v/>
      </c>
    </row>
    <row r="50" customFormat="false" ht="15" hidden="false" customHeight="false" outlineLevel="0" collapsed="false">
      <c r="A50" s="277" t="n">
        <v>49</v>
      </c>
      <c r="B50" s="278" t="e">
        <f aca="false">IF('introduccion de datos de calib.'!#ref!="","",'introduccion de datos de calib.'!#ref!)</f>
        <v>#VALUE!</v>
      </c>
      <c r="C50" s="279" t="str">
        <f aca="false">IF('Introduccion de datos de Calib.'!A50="","",'Introduccion de datos de Calib.'!A50)</f>
        <v/>
      </c>
      <c r="D50" s="280" t="str">
        <f aca="false">IF('Introduccion de datos de Calib.'!E50="","",'Introduccion de datos de Calib.'!E50)</f>
        <v/>
      </c>
      <c r="E50" s="281"/>
      <c r="F50" s="282" t="str">
        <f aca="false">IF(D50="","",(IF(E50="-",-D50,D50)))</f>
        <v/>
      </c>
    </row>
    <row r="51" customFormat="false" ht="15" hidden="false" customHeight="false" outlineLevel="0" collapsed="false">
      <c r="A51" s="277" t="n">
        <v>50</v>
      </c>
      <c r="B51" s="278" t="e">
        <f aca="false">IF('introduccion de datos de calib.'!#ref!="","",'introduccion de datos de calib.'!#ref!)</f>
        <v>#VALUE!</v>
      </c>
      <c r="C51" s="279" t="str">
        <f aca="false">IF('Introduccion de datos de Calib.'!A51="","",'Introduccion de datos de Calib.'!A51)</f>
        <v/>
      </c>
      <c r="D51" s="280" t="str">
        <f aca="false">IF('Introduccion de datos de Calib.'!E51="","",'Introduccion de datos de Calib.'!E51)</f>
        <v/>
      </c>
      <c r="E51" s="281"/>
      <c r="F51" s="282" t="str">
        <f aca="false">IF(D51="","",(IF(E51="-",-D51,D51)))</f>
        <v/>
      </c>
    </row>
    <row r="52" customFormat="false" ht="15" hidden="false" customHeight="false" outlineLevel="0" collapsed="false">
      <c r="A52" s="277" t="n">
        <v>51</v>
      </c>
      <c r="B52" s="278" t="e">
        <f aca="false">IF('introduccion de datos de calib.'!#ref!="","",'introduccion de datos de calib.'!#ref!)</f>
        <v>#VALUE!</v>
      </c>
      <c r="C52" s="279" t="str">
        <f aca="false">IF('Introduccion de datos de Calib.'!A52="","",'Introduccion de datos de Calib.'!A52)</f>
        <v/>
      </c>
      <c r="D52" s="280" t="str">
        <f aca="false">IF('Introduccion de datos de Calib.'!E52="","",'Introduccion de datos de Calib.'!E52)</f>
        <v/>
      </c>
      <c r="E52" s="281"/>
      <c r="F52" s="282" t="str">
        <f aca="false">IF(D52="","",(IF(E52="-",-D52,D52)))</f>
        <v/>
      </c>
    </row>
    <row r="53" customFormat="false" ht="15" hidden="false" customHeight="false" outlineLevel="0" collapsed="false">
      <c r="A53" s="277" t="n">
        <v>52</v>
      </c>
      <c r="B53" s="278" t="e">
        <f aca="false">IF('introduccion de datos de calib.'!#ref!="","",'introduccion de datos de calib.'!#ref!)</f>
        <v>#VALUE!</v>
      </c>
      <c r="C53" s="279" t="str">
        <f aca="false">IF('Introduccion de datos de Calib.'!A53="","",'Introduccion de datos de Calib.'!A53)</f>
        <v/>
      </c>
      <c r="D53" s="280" t="str">
        <f aca="false">IF('Introduccion de datos de Calib.'!E53="","",'Introduccion de datos de Calib.'!E53)</f>
        <v/>
      </c>
      <c r="E53" s="281"/>
      <c r="F53" s="282" t="str">
        <f aca="false">IF(D53="","",(IF(E53="-",-D53,D53)))</f>
        <v/>
      </c>
    </row>
    <row r="54" customFormat="false" ht="15" hidden="false" customHeight="false" outlineLevel="0" collapsed="false">
      <c r="A54" s="277" t="n">
        <v>53</v>
      </c>
      <c r="B54" s="278" t="e">
        <f aca="false">IF('introduccion de datos de calib.'!#ref!="","",'introduccion de datos de calib.'!#ref!)</f>
        <v>#VALUE!</v>
      </c>
      <c r="C54" s="279" t="str">
        <f aca="false">IF('Introduccion de datos de Calib.'!A54="","",'Introduccion de datos de Calib.'!A54)</f>
        <v/>
      </c>
      <c r="D54" s="280" t="str">
        <f aca="false">IF('Introduccion de datos de Calib.'!E54="","",'Introduccion de datos de Calib.'!E54)</f>
        <v/>
      </c>
      <c r="E54" s="281"/>
      <c r="F54" s="282" t="str">
        <f aca="false">IF(D54="","",(IF(E54="-",-D54,D54)))</f>
        <v/>
      </c>
    </row>
    <row r="55" customFormat="false" ht="15" hidden="false" customHeight="false" outlineLevel="0" collapsed="false">
      <c r="A55" s="277" t="n">
        <v>54</v>
      </c>
      <c r="B55" s="278" t="e">
        <f aca="false">IF('introduccion de datos de calib.'!#ref!="","",'introduccion de datos de calib.'!#ref!)</f>
        <v>#VALUE!</v>
      </c>
      <c r="C55" s="279" t="str">
        <f aca="false">IF('Introduccion de datos de Calib.'!A55="","",'Introduccion de datos de Calib.'!A55)</f>
        <v/>
      </c>
      <c r="D55" s="280" t="str">
        <f aca="false">IF('Introduccion de datos de Calib.'!E55="","",'Introduccion de datos de Calib.'!E55)</f>
        <v/>
      </c>
      <c r="E55" s="281"/>
      <c r="F55" s="282" t="str">
        <f aca="false">IF(D55="","",(IF(E55="-",-D55,D55)))</f>
        <v/>
      </c>
    </row>
    <row r="56" customFormat="false" ht="15" hidden="false" customHeight="false" outlineLevel="0" collapsed="false">
      <c r="A56" s="277" t="n">
        <v>55</v>
      </c>
      <c r="B56" s="278" t="e">
        <f aca="false">IF('introduccion de datos de calib.'!#ref!="","",'introduccion de datos de calib.'!#ref!)</f>
        <v>#VALUE!</v>
      </c>
      <c r="C56" s="279" t="str">
        <f aca="false">IF('Introduccion de datos de Calib.'!A56="","",'Introduccion de datos de Calib.'!A56)</f>
        <v/>
      </c>
      <c r="D56" s="280" t="str">
        <f aca="false">IF('Introduccion de datos de Calib.'!E56="","",'Introduccion de datos de Calib.'!E56)</f>
        <v/>
      </c>
      <c r="E56" s="281"/>
      <c r="F56" s="282" t="str">
        <f aca="false">IF(D56="","",(IF(E56="-",-D56,D56)))</f>
        <v/>
      </c>
    </row>
    <row r="57" customFormat="false" ht="15" hidden="false" customHeight="false" outlineLevel="0" collapsed="false">
      <c r="A57" s="277" t="n">
        <v>56</v>
      </c>
      <c r="B57" s="278" t="e">
        <f aca="false">IF('introduccion de datos de calib.'!#ref!="","",'introduccion de datos de calib.'!#ref!)</f>
        <v>#VALUE!</v>
      </c>
      <c r="C57" s="279" t="str">
        <f aca="false">IF('Introduccion de datos de Calib.'!A57="","",'Introduccion de datos de Calib.'!A57)</f>
        <v/>
      </c>
      <c r="D57" s="280" t="str">
        <f aca="false">IF('Introduccion de datos de Calib.'!E57="","",'Introduccion de datos de Calib.'!E57)</f>
        <v/>
      </c>
      <c r="E57" s="281"/>
      <c r="F57" s="282" t="str">
        <f aca="false">IF(D57="","",(IF(E57="-",-D57,D57)))</f>
        <v/>
      </c>
    </row>
    <row r="58" customFormat="false" ht="15" hidden="false" customHeight="false" outlineLevel="0" collapsed="false">
      <c r="A58" s="277" t="n">
        <v>57</v>
      </c>
      <c r="B58" s="278" t="e">
        <f aca="false">IF('introduccion de datos de calib.'!#ref!="","",'introduccion de datos de calib.'!#ref!)</f>
        <v>#VALUE!</v>
      </c>
      <c r="C58" s="279" t="str">
        <f aca="false">IF('Introduccion de datos de Calib.'!A58="","",'Introduccion de datos de Calib.'!A58)</f>
        <v/>
      </c>
      <c r="D58" s="280" t="str">
        <f aca="false">IF('Introduccion de datos de Calib.'!E58="","",'Introduccion de datos de Calib.'!E58)</f>
        <v/>
      </c>
      <c r="E58" s="281"/>
      <c r="F58" s="282" t="str">
        <f aca="false">IF(D58="","",(IF(E58="-",-D58,D58)))</f>
        <v/>
      </c>
    </row>
    <row r="59" customFormat="false" ht="15" hidden="false" customHeight="false" outlineLevel="0" collapsed="false">
      <c r="A59" s="277" t="n">
        <v>58</v>
      </c>
      <c r="B59" s="278" t="e">
        <f aca="false">IF('introduccion de datos de calib.'!#ref!="","",'introduccion de datos de calib.'!#ref!)</f>
        <v>#VALUE!</v>
      </c>
      <c r="C59" s="279" t="str">
        <f aca="false">IF('Introduccion de datos de Calib.'!A59="","",'Introduccion de datos de Calib.'!A59)</f>
        <v/>
      </c>
      <c r="D59" s="280" t="str">
        <f aca="false">IF('Introduccion de datos de Calib.'!E59="","",'Introduccion de datos de Calib.'!E59)</f>
        <v/>
      </c>
      <c r="E59" s="281"/>
      <c r="F59" s="282" t="str">
        <f aca="false">IF(D59="","",(IF(E59="-",-D59,D59)))</f>
        <v/>
      </c>
    </row>
    <row r="60" customFormat="false" ht="15" hidden="false" customHeight="false" outlineLevel="0" collapsed="false">
      <c r="A60" s="277" t="n">
        <v>59</v>
      </c>
      <c r="B60" s="278" t="e">
        <f aca="false">IF('introduccion de datos de calib.'!#ref!="","",'introduccion de datos de calib.'!#ref!)</f>
        <v>#VALUE!</v>
      </c>
      <c r="C60" s="279" t="str">
        <f aca="false">IF('Introduccion de datos de Calib.'!A60="","",'Introduccion de datos de Calib.'!A60)</f>
        <v/>
      </c>
      <c r="D60" s="280" t="str">
        <f aca="false">IF('Introduccion de datos de Calib.'!E60="","",'Introduccion de datos de Calib.'!E60)</f>
        <v/>
      </c>
      <c r="E60" s="281"/>
      <c r="F60" s="282" t="str">
        <f aca="false">IF(D60="","",(IF(E60="-",-D60,D60)))</f>
        <v/>
      </c>
    </row>
    <row r="61" customFormat="false" ht="15" hidden="false" customHeight="false" outlineLevel="0" collapsed="false">
      <c r="A61" s="277" t="n">
        <v>60</v>
      </c>
      <c r="B61" s="278" t="e">
        <f aca="false">IF('introduccion de datos de calib.'!#ref!="","",'introduccion de datos de calib.'!#ref!)</f>
        <v>#VALUE!</v>
      </c>
      <c r="C61" s="279" t="str">
        <f aca="false">IF('Introduccion de datos de Calib.'!A61="","",'Introduccion de datos de Calib.'!A61)</f>
        <v/>
      </c>
      <c r="D61" s="280" t="str">
        <f aca="false">IF('Introduccion de datos de Calib.'!E61="","",'Introduccion de datos de Calib.'!E61)</f>
        <v/>
      </c>
      <c r="E61" s="281"/>
      <c r="F61" s="282" t="str">
        <f aca="false">IF(D61="","",(IF(E61="-",-D61,D61)))</f>
        <v/>
      </c>
    </row>
    <row r="62" customFormat="false" ht="15" hidden="false" customHeight="false" outlineLevel="0" collapsed="false">
      <c r="A62" s="277" t="n">
        <v>61</v>
      </c>
      <c r="B62" s="278" t="e">
        <f aca="false">IF('introduccion de datos de calib.'!#ref!="","",'introduccion de datos de calib.'!#ref!)</f>
        <v>#VALUE!</v>
      </c>
      <c r="C62" s="279" t="str">
        <f aca="false">IF('Introduccion de datos de Calib.'!A62="","",'Introduccion de datos de Calib.'!A62)</f>
        <v/>
      </c>
      <c r="D62" s="280" t="str">
        <f aca="false">IF('Introduccion de datos de Calib.'!E62="","",'Introduccion de datos de Calib.'!E62)</f>
        <v/>
      </c>
      <c r="E62" s="281"/>
      <c r="F62" s="282" t="str">
        <f aca="false">IF(D62="","",(IF(E62="-",-D62,D62)))</f>
        <v/>
      </c>
    </row>
    <row r="63" customFormat="false" ht="15" hidden="false" customHeight="false" outlineLevel="0" collapsed="false">
      <c r="A63" s="277" t="n">
        <v>62</v>
      </c>
      <c r="B63" s="278" t="e">
        <f aca="false">IF('introduccion de datos de calib.'!#ref!="","",'introduccion de datos de calib.'!#ref!)</f>
        <v>#VALUE!</v>
      </c>
      <c r="C63" s="279" t="str">
        <f aca="false">IF('Introduccion de datos de Calib.'!A63="","",'Introduccion de datos de Calib.'!A63)</f>
        <v/>
      </c>
      <c r="D63" s="280" t="str">
        <f aca="false">IF('Introduccion de datos de Calib.'!E63="","",'Introduccion de datos de Calib.'!E63)</f>
        <v/>
      </c>
      <c r="E63" s="281"/>
      <c r="F63" s="282" t="str">
        <f aca="false">IF(D63="","",(IF(E63="-",-D63,D63)))</f>
        <v/>
      </c>
    </row>
    <row r="64" customFormat="false" ht="15" hidden="false" customHeight="false" outlineLevel="0" collapsed="false">
      <c r="A64" s="277" t="n">
        <v>63</v>
      </c>
      <c r="B64" s="278" t="e">
        <f aca="false">IF('introduccion de datos de calib.'!#ref!="","",'introduccion de datos de calib.'!#ref!)</f>
        <v>#VALUE!</v>
      </c>
      <c r="C64" s="279" t="str">
        <f aca="false">IF('Introduccion de datos de Calib.'!A64="","",'Introduccion de datos de Calib.'!A64)</f>
        <v/>
      </c>
      <c r="D64" s="280" t="str">
        <f aca="false">IF('Introduccion de datos de Calib.'!E64="","",'Introduccion de datos de Calib.'!E64)</f>
        <v/>
      </c>
      <c r="E64" s="281"/>
      <c r="F64" s="282" t="str">
        <f aca="false">IF(D64="","",(IF(E64="-",-D64,D64)))</f>
        <v/>
      </c>
    </row>
    <row r="65" customFormat="false" ht="15" hidden="false" customHeight="false" outlineLevel="0" collapsed="false">
      <c r="A65" s="277" t="n">
        <v>64</v>
      </c>
      <c r="B65" s="278" t="e">
        <f aca="false">IF('introduccion de datos de calib.'!#ref!="","",'introduccion de datos de calib.'!#ref!)</f>
        <v>#VALUE!</v>
      </c>
      <c r="C65" s="279" t="str">
        <f aca="false">IF('Introduccion de datos de Calib.'!A65="","",'Introduccion de datos de Calib.'!A65)</f>
        <v/>
      </c>
      <c r="D65" s="280" t="str">
        <f aca="false">IF('Introduccion de datos de Calib.'!E65="","",'Introduccion de datos de Calib.'!E65)</f>
        <v/>
      </c>
      <c r="E65" s="281"/>
      <c r="F65" s="282" t="str">
        <f aca="false">IF(D65="","",(IF(E65="-",-D65,D65)))</f>
        <v/>
      </c>
    </row>
    <row r="66" customFormat="false" ht="15" hidden="false" customHeight="false" outlineLevel="0" collapsed="false">
      <c r="A66" s="277" t="n">
        <v>65</v>
      </c>
      <c r="B66" s="278" t="e">
        <f aca="false">IF('introduccion de datos de calib.'!#ref!="","",'introduccion de datos de calib.'!#ref!)</f>
        <v>#VALUE!</v>
      </c>
      <c r="C66" s="279" t="str">
        <f aca="false">IF('Introduccion de datos de Calib.'!A66="","",'Introduccion de datos de Calib.'!A66)</f>
        <v/>
      </c>
      <c r="D66" s="280" t="str">
        <f aca="false">IF('Introduccion de datos de Calib.'!E66="","",'Introduccion de datos de Calib.'!E66)</f>
        <v/>
      </c>
      <c r="E66" s="281"/>
      <c r="F66" s="282" t="str">
        <f aca="false">IF(D66="","",(IF(E66="-",-D66,D66)))</f>
        <v/>
      </c>
    </row>
    <row r="67" customFormat="false" ht="15" hidden="false" customHeight="false" outlineLevel="0" collapsed="false">
      <c r="A67" s="277" t="n">
        <v>66</v>
      </c>
      <c r="B67" s="278" t="e">
        <f aca="false">IF('introduccion de datos de calib.'!#ref!="","",'introduccion de datos de calib.'!#ref!)</f>
        <v>#VALUE!</v>
      </c>
      <c r="C67" s="279" t="str">
        <f aca="false">IF('Introduccion de datos de Calib.'!A67="","",'Introduccion de datos de Calib.'!A67)</f>
        <v/>
      </c>
      <c r="D67" s="280" t="str">
        <f aca="false">IF('Introduccion de datos de Calib.'!E67="","",'Introduccion de datos de Calib.'!E67)</f>
        <v/>
      </c>
      <c r="E67" s="281"/>
      <c r="F67" s="282" t="str">
        <f aca="false">IF(D67="","",(IF(E67="-",-D67,D67)))</f>
        <v/>
      </c>
    </row>
    <row r="68" customFormat="false" ht="15" hidden="false" customHeight="false" outlineLevel="0" collapsed="false">
      <c r="A68" s="277" t="n">
        <v>67</v>
      </c>
      <c r="B68" s="278" t="e">
        <f aca="false">IF('introduccion de datos de calib.'!#ref!="","",'introduccion de datos de calib.'!#ref!)</f>
        <v>#VALUE!</v>
      </c>
      <c r="C68" s="279" t="str">
        <f aca="false">IF('Introduccion de datos de Calib.'!A68="","",'Introduccion de datos de Calib.'!A68)</f>
        <v/>
      </c>
      <c r="D68" s="280" t="str">
        <f aca="false">IF('Introduccion de datos de Calib.'!E68="","",'Introduccion de datos de Calib.'!E68)</f>
        <v/>
      </c>
      <c r="E68" s="281"/>
      <c r="F68" s="282" t="str">
        <f aca="false">IF(D68="","",(IF(E68="-",-D68,D68)))</f>
        <v/>
      </c>
    </row>
    <row r="69" customFormat="false" ht="15" hidden="false" customHeight="false" outlineLevel="0" collapsed="false">
      <c r="A69" s="277" t="n">
        <v>68</v>
      </c>
      <c r="B69" s="278" t="e">
        <f aca="false">IF('introduccion de datos de calib.'!#ref!="","",'introduccion de datos de calib.'!#ref!)</f>
        <v>#VALUE!</v>
      </c>
      <c r="C69" s="279" t="str">
        <f aca="false">IF('Introduccion de datos de Calib.'!A69="","",'Introduccion de datos de Calib.'!A69)</f>
        <v/>
      </c>
      <c r="D69" s="280" t="str">
        <f aca="false">IF('Introduccion de datos de Calib.'!E69="","",'Introduccion de datos de Calib.'!E69)</f>
        <v/>
      </c>
      <c r="E69" s="281"/>
      <c r="F69" s="282" t="str">
        <f aca="false">IF(D69="","",(IF(E69="-",-D69,D69)))</f>
        <v/>
      </c>
    </row>
    <row r="70" customFormat="false" ht="15" hidden="false" customHeight="false" outlineLevel="0" collapsed="false">
      <c r="A70" s="277" t="n">
        <v>69</v>
      </c>
      <c r="B70" s="278" t="e">
        <f aca="false">IF('introduccion de datos de calib.'!#ref!="","",'introduccion de datos de calib.'!#ref!)</f>
        <v>#VALUE!</v>
      </c>
      <c r="C70" s="279" t="str">
        <f aca="false">IF('Introduccion de datos de Calib.'!A70="","",'Introduccion de datos de Calib.'!A70)</f>
        <v/>
      </c>
      <c r="D70" s="280" t="str">
        <f aca="false">IF('Introduccion de datos de Calib.'!E70="","",'Introduccion de datos de Calib.'!E70)</f>
        <v/>
      </c>
      <c r="E70" s="281"/>
      <c r="F70" s="282" t="str">
        <f aca="false">IF(D70="","",(IF(E70="-",-D70,D70)))</f>
        <v/>
      </c>
    </row>
    <row r="71" customFormat="false" ht="15" hidden="false" customHeight="false" outlineLevel="0" collapsed="false">
      <c r="A71" s="277" t="n">
        <v>70</v>
      </c>
      <c r="B71" s="278" t="e">
        <f aca="false">IF('introduccion de datos de calib.'!#ref!="","",'introduccion de datos de calib.'!#ref!)</f>
        <v>#VALUE!</v>
      </c>
      <c r="C71" s="279" t="str">
        <f aca="false">IF('Introduccion de datos de Calib.'!A71="","",'Introduccion de datos de Calib.'!A71)</f>
        <v/>
      </c>
      <c r="D71" s="280" t="str">
        <f aca="false">IF('Introduccion de datos de Calib.'!E71="","",'Introduccion de datos de Calib.'!E71)</f>
        <v/>
      </c>
      <c r="E71" s="281"/>
      <c r="F71" s="282" t="str">
        <f aca="false">IF(D71="","",(IF(E71="-",-D71,D71)))</f>
        <v/>
      </c>
    </row>
    <row r="72" customFormat="false" ht="15" hidden="false" customHeight="false" outlineLevel="0" collapsed="false">
      <c r="A72" s="277" t="n">
        <v>71</v>
      </c>
      <c r="B72" s="278" t="e">
        <f aca="false">IF('introduccion de datos de calib.'!#ref!="","",'introduccion de datos de calib.'!#ref!)</f>
        <v>#VALUE!</v>
      </c>
      <c r="C72" s="279" t="str">
        <f aca="false">IF('Introduccion de datos de Calib.'!A72="","",'Introduccion de datos de Calib.'!A72)</f>
        <v/>
      </c>
      <c r="D72" s="280" t="str">
        <f aca="false">IF('Introduccion de datos de Calib.'!E72="","",'Introduccion de datos de Calib.'!E72)</f>
        <v/>
      </c>
      <c r="E72" s="281"/>
      <c r="F72" s="282" t="str">
        <f aca="false">IF(D72="","",(IF(E72="-",-D72,D72)))</f>
        <v/>
      </c>
    </row>
    <row r="73" customFormat="false" ht="15" hidden="false" customHeight="false" outlineLevel="0" collapsed="false">
      <c r="A73" s="277" t="n">
        <v>72</v>
      </c>
      <c r="B73" s="278" t="e">
        <f aca="false">IF('introduccion de datos de calib.'!#ref!="","",'introduccion de datos de calib.'!#ref!)</f>
        <v>#VALUE!</v>
      </c>
      <c r="C73" s="279" t="str">
        <f aca="false">IF('Introduccion de datos de Calib.'!A73="","",'Introduccion de datos de Calib.'!A73)</f>
        <v/>
      </c>
      <c r="D73" s="280" t="str">
        <f aca="false">IF('Introduccion de datos de Calib.'!E73="","",'Introduccion de datos de Calib.'!E73)</f>
        <v/>
      </c>
      <c r="E73" s="281"/>
      <c r="F73" s="282" t="str">
        <f aca="false">IF(D73="","",(IF(E73="-",-D73,D73)))</f>
        <v/>
      </c>
    </row>
    <row r="74" customFormat="false" ht="15" hidden="false" customHeight="false" outlineLevel="0" collapsed="false">
      <c r="A74" s="277" t="n">
        <v>73</v>
      </c>
      <c r="B74" s="278" t="e">
        <f aca="false">IF('introduccion de datos de calib.'!#ref!="","",'introduccion de datos de calib.'!#ref!)</f>
        <v>#VALUE!</v>
      </c>
      <c r="C74" s="279" t="str">
        <f aca="false">IF('Introduccion de datos de Calib.'!A74="","",'Introduccion de datos de Calib.'!A74)</f>
        <v/>
      </c>
      <c r="D74" s="280" t="str">
        <f aca="false">IF('Introduccion de datos de Calib.'!E74="","",'Introduccion de datos de Calib.'!E74)</f>
        <v/>
      </c>
      <c r="E74" s="281"/>
      <c r="F74" s="282" t="str">
        <f aca="false">IF(D74="","",(IF(E74="-",-D74,D74)))</f>
        <v/>
      </c>
    </row>
    <row r="75" customFormat="false" ht="15" hidden="false" customHeight="false" outlineLevel="0" collapsed="false">
      <c r="A75" s="277" t="n">
        <v>74</v>
      </c>
      <c r="B75" s="278" t="e">
        <f aca="false">IF('introduccion de datos de calib.'!#ref!="","",'introduccion de datos de calib.'!#ref!)</f>
        <v>#VALUE!</v>
      </c>
      <c r="C75" s="279" t="str">
        <f aca="false">IF('Introduccion de datos de Calib.'!A75="","",'Introduccion de datos de Calib.'!A75)</f>
        <v/>
      </c>
      <c r="D75" s="280" t="str">
        <f aca="false">IF('Introduccion de datos de Calib.'!E75="","",'Introduccion de datos de Calib.'!E75)</f>
        <v/>
      </c>
      <c r="E75" s="281"/>
      <c r="F75" s="282" t="str">
        <f aca="false">IF(D75="","",(IF(E75="-",-D75,D75)))</f>
        <v/>
      </c>
    </row>
    <row r="76" customFormat="false" ht="15" hidden="false" customHeight="false" outlineLevel="0" collapsed="false">
      <c r="A76" s="277" t="n">
        <v>75</v>
      </c>
      <c r="B76" s="278" t="e">
        <f aca="false">IF('introduccion de datos de calib.'!#ref!="","",'introduccion de datos de calib.'!#ref!)</f>
        <v>#VALUE!</v>
      </c>
      <c r="C76" s="279" t="str">
        <f aca="false">IF('Introduccion de datos de Calib.'!A76="","",'Introduccion de datos de Calib.'!A76)</f>
        <v/>
      </c>
      <c r="D76" s="280" t="str">
        <f aca="false">IF('Introduccion de datos de Calib.'!E76="","",'Introduccion de datos de Calib.'!E76)</f>
        <v/>
      </c>
      <c r="E76" s="281"/>
      <c r="F76" s="282" t="str">
        <f aca="false">IF(D76="","",(IF(E76="-",-D76,D76)))</f>
        <v/>
      </c>
    </row>
    <row r="77" customFormat="false" ht="15" hidden="false" customHeight="false" outlineLevel="0" collapsed="false">
      <c r="A77" s="277" t="n">
        <v>76</v>
      </c>
      <c r="B77" s="278" t="e">
        <f aca="false">IF('introduccion de datos de calib.'!#ref!="","",'introduccion de datos de calib.'!#ref!)</f>
        <v>#VALUE!</v>
      </c>
      <c r="C77" s="279" t="str">
        <f aca="false">IF('Introduccion de datos de Calib.'!A77="","",'Introduccion de datos de Calib.'!A77)</f>
        <v/>
      </c>
      <c r="D77" s="280" t="str">
        <f aca="false">IF('Introduccion de datos de Calib.'!E77="","",'Introduccion de datos de Calib.'!E77)</f>
        <v/>
      </c>
      <c r="E77" s="281"/>
      <c r="F77" s="282" t="str">
        <f aca="false">IF(D77="","",(IF(E77="-",-D77,D77)))</f>
        <v/>
      </c>
    </row>
    <row r="78" customFormat="false" ht="15" hidden="false" customHeight="false" outlineLevel="0" collapsed="false">
      <c r="A78" s="277" t="n">
        <v>77</v>
      </c>
      <c r="B78" s="278" t="e">
        <f aca="false">IF('introduccion de datos de calib.'!#ref!="","",'introduccion de datos de calib.'!#ref!)</f>
        <v>#VALUE!</v>
      </c>
      <c r="C78" s="279" t="str">
        <f aca="false">IF('Introduccion de datos de Calib.'!A78="","",'Introduccion de datos de Calib.'!A78)</f>
        <v/>
      </c>
      <c r="D78" s="280" t="str">
        <f aca="false">IF('Introduccion de datos de Calib.'!E78="","",'Introduccion de datos de Calib.'!E78)</f>
        <v/>
      </c>
      <c r="E78" s="281"/>
      <c r="F78" s="282" t="str">
        <f aca="false">IF(D78="","",(IF(E78="-",-D78,D78)))</f>
        <v/>
      </c>
    </row>
    <row r="79" customFormat="false" ht="15" hidden="false" customHeight="false" outlineLevel="0" collapsed="false">
      <c r="A79" s="277" t="n">
        <v>78</v>
      </c>
      <c r="B79" s="278" t="e">
        <f aca="false">IF('introduccion de datos de calib.'!#ref!="","",'introduccion de datos de calib.'!#ref!)</f>
        <v>#VALUE!</v>
      </c>
      <c r="C79" s="279" t="str">
        <f aca="false">IF('Introduccion de datos de Calib.'!A79="","",'Introduccion de datos de Calib.'!A79)</f>
        <v/>
      </c>
      <c r="D79" s="280" t="str">
        <f aca="false">IF('Introduccion de datos de Calib.'!E79="","",'Introduccion de datos de Calib.'!E79)</f>
        <v/>
      </c>
      <c r="E79" s="281"/>
      <c r="F79" s="282" t="str">
        <f aca="false">IF(D79="","",(IF(E79="-",-D79,D79)))</f>
        <v/>
      </c>
    </row>
    <row r="80" customFormat="false" ht="15" hidden="false" customHeight="false" outlineLevel="0" collapsed="false">
      <c r="A80" s="277" t="n">
        <v>79</v>
      </c>
      <c r="B80" s="278" t="e">
        <f aca="false">IF('introduccion de datos de calib.'!#ref!="","",'introduccion de datos de calib.'!#ref!)</f>
        <v>#VALUE!</v>
      </c>
      <c r="C80" s="279" t="str">
        <f aca="false">IF('Introduccion de datos de Calib.'!A80="","",'Introduccion de datos de Calib.'!A80)</f>
        <v/>
      </c>
      <c r="D80" s="280" t="str">
        <f aca="false">IF('Introduccion de datos de Calib.'!E80="","",'Introduccion de datos de Calib.'!E80)</f>
        <v/>
      </c>
      <c r="E80" s="281"/>
      <c r="F80" s="282" t="str">
        <f aca="false">IF(D80="","",(IF(E80="-",-D80,D80)))</f>
        <v/>
      </c>
    </row>
    <row r="81" customFormat="false" ht="15" hidden="false" customHeight="false" outlineLevel="0" collapsed="false">
      <c r="A81" s="277" t="n">
        <v>80</v>
      </c>
      <c r="B81" s="278" t="e">
        <f aca="false">IF('introduccion de datos de calib.'!#ref!="","",'introduccion de datos de calib.'!#ref!)</f>
        <v>#VALUE!</v>
      </c>
      <c r="C81" s="279" t="str">
        <f aca="false">IF('Introduccion de datos de Calib.'!A81="","",'Introduccion de datos de Calib.'!A81)</f>
        <v/>
      </c>
      <c r="D81" s="280" t="str">
        <f aca="false">IF('Introduccion de datos de Calib.'!E81="","",'Introduccion de datos de Calib.'!E81)</f>
        <v/>
      </c>
      <c r="E81" s="281"/>
      <c r="F81" s="282" t="str">
        <f aca="false">IF(D81="","",(IF(E81="-",-D81,D81)))</f>
        <v/>
      </c>
    </row>
    <row r="82" customFormat="false" ht="15" hidden="false" customHeight="false" outlineLevel="0" collapsed="false">
      <c r="A82" s="277" t="n">
        <v>81</v>
      </c>
      <c r="B82" s="278" t="e">
        <f aca="false">IF('introduccion de datos de calib.'!#ref!="","",'introduccion de datos de calib.'!#ref!)</f>
        <v>#VALUE!</v>
      </c>
      <c r="C82" s="279" t="str">
        <f aca="false">IF('Introduccion de datos de Calib.'!A82="","",'Introduccion de datos de Calib.'!A82)</f>
        <v/>
      </c>
      <c r="D82" s="280" t="str">
        <f aca="false">IF('Introduccion de datos de Calib.'!E82="","",'Introduccion de datos de Calib.'!E82)</f>
        <v/>
      </c>
      <c r="E82" s="281"/>
      <c r="F82" s="282" t="str">
        <f aca="false">IF(D82="","",(IF(E82="-",-D82,D82)))</f>
        <v/>
      </c>
    </row>
    <row r="83" customFormat="false" ht="15" hidden="false" customHeight="false" outlineLevel="0" collapsed="false">
      <c r="A83" s="277" t="n">
        <v>82</v>
      </c>
      <c r="B83" s="278" t="e">
        <f aca="false">IF('introduccion de datos de calib.'!#ref!="","",'introduccion de datos de calib.'!#ref!)</f>
        <v>#VALUE!</v>
      </c>
      <c r="C83" s="279" t="str">
        <f aca="false">IF('Introduccion de datos de Calib.'!A83="","",'Introduccion de datos de Calib.'!A83)</f>
        <v/>
      </c>
      <c r="D83" s="280" t="str">
        <f aca="false">IF('Introduccion de datos de Calib.'!E83="","",'Introduccion de datos de Calib.'!E83)</f>
        <v/>
      </c>
      <c r="E83" s="281"/>
      <c r="F83" s="282" t="str">
        <f aca="false">IF(D83="","",(IF(E83="-",-D83,D83)))</f>
        <v/>
      </c>
    </row>
    <row r="84" customFormat="false" ht="15" hidden="false" customHeight="false" outlineLevel="0" collapsed="false">
      <c r="A84" s="277" t="n">
        <v>83</v>
      </c>
      <c r="B84" s="278" t="e">
        <f aca="false">IF('introduccion de datos de calib.'!#ref!="","",'introduccion de datos de calib.'!#ref!)</f>
        <v>#VALUE!</v>
      </c>
      <c r="C84" s="279" t="str">
        <f aca="false">IF('Introduccion de datos de Calib.'!A84="","",'Introduccion de datos de Calib.'!A84)</f>
        <v/>
      </c>
      <c r="D84" s="280" t="str">
        <f aca="false">IF('Introduccion de datos de Calib.'!E84="","",'Introduccion de datos de Calib.'!E84)</f>
        <v/>
      </c>
      <c r="E84" s="281"/>
      <c r="F84" s="282" t="str">
        <f aca="false">IF(D84="","",(IF(E84="-",-D84,D84)))</f>
        <v/>
      </c>
    </row>
    <row r="85" customFormat="false" ht="15" hidden="false" customHeight="false" outlineLevel="0" collapsed="false">
      <c r="A85" s="277" t="n">
        <v>84</v>
      </c>
      <c r="B85" s="278" t="e">
        <f aca="false">IF('introduccion de datos de calib.'!#ref!="","",'introduccion de datos de calib.'!#ref!)</f>
        <v>#VALUE!</v>
      </c>
      <c r="C85" s="279" t="str">
        <f aca="false">IF('Introduccion de datos de Calib.'!A85="","",'Introduccion de datos de Calib.'!A85)</f>
        <v/>
      </c>
      <c r="D85" s="280" t="str">
        <f aca="false">IF('Introduccion de datos de Calib.'!E85="","",'Introduccion de datos de Calib.'!E85)</f>
        <v/>
      </c>
      <c r="E85" s="281"/>
      <c r="F85" s="282" t="str">
        <f aca="false">IF(D85="","",(IF(E85="-",-D85,D85)))</f>
        <v/>
      </c>
    </row>
    <row r="86" customFormat="false" ht="15" hidden="false" customHeight="false" outlineLevel="0" collapsed="false">
      <c r="A86" s="277" t="n">
        <v>85</v>
      </c>
      <c r="B86" s="278" t="e">
        <f aca="false">IF('introduccion de datos de calib.'!#ref!="","",'introduccion de datos de calib.'!#ref!)</f>
        <v>#VALUE!</v>
      </c>
      <c r="C86" s="279" t="str">
        <f aca="false">IF('Introduccion de datos de Calib.'!A86="","",'Introduccion de datos de Calib.'!A86)</f>
        <v/>
      </c>
      <c r="D86" s="280" t="str">
        <f aca="false">IF('Introduccion de datos de Calib.'!E86="","",'Introduccion de datos de Calib.'!E86)</f>
        <v/>
      </c>
      <c r="E86" s="281"/>
      <c r="F86" s="282" t="str">
        <f aca="false">IF(D86="","",(IF(E86="-",-D86,D86)))</f>
        <v/>
      </c>
    </row>
    <row r="87" customFormat="false" ht="15" hidden="false" customHeight="false" outlineLevel="0" collapsed="false">
      <c r="A87" s="277" t="n">
        <v>86</v>
      </c>
      <c r="B87" s="278" t="e">
        <f aca="false">IF('introduccion de datos de calib.'!#ref!="","",'introduccion de datos de calib.'!#ref!)</f>
        <v>#VALUE!</v>
      </c>
      <c r="C87" s="279" t="str">
        <f aca="false">IF('Introduccion de datos de Calib.'!A87="","",'Introduccion de datos de Calib.'!A87)</f>
        <v/>
      </c>
      <c r="D87" s="280" t="str">
        <f aca="false">IF('Introduccion de datos de Calib.'!E87="","",'Introduccion de datos de Calib.'!E87)</f>
        <v/>
      </c>
      <c r="E87" s="281"/>
      <c r="F87" s="282" t="str">
        <f aca="false">IF(D87="","",(IF(E87="-",-D87,D87)))</f>
        <v/>
      </c>
    </row>
    <row r="88" customFormat="false" ht="15" hidden="false" customHeight="false" outlineLevel="0" collapsed="false">
      <c r="A88" s="277" t="n">
        <v>87</v>
      </c>
      <c r="B88" s="278" t="e">
        <f aca="false">IF('introduccion de datos de calib.'!#ref!="","",'introduccion de datos de calib.'!#ref!)</f>
        <v>#VALUE!</v>
      </c>
      <c r="C88" s="279" t="str">
        <f aca="false">IF('Introduccion de datos de Calib.'!A88="","",'Introduccion de datos de Calib.'!A88)</f>
        <v/>
      </c>
      <c r="D88" s="280" t="str">
        <f aca="false">IF('Introduccion de datos de Calib.'!E88="","",'Introduccion de datos de Calib.'!E88)</f>
        <v/>
      </c>
      <c r="E88" s="281"/>
      <c r="F88" s="282" t="str">
        <f aca="false">IF(D88="","",(IF(E88="-",-D88,D88)))</f>
        <v/>
      </c>
    </row>
    <row r="89" customFormat="false" ht="15" hidden="false" customHeight="false" outlineLevel="0" collapsed="false">
      <c r="A89" s="277" t="n">
        <v>88</v>
      </c>
      <c r="B89" s="278" t="e">
        <f aca="false">IF('introduccion de datos de calib.'!#ref!="","",'introduccion de datos de calib.'!#ref!)</f>
        <v>#VALUE!</v>
      </c>
      <c r="C89" s="279" t="str">
        <f aca="false">IF('Introduccion de datos de Calib.'!A89="","",'Introduccion de datos de Calib.'!A89)</f>
        <v/>
      </c>
      <c r="D89" s="280" t="str">
        <f aca="false">IF('Introduccion de datos de Calib.'!E89="","",'Introduccion de datos de Calib.'!E89)</f>
        <v/>
      </c>
      <c r="E89" s="281"/>
      <c r="F89" s="282" t="str">
        <f aca="false">IF(D89="","",(IF(E89="-",-D89,D89)))</f>
        <v/>
      </c>
    </row>
    <row r="90" customFormat="false" ht="15" hidden="false" customHeight="false" outlineLevel="0" collapsed="false">
      <c r="A90" s="277" t="n">
        <v>89</v>
      </c>
      <c r="B90" s="278" t="e">
        <f aca="false">IF('introduccion de datos de calib.'!#ref!="","",'introduccion de datos de calib.'!#ref!)</f>
        <v>#VALUE!</v>
      </c>
      <c r="C90" s="279" t="str">
        <f aca="false">IF('Introduccion de datos de Calib.'!A90="","",'Introduccion de datos de Calib.'!A90)</f>
        <v/>
      </c>
      <c r="D90" s="280" t="str">
        <f aca="false">IF('Introduccion de datos de Calib.'!E90="","",'Introduccion de datos de Calib.'!E90)</f>
        <v/>
      </c>
      <c r="E90" s="281"/>
      <c r="F90" s="282" t="str">
        <f aca="false">IF(D90="","",(IF(E90="-",-D90,D90)))</f>
        <v/>
      </c>
    </row>
    <row r="91" customFormat="false" ht="15" hidden="false" customHeight="false" outlineLevel="0" collapsed="false">
      <c r="A91" s="277" t="n">
        <v>90</v>
      </c>
      <c r="B91" s="278" t="e">
        <f aca="false">IF('introduccion de datos de calib.'!#ref!="","",'introduccion de datos de calib.'!#ref!)</f>
        <v>#VALUE!</v>
      </c>
      <c r="C91" s="279" t="str">
        <f aca="false">IF('Introduccion de datos de Calib.'!A91="","",'Introduccion de datos de Calib.'!A91)</f>
        <v/>
      </c>
      <c r="D91" s="280" t="str">
        <f aca="false">IF('Introduccion de datos de Calib.'!E91="","",'Introduccion de datos de Calib.'!E91)</f>
        <v/>
      </c>
      <c r="E91" s="281"/>
      <c r="F91" s="282" t="str">
        <f aca="false">IF(D91="","",(IF(E91="-",-D91,D91)))</f>
        <v/>
      </c>
    </row>
    <row r="92" customFormat="false" ht="15" hidden="false" customHeight="false" outlineLevel="0" collapsed="false">
      <c r="A92" s="277" t="n">
        <v>91</v>
      </c>
      <c r="B92" s="278" t="e">
        <f aca="false">IF('introduccion de datos de calib.'!#ref!="","",'introduccion de datos de calib.'!#ref!)</f>
        <v>#VALUE!</v>
      </c>
      <c r="C92" s="279" t="str">
        <f aca="false">IF('Introduccion de datos de Calib.'!A92="","",'Introduccion de datos de Calib.'!A92)</f>
        <v/>
      </c>
      <c r="D92" s="280" t="str">
        <f aca="false">IF('Introduccion de datos de Calib.'!E92="","",'Introduccion de datos de Calib.'!E92)</f>
        <v/>
      </c>
      <c r="E92" s="281"/>
      <c r="F92" s="282" t="str">
        <f aca="false">IF(D92="","",(IF(E92="-",-D92,D92)))</f>
        <v/>
      </c>
    </row>
    <row r="93" customFormat="false" ht="15" hidden="false" customHeight="false" outlineLevel="0" collapsed="false">
      <c r="A93" s="277" t="n">
        <v>92</v>
      </c>
      <c r="B93" s="278" t="e">
        <f aca="false">IF('introduccion de datos de calib.'!#ref!="","",'introduccion de datos de calib.'!#ref!)</f>
        <v>#VALUE!</v>
      </c>
      <c r="C93" s="279" t="str">
        <f aca="false">IF('Introduccion de datos de Calib.'!A93="","",'Introduccion de datos de Calib.'!A93)</f>
        <v/>
      </c>
      <c r="D93" s="280" t="str">
        <f aca="false">IF('Introduccion de datos de Calib.'!E93="","",'Introduccion de datos de Calib.'!E93)</f>
        <v/>
      </c>
      <c r="E93" s="281"/>
      <c r="F93" s="282" t="str">
        <f aca="false">IF(D93="","",(IF(E93="-",-D93,D93)))</f>
        <v/>
      </c>
    </row>
    <row r="94" customFormat="false" ht="15" hidden="false" customHeight="false" outlineLevel="0" collapsed="false">
      <c r="A94" s="277" t="n">
        <v>93</v>
      </c>
      <c r="B94" s="278" t="e">
        <f aca="false">IF('introduccion de datos de calib.'!#ref!="","",'introduccion de datos de calib.'!#ref!)</f>
        <v>#VALUE!</v>
      </c>
      <c r="C94" s="279" t="str">
        <f aca="false">IF('Introduccion de datos de Calib.'!A94="","",'Introduccion de datos de Calib.'!A94)</f>
        <v/>
      </c>
      <c r="D94" s="280" t="str">
        <f aca="false">IF('Introduccion de datos de Calib.'!E94="","",'Introduccion de datos de Calib.'!E94)</f>
        <v/>
      </c>
      <c r="E94" s="281"/>
      <c r="F94" s="282" t="str">
        <f aca="false">IF(D94="","",(IF(E94="-",-D94,D94)))</f>
        <v/>
      </c>
    </row>
    <row r="95" customFormat="false" ht="15" hidden="false" customHeight="false" outlineLevel="0" collapsed="false">
      <c r="A95" s="277" t="n">
        <v>94</v>
      </c>
      <c r="B95" s="278" t="e">
        <f aca="false">IF('introduccion de datos de calib.'!#ref!="","",'introduccion de datos de calib.'!#ref!)</f>
        <v>#VALUE!</v>
      </c>
      <c r="C95" s="279" t="str">
        <f aca="false">IF('Introduccion de datos de Calib.'!A95="","",'Introduccion de datos de Calib.'!A95)</f>
        <v/>
      </c>
      <c r="D95" s="280" t="str">
        <f aca="false">IF('Introduccion de datos de Calib.'!E95="","",'Introduccion de datos de Calib.'!E95)</f>
        <v/>
      </c>
      <c r="E95" s="281"/>
      <c r="F95" s="282" t="str">
        <f aca="false">IF(D95="","",(IF(E95="-",-D95,D95)))</f>
        <v/>
      </c>
    </row>
    <row r="96" customFormat="false" ht="15" hidden="false" customHeight="false" outlineLevel="0" collapsed="false">
      <c r="A96" s="277" t="n">
        <v>95</v>
      </c>
      <c r="B96" s="278" t="e">
        <f aca="false">IF('introduccion de datos de calib.'!#ref!="","",'introduccion de datos de calib.'!#ref!)</f>
        <v>#VALUE!</v>
      </c>
      <c r="C96" s="279" t="str">
        <f aca="false">IF('Introduccion de datos de Calib.'!A96="","",'Introduccion de datos de Calib.'!A96)</f>
        <v/>
      </c>
      <c r="D96" s="280" t="str">
        <f aca="false">IF('Introduccion de datos de Calib.'!E96="","",'Introduccion de datos de Calib.'!E96)</f>
        <v/>
      </c>
      <c r="E96" s="281"/>
      <c r="F96" s="282" t="str">
        <f aca="false">IF(D96="","",(IF(E96="-",-D96,D96)))</f>
        <v/>
      </c>
    </row>
    <row r="97" customFormat="false" ht="15" hidden="false" customHeight="false" outlineLevel="0" collapsed="false">
      <c r="A97" s="277" t="n">
        <v>96</v>
      </c>
      <c r="B97" s="278" t="e">
        <f aca="false">IF('introduccion de datos de calib.'!#ref!="","",'introduccion de datos de calib.'!#ref!)</f>
        <v>#VALUE!</v>
      </c>
      <c r="C97" s="279" t="str">
        <f aca="false">IF('Introduccion de datos de Calib.'!A97="","",'Introduccion de datos de Calib.'!A97)</f>
        <v/>
      </c>
      <c r="D97" s="280" t="str">
        <f aca="false">IF('Introduccion de datos de Calib.'!E97="","",'Introduccion de datos de Calib.'!E97)</f>
        <v/>
      </c>
      <c r="E97" s="281"/>
      <c r="F97" s="282" t="str">
        <f aca="false">IF(D97="","",(IF(E97="-",-D97,D97)))</f>
        <v/>
      </c>
    </row>
    <row r="98" customFormat="false" ht="15" hidden="false" customHeight="false" outlineLevel="0" collapsed="false">
      <c r="A98" s="277" t="n">
        <v>97</v>
      </c>
      <c r="B98" s="278" t="e">
        <f aca="false">IF('introduccion de datos de calib.'!#ref!="","",'introduccion de datos de calib.'!#ref!)</f>
        <v>#VALUE!</v>
      </c>
      <c r="C98" s="279" t="str">
        <f aca="false">IF('Introduccion de datos de Calib.'!A98="","",'Introduccion de datos de Calib.'!A98)</f>
        <v/>
      </c>
      <c r="D98" s="280" t="str">
        <f aca="false">IF('Introduccion de datos de Calib.'!E98="","",'Introduccion de datos de Calib.'!E98)</f>
        <v/>
      </c>
      <c r="E98" s="281"/>
      <c r="F98" s="282" t="str">
        <f aca="false">IF(D98="","",(IF(E98="-",-D98,D98)))</f>
        <v/>
      </c>
    </row>
    <row r="99" customFormat="false" ht="15" hidden="false" customHeight="false" outlineLevel="0" collapsed="false">
      <c r="A99" s="277" t="n">
        <v>98</v>
      </c>
      <c r="B99" s="278" t="e">
        <f aca="false">IF('introduccion de datos de calib.'!#ref!="","",'introduccion de datos de calib.'!#ref!)</f>
        <v>#VALUE!</v>
      </c>
      <c r="C99" s="279" t="str">
        <f aca="false">IF('Introduccion de datos de Calib.'!A99="","",'Introduccion de datos de Calib.'!A99)</f>
        <v/>
      </c>
      <c r="D99" s="280" t="str">
        <f aca="false">IF('Introduccion de datos de Calib.'!E99="","",'Introduccion de datos de Calib.'!E99)</f>
        <v/>
      </c>
      <c r="E99" s="281"/>
      <c r="F99" s="282" t="str">
        <f aca="false">IF(D99="","",(IF(E99="-",-D99,D99)))</f>
        <v/>
      </c>
    </row>
    <row r="100" customFormat="false" ht="15" hidden="false" customHeight="false" outlineLevel="0" collapsed="false">
      <c r="A100" s="277" t="n">
        <v>99</v>
      </c>
      <c r="B100" s="278" t="e">
        <f aca="false">IF('introduccion de datos de calib.'!#ref!="","",'introduccion de datos de calib.'!#ref!)</f>
        <v>#VALUE!</v>
      </c>
      <c r="C100" s="279" t="str">
        <f aca="false">IF('Introduccion de datos de Calib.'!A100="","",'Introduccion de datos de Calib.'!A100)</f>
        <v/>
      </c>
      <c r="D100" s="280" t="str">
        <f aca="false">IF('Introduccion de datos de Calib.'!E100="","",'Introduccion de datos de Calib.'!E100)</f>
        <v/>
      </c>
      <c r="E100" s="281"/>
      <c r="F100" s="282" t="str">
        <f aca="false">IF(D100="","",(IF(E100="-",-D100,D100)))</f>
        <v/>
      </c>
    </row>
    <row r="101" customFormat="false" ht="15" hidden="false" customHeight="false" outlineLevel="0" collapsed="false">
      <c r="A101" s="277" t="n">
        <v>100</v>
      </c>
      <c r="B101" s="278" t="e">
        <f aca="false">IF('introduccion de datos de calib.'!#ref!="","",'introduccion de datos de calib.'!#ref!)</f>
        <v>#VALUE!</v>
      </c>
      <c r="C101" s="279" t="str">
        <f aca="false">IF('Introduccion de datos de Calib.'!A101="","",'Introduccion de datos de Calib.'!A101)</f>
        <v/>
      </c>
      <c r="D101" s="280" t="str">
        <f aca="false">IF('Introduccion de datos de Calib.'!E101="","",'Introduccion de datos de Calib.'!E101)</f>
        <v/>
      </c>
      <c r="E101" s="281"/>
      <c r="F101" s="282" t="str">
        <f aca="false">IF(D101="","",(IF(E101="-",-D101,D101)))</f>
        <v/>
      </c>
    </row>
    <row r="102" customFormat="false" ht="15" hidden="false" customHeight="false" outlineLevel="0" collapsed="false">
      <c r="A102" s="277" t="n">
        <v>101</v>
      </c>
      <c r="B102" s="278" t="e">
        <f aca="false">IF('introduccion de datos de calib.'!#ref!="","",'introduccion de datos de calib.'!#ref!)</f>
        <v>#VALUE!</v>
      </c>
      <c r="C102" s="279" t="str">
        <f aca="false">IF('Introduccion de datos de Calib.'!A102="","",'Introduccion de datos de Calib.'!A102)</f>
        <v/>
      </c>
      <c r="D102" s="280" t="str">
        <f aca="false">IF('Introduccion de datos de Calib.'!E102="","",'Introduccion de datos de Calib.'!E102)</f>
        <v/>
      </c>
      <c r="E102" s="281"/>
      <c r="F102" s="282" t="str">
        <f aca="false">IF(D102="","",(IF(E102="-",-D102,D102)))</f>
        <v/>
      </c>
    </row>
    <row r="103" customFormat="false" ht="15" hidden="false" customHeight="false" outlineLevel="0" collapsed="false">
      <c r="A103" s="277" t="n">
        <v>102</v>
      </c>
      <c r="B103" s="278" t="e">
        <f aca="false">IF('introduccion de datos de calib.'!#ref!="","",'introduccion de datos de calib.'!#ref!)</f>
        <v>#VALUE!</v>
      </c>
      <c r="C103" s="279" t="str">
        <f aca="false">IF('Introduccion de datos de Calib.'!A103="","",'Introduccion de datos de Calib.'!A103)</f>
        <v/>
      </c>
      <c r="D103" s="280" t="str">
        <f aca="false">IF('Introduccion de datos de Calib.'!E103="","",'Introduccion de datos de Calib.'!E103)</f>
        <v/>
      </c>
      <c r="E103" s="281"/>
      <c r="F103" s="282" t="str">
        <f aca="false">IF(D103="","",(IF(E103="-",-D103,D103)))</f>
        <v/>
      </c>
    </row>
    <row r="104" customFormat="false" ht="15" hidden="false" customHeight="false" outlineLevel="0" collapsed="false">
      <c r="A104" s="277" t="n">
        <v>103</v>
      </c>
      <c r="B104" s="278" t="e">
        <f aca="false">IF('introduccion de datos de calib.'!#ref!="","",'introduccion de datos de calib.'!#ref!)</f>
        <v>#VALUE!</v>
      </c>
      <c r="C104" s="279" t="str">
        <f aca="false">IF('Introduccion de datos de Calib.'!A104="","",'Introduccion de datos de Calib.'!A104)</f>
        <v/>
      </c>
      <c r="D104" s="280" t="str">
        <f aca="false">IF('Introduccion de datos de Calib.'!E104="","",'Introduccion de datos de Calib.'!E104)</f>
        <v/>
      </c>
      <c r="E104" s="281"/>
      <c r="F104" s="282" t="str">
        <f aca="false">IF(D104="","",(IF(E104="-",-D104,D104)))</f>
        <v/>
      </c>
    </row>
    <row r="105" customFormat="false" ht="15" hidden="false" customHeight="false" outlineLevel="0" collapsed="false">
      <c r="A105" s="277" t="n">
        <v>104</v>
      </c>
      <c r="B105" s="278" t="e">
        <f aca="false">IF('introduccion de datos de calib.'!#ref!="","",'introduccion de datos de calib.'!#ref!)</f>
        <v>#VALUE!</v>
      </c>
      <c r="C105" s="279" t="str">
        <f aca="false">IF('Introduccion de datos de Calib.'!A105="","",'Introduccion de datos de Calib.'!A105)</f>
        <v/>
      </c>
      <c r="D105" s="280" t="str">
        <f aca="false">IF('Introduccion de datos de Calib.'!E105="","",'Introduccion de datos de Calib.'!E105)</f>
        <v/>
      </c>
      <c r="E105" s="281"/>
      <c r="F105" s="282" t="str">
        <f aca="false">IF(D105="","",(IF(E105="-",-D105,D105)))</f>
        <v/>
      </c>
    </row>
    <row r="106" customFormat="false" ht="15" hidden="false" customHeight="false" outlineLevel="0" collapsed="false">
      <c r="A106" s="277" t="n">
        <v>105</v>
      </c>
      <c r="B106" s="278" t="e">
        <f aca="false">IF('introduccion de datos de calib.'!#ref!="","",'introduccion de datos de calib.'!#ref!)</f>
        <v>#VALUE!</v>
      </c>
      <c r="C106" s="279" t="str">
        <f aca="false">IF('Introduccion de datos de Calib.'!A106="","",'Introduccion de datos de Calib.'!A106)</f>
        <v/>
      </c>
      <c r="D106" s="280" t="str">
        <f aca="false">IF('Introduccion de datos de Calib.'!E106="","",'Introduccion de datos de Calib.'!E106)</f>
        <v/>
      </c>
      <c r="E106" s="281"/>
      <c r="F106" s="282" t="str">
        <f aca="false">IF(D106="","",(IF(E106="-",-D106,D106)))</f>
        <v/>
      </c>
    </row>
    <row r="107" customFormat="false" ht="15" hidden="false" customHeight="false" outlineLevel="0" collapsed="false">
      <c r="A107" s="277" t="n">
        <v>106</v>
      </c>
      <c r="B107" s="278" t="e">
        <f aca="false">IF('introduccion de datos de calib.'!#ref!="","",'introduccion de datos de calib.'!#ref!)</f>
        <v>#VALUE!</v>
      </c>
      <c r="C107" s="279" t="str">
        <f aca="false">IF('Introduccion de datos de Calib.'!A107="","",'Introduccion de datos de Calib.'!A107)</f>
        <v/>
      </c>
      <c r="D107" s="280" t="str">
        <f aca="false">IF('Introduccion de datos de Calib.'!E107="","",'Introduccion de datos de Calib.'!E107)</f>
        <v/>
      </c>
      <c r="E107" s="281"/>
      <c r="F107" s="282" t="str">
        <f aca="false">IF(D107="","",(IF(E107="-",-D107,D107)))</f>
        <v/>
      </c>
    </row>
    <row r="108" customFormat="false" ht="15" hidden="false" customHeight="false" outlineLevel="0" collapsed="false">
      <c r="A108" s="277" t="n">
        <v>107</v>
      </c>
      <c r="B108" s="278" t="e">
        <f aca="false">IF('introduccion de datos de calib.'!#ref!="","",'introduccion de datos de calib.'!#ref!)</f>
        <v>#VALUE!</v>
      </c>
      <c r="C108" s="279" t="str">
        <f aca="false">IF('Introduccion de datos de Calib.'!A108="","",'Introduccion de datos de Calib.'!A108)</f>
        <v/>
      </c>
      <c r="D108" s="280" t="str">
        <f aca="false">IF('Introduccion de datos de Calib.'!E108="","",'Introduccion de datos de Calib.'!E108)</f>
        <v/>
      </c>
      <c r="E108" s="281"/>
      <c r="F108" s="282" t="str">
        <f aca="false">IF(D108="","",(IF(E108="-",-D108,D108)))</f>
        <v/>
      </c>
    </row>
    <row r="109" customFormat="false" ht="15" hidden="false" customHeight="false" outlineLevel="0" collapsed="false">
      <c r="A109" s="277" t="n">
        <v>108</v>
      </c>
      <c r="B109" s="278" t="e">
        <f aca="false">IF('introduccion de datos de calib.'!#ref!="","",'introduccion de datos de calib.'!#ref!)</f>
        <v>#VALUE!</v>
      </c>
      <c r="C109" s="279" t="str">
        <f aca="false">IF('Introduccion de datos de Calib.'!A109="","",'Introduccion de datos de Calib.'!A109)</f>
        <v/>
      </c>
      <c r="D109" s="280" t="str">
        <f aca="false">IF('Introduccion de datos de Calib.'!E109="","",'Introduccion de datos de Calib.'!E109)</f>
        <v/>
      </c>
      <c r="E109" s="281"/>
      <c r="F109" s="282" t="str">
        <f aca="false">IF(D109="","",(IF(E109="-",-D109,D109)))</f>
        <v/>
      </c>
    </row>
    <row r="110" customFormat="false" ht="15" hidden="false" customHeight="false" outlineLevel="0" collapsed="false">
      <c r="A110" s="277" t="n">
        <v>109</v>
      </c>
      <c r="B110" s="278" t="e">
        <f aca="false">IF('introduccion de datos de calib.'!#ref!="","",'introduccion de datos de calib.'!#ref!)</f>
        <v>#VALUE!</v>
      </c>
      <c r="C110" s="279" t="str">
        <f aca="false">IF('Introduccion de datos de Calib.'!A110="","",'Introduccion de datos de Calib.'!A110)</f>
        <v/>
      </c>
      <c r="D110" s="280" t="str">
        <f aca="false">IF('Introduccion de datos de Calib.'!E110="","",'Introduccion de datos de Calib.'!E110)</f>
        <v/>
      </c>
      <c r="E110" s="281"/>
      <c r="F110" s="282" t="str">
        <f aca="false">IF(D110="","",(IF(E110="-",-D110,D110)))</f>
        <v/>
      </c>
    </row>
    <row r="111" customFormat="false" ht="15" hidden="false" customHeight="false" outlineLevel="0" collapsed="false">
      <c r="A111" s="277" t="n">
        <v>110</v>
      </c>
      <c r="B111" s="278" t="e">
        <f aca="false">IF('introduccion de datos de calib.'!#ref!="","",'introduccion de datos de calib.'!#ref!)</f>
        <v>#VALUE!</v>
      </c>
      <c r="C111" s="279" t="str">
        <f aca="false">IF('Introduccion de datos de Calib.'!A111="","",'Introduccion de datos de Calib.'!A111)</f>
        <v/>
      </c>
      <c r="D111" s="280" t="str">
        <f aca="false">IF('Introduccion de datos de Calib.'!E111="","",'Introduccion de datos de Calib.'!E111)</f>
        <v/>
      </c>
      <c r="E111" s="281"/>
      <c r="F111" s="282" t="str">
        <f aca="false">IF(D111="","",(IF(E111="-",-D111,D111)))</f>
        <v/>
      </c>
    </row>
    <row r="112" customFormat="false" ht="15" hidden="false" customHeight="false" outlineLevel="0" collapsed="false">
      <c r="A112" s="277" t="n">
        <v>111</v>
      </c>
      <c r="B112" s="278" t="e">
        <f aca="false">IF('introduccion de datos de calib.'!#ref!="","",'introduccion de datos de calib.'!#ref!)</f>
        <v>#VALUE!</v>
      </c>
      <c r="C112" s="279" t="str">
        <f aca="false">IF('Introduccion de datos de Calib.'!A112="","",'Introduccion de datos de Calib.'!A112)</f>
        <v/>
      </c>
      <c r="D112" s="280" t="str">
        <f aca="false">IF('Introduccion de datos de Calib.'!E112="","",'Introduccion de datos de Calib.'!E112)</f>
        <v/>
      </c>
      <c r="E112" s="281"/>
      <c r="F112" s="282" t="str">
        <f aca="false">IF(D112="","",(IF(E112="-",-D112,D112)))</f>
        <v/>
      </c>
    </row>
    <row r="113" customFormat="false" ht="15" hidden="false" customHeight="false" outlineLevel="0" collapsed="false">
      <c r="A113" s="277" t="n">
        <v>112</v>
      </c>
      <c r="B113" s="278" t="e">
        <f aca="false">IF('introduccion de datos de calib.'!#ref!="","",'introduccion de datos de calib.'!#ref!)</f>
        <v>#VALUE!</v>
      </c>
      <c r="C113" s="279" t="str">
        <f aca="false">IF('Introduccion de datos de Calib.'!A113="","",'Introduccion de datos de Calib.'!A113)</f>
        <v/>
      </c>
      <c r="D113" s="280" t="str">
        <f aca="false">IF('Introduccion de datos de Calib.'!E113="","",'Introduccion de datos de Calib.'!E113)</f>
        <v/>
      </c>
      <c r="E113" s="281"/>
      <c r="F113" s="282" t="str">
        <f aca="false">IF(D113="","",(IF(E113="-",-D113,D113)))</f>
        <v/>
      </c>
    </row>
    <row r="114" customFormat="false" ht="15" hidden="false" customHeight="false" outlineLevel="0" collapsed="false">
      <c r="A114" s="277" t="n">
        <v>113</v>
      </c>
      <c r="B114" s="278" t="e">
        <f aca="false">IF('introduccion de datos de calib.'!#ref!="","",'introduccion de datos de calib.'!#ref!)</f>
        <v>#VALUE!</v>
      </c>
      <c r="C114" s="279" t="str">
        <f aca="false">IF('Introduccion de datos de Calib.'!A114="","",'Introduccion de datos de Calib.'!A114)</f>
        <v/>
      </c>
      <c r="D114" s="280" t="str">
        <f aca="false">IF('Introduccion de datos de Calib.'!E114="","",'Introduccion de datos de Calib.'!E114)</f>
        <v/>
      </c>
      <c r="E114" s="281"/>
      <c r="F114" s="282" t="str">
        <f aca="false">IF(D114="","",(IF(E114="-",-D114,D114)))</f>
        <v/>
      </c>
    </row>
    <row r="115" customFormat="false" ht="15" hidden="false" customHeight="false" outlineLevel="0" collapsed="false">
      <c r="A115" s="277" t="n">
        <v>114</v>
      </c>
      <c r="B115" s="278" t="e">
        <f aca="false">IF('introduccion de datos de calib.'!#ref!="","",'introduccion de datos de calib.'!#ref!)</f>
        <v>#VALUE!</v>
      </c>
      <c r="C115" s="279" t="str">
        <f aca="false">IF('Introduccion de datos de Calib.'!A115="","",'Introduccion de datos de Calib.'!A115)</f>
        <v/>
      </c>
      <c r="D115" s="280" t="str">
        <f aca="false">IF('Introduccion de datos de Calib.'!E115="","",'Introduccion de datos de Calib.'!E115)</f>
        <v/>
      </c>
      <c r="E115" s="281"/>
      <c r="F115" s="282" t="str">
        <f aca="false">IF(D115="","",(IF(E115="-",-D115,D115)))</f>
        <v/>
      </c>
    </row>
    <row r="116" customFormat="false" ht="15" hidden="false" customHeight="false" outlineLevel="0" collapsed="false">
      <c r="A116" s="277" t="n">
        <v>115</v>
      </c>
      <c r="B116" s="278" t="e">
        <f aca="false">IF('introduccion de datos de calib.'!#ref!="","",'introduccion de datos de calib.'!#ref!)</f>
        <v>#VALUE!</v>
      </c>
      <c r="C116" s="279" t="str">
        <f aca="false">IF('Introduccion de datos de Calib.'!A116="","",'Introduccion de datos de Calib.'!A116)</f>
        <v/>
      </c>
      <c r="D116" s="280" t="str">
        <f aca="false">IF('Introduccion de datos de Calib.'!E116="","",'Introduccion de datos de Calib.'!E116)</f>
        <v/>
      </c>
      <c r="E116" s="281"/>
      <c r="F116" s="282" t="str">
        <f aca="false">IF(D116="","",(IF(E116="-",-D116,D116)))</f>
        <v/>
      </c>
    </row>
    <row r="117" customFormat="false" ht="15" hidden="false" customHeight="false" outlineLevel="0" collapsed="false">
      <c r="A117" s="277" t="n">
        <v>116</v>
      </c>
      <c r="B117" s="278" t="e">
        <f aca="false">IF('introduccion de datos de calib.'!#ref!="","",'introduccion de datos de calib.'!#ref!)</f>
        <v>#VALUE!</v>
      </c>
      <c r="C117" s="279" t="str">
        <f aca="false">IF('Introduccion de datos de Calib.'!A117="","",'Introduccion de datos de Calib.'!A117)</f>
        <v/>
      </c>
      <c r="D117" s="280" t="str">
        <f aca="false">IF('Introduccion de datos de Calib.'!E117="","",'Introduccion de datos de Calib.'!E117)</f>
        <v/>
      </c>
      <c r="E117" s="281"/>
      <c r="F117" s="282" t="str">
        <f aca="false">IF(D117="","",(IF(E117="-",-D117,D117)))</f>
        <v/>
      </c>
    </row>
    <row r="118" customFormat="false" ht="15" hidden="false" customHeight="false" outlineLevel="0" collapsed="false">
      <c r="A118" s="277" t="n">
        <v>117</v>
      </c>
      <c r="B118" s="278" t="e">
        <f aca="false">IF('introduccion de datos de calib.'!#ref!="","",'introduccion de datos de calib.'!#ref!)</f>
        <v>#VALUE!</v>
      </c>
      <c r="C118" s="279" t="str">
        <f aca="false">IF('Introduccion de datos de Calib.'!A118="","",'Introduccion de datos de Calib.'!A118)</f>
        <v/>
      </c>
      <c r="D118" s="280" t="str">
        <f aca="false">IF('Introduccion de datos de Calib.'!E118="","",'Introduccion de datos de Calib.'!E118)</f>
        <v/>
      </c>
      <c r="E118" s="281"/>
      <c r="F118" s="282" t="str">
        <f aca="false">IF(D118="","",(IF(E118="-",-D118,D118)))</f>
        <v/>
      </c>
    </row>
    <row r="119" customFormat="false" ht="15" hidden="false" customHeight="false" outlineLevel="0" collapsed="false">
      <c r="A119" s="277" t="n">
        <v>118</v>
      </c>
      <c r="B119" s="278" t="e">
        <f aca="false">IF('introduccion de datos de calib.'!#ref!="","",'introduccion de datos de calib.'!#ref!)</f>
        <v>#VALUE!</v>
      </c>
      <c r="C119" s="279" t="str">
        <f aca="false">IF('Introduccion de datos de Calib.'!A119="","",'Introduccion de datos de Calib.'!A119)</f>
        <v/>
      </c>
      <c r="D119" s="280" t="str">
        <f aca="false">IF('Introduccion de datos de Calib.'!E119="","",'Introduccion de datos de Calib.'!E119)</f>
        <v/>
      </c>
      <c r="E119" s="281"/>
      <c r="F119" s="282" t="str">
        <f aca="false">IF(D119="","",(IF(E119="-",-D119,D119)))</f>
        <v/>
      </c>
    </row>
    <row r="120" customFormat="false" ht="15" hidden="false" customHeight="false" outlineLevel="0" collapsed="false">
      <c r="A120" s="277" t="n">
        <v>119</v>
      </c>
      <c r="B120" s="278" t="e">
        <f aca="false">IF('introduccion de datos de calib.'!#ref!="","",'introduccion de datos de calib.'!#ref!)</f>
        <v>#VALUE!</v>
      </c>
      <c r="C120" s="279" t="str">
        <f aca="false">IF('Introduccion de datos de Calib.'!A120="","",'Introduccion de datos de Calib.'!A120)</f>
        <v/>
      </c>
      <c r="D120" s="280" t="str">
        <f aca="false">IF('Introduccion de datos de Calib.'!E120="","",'Introduccion de datos de Calib.'!E120)</f>
        <v/>
      </c>
      <c r="E120" s="281"/>
      <c r="F120" s="282" t="str">
        <f aca="false">IF(D120="","",(IF(E120="-",-D120,D120)))</f>
        <v/>
      </c>
    </row>
    <row r="121" customFormat="false" ht="15" hidden="false" customHeight="false" outlineLevel="0" collapsed="false">
      <c r="A121" s="277" t="n">
        <v>120</v>
      </c>
      <c r="B121" s="278" t="e">
        <f aca="false">IF('introduccion de datos de calib.'!#ref!="","",'introduccion de datos de calib.'!#ref!)</f>
        <v>#VALUE!</v>
      </c>
      <c r="C121" s="279" t="str">
        <f aca="false">IF('Introduccion de datos de Calib.'!A121="","",'Introduccion de datos de Calib.'!A121)</f>
        <v/>
      </c>
      <c r="D121" s="280" t="str">
        <f aca="false">IF('Introduccion de datos de Calib.'!E121="","",'Introduccion de datos de Calib.'!E121)</f>
        <v/>
      </c>
      <c r="E121" s="281"/>
      <c r="F121" s="282" t="str">
        <f aca="false">IF(D121="","",(IF(E121="-",-D121,D121)))</f>
        <v/>
      </c>
    </row>
    <row r="122" customFormat="false" ht="15" hidden="false" customHeight="false" outlineLevel="0" collapsed="false">
      <c r="A122" s="277" t="n">
        <v>121</v>
      </c>
      <c r="B122" s="278" t="e">
        <f aca="false">IF('introduccion de datos de calib.'!#ref!="","",'introduccion de datos de calib.'!#ref!)</f>
        <v>#VALUE!</v>
      </c>
      <c r="C122" s="279" t="str">
        <f aca="false">IF('Introduccion de datos de Calib.'!A122="","",'Introduccion de datos de Calib.'!A122)</f>
        <v/>
      </c>
      <c r="D122" s="280" t="str">
        <f aca="false">IF('Introduccion de datos de Calib.'!E122="","",'Introduccion de datos de Calib.'!E122)</f>
        <v/>
      </c>
      <c r="E122" s="281"/>
      <c r="F122" s="282" t="str">
        <f aca="false">IF(D122="","",(IF(E122="-",-D122,D122)))</f>
        <v/>
      </c>
    </row>
    <row r="123" customFormat="false" ht="15" hidden="false" customHeight="false" outlineLevel="0" collapsed="false">
      <c r="A123" s="277" t="n">
        <v>122</v>
      </c>
      <c r="B123" s="278" t="e">
        <f aca="false">IF('introduccion de datos de calib.'!#ref!="","",'introduccion de datos de calib.'!#ref!)</f>
        <v>#VALUE!</v>
      </c>
      <c r="C123" s="279" t="str">
        <f aca="false">IF('Introduccion de datos de Calib.'!A123="","",'Introduccion de datos de Calib.'!A123)</f>
        <v/>
      </c>
      <c r="D123" s="280" t="str">
        <f aca="false">IF('Introduccion de datos de Calib.'!E123="","",'Introduccion de datos de Calib.'!E123)</f>
        <v/>
      </c>
      <c r="E123" s="281"/>
      <c r="F123" s="282" t="str">
        <f aca="false">IF(D123="","",(IF(E123="-",-D123,D123)))</f>
        <v/>
      </c>
    </row>
    <row r="124" customFormat="false" ht="15" hidden="false" customHeight="false" outlineLevel="0" collapsed="false">
      <c r="D124" s="280"/>
      <c r="F124" s="282"/>
    </row>
  </sheetData>
  <mergeCells count="51">
    <mergeCell ref="I1:J1"/>
    <mergeCell ref="K1:L1"/>
    <mergeCell ref="I3:T3"/>
    <mergeCell ref="I4:T4"/>
    <mergeCell ref="I5:K5"/>
    <mergeCell ref="L5:T5"/>
    <mergeCell ref="I6:K6"/>
    <mergeCell ref="L6:T6"/>
    <mergeCell ref="I7:K7"/>
    <mergeCell ref="L7:T7"/>
    <mergeCell ref="I8:K8"/>
    <mergeCell ref="L8:T8"/>
    <mergeCell ref="I9:K9"/>
    <mergeCell ref="L9:T9"/>
    <mergeCell ref="I10:K10"/>
    <mergeCell ref="L10:T10"/>
    <mergeCell ref="I11:K11"/>
    <mergeCell ref="L11:T11"/>
    <mergeCell ref="I12:K12"/>
    <mergeCell ref="L12:T12"/>
    <mergeCell ref="I13:K13"/>
    <mergeCell ref="L13:T13"/>
    <mergeCell ref="I14:T14"/>
    <mergeCell ref="I15:T15"/>
    <mergeCell ref="I16:T16"/>
    <mergeCell ref="I17:K17"/>
    <mergeCell ref="L17:T17"/>
    <mergeCell ref="I18:K18"/>
    <mergeCell ref="L18:T18"/>
    <mergeCell ref="I19:K19"/>
    <mergeCell ref="L19:T19"/>
    <mergeCell ref="I20:K20"/>
    <mergeCell ref="L20:T20"/>
    <mergeCell ref="I21:K21"/>
    <mergeCell ref="L21:T21"/>
    <mergeCell ref="I22:K22"/>
    <mergeCell ref="L22:T22"/>
    <mergeCell ref="I23:K23"/>
    <mergeCell ref="L23:T23"/>
    <mergeCell ref="I24:K24"/>
    <mergeCell ref="L24:T24"/>
    <mergeCell ref="I25:K25"/>
    <mergeCell ref="L25:T25"/>
    <mergeCell ref="I27:K27"/>
    <mergeCell ref="L27:N27"/>
    <mergeCell ref="I28:K28"/>
    <mergeCell ref="L28:N28"/>
    <mergeCell ref="I30:K30"/>
    <mergeCell ref="L30:O30"/>
    <mergeCell ref="I31:K31"/>
    <mergeCell ref="L31:N31"/>
  </mergeCells>
  <dataValidations count="4">
    <dataValidation allowBlank="true" errorStyle="stop" operator="between" showDropDown="false" showErrorMessage="true" showInputMessage="true" sqref="L27" type="list">
      <formula1>COLABORADORES</formula1>
      <formula2>0</formula2>
    </dataValidation>
    <dataValidation allowBlank="true" errorStyle="stop" operator="between" showDropDown="false" showErrorMessage="true" showInputMessage="true" sqref="L30 P30" type="list">
      <formula1>BLOQUES_PATRON</formula1>
      <formula2>0</formula2>
    </dataValidation>
    <dataValidation allowBlank="true" errorStyle="stop" operator="between" showDropDown="false" showErrorMessage="true" showInputMessage="true" sqref="L31:N31" type="list">
      <formula1>patron1</formula1>
      <formula2>0</formula2>
    </dataValidation>
    <dataValidation allowBlank="true" errorStyle="stop" operator="between" showDropDown="false" showErrorMessage="true" showInputMessage="true" sqref="L28:N28" type="list">
      <formula1>revisores</formula1>
      <formula2>0</formula2>
    </dataValidation>
  </dataValidations>
  <hyperlinks>
    <hyperlink ref="Z2" r:id="rId1" display="lrojas@lcm.go.cr"/>
    <hyperlink ref="Z3" r:id="rId2" display="oramos@lcm.go.cr"/>
    <hyperlink ref="Z4" r:id="rId3" display="ytorres@lcm.go.cr"/>
    <hyperlink ref="Z5" r:id="rId4" display="lguzman@lcm.go.cr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S124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selection pane="topLeft" activeCell="G8" activeCellId="0" sqref="G8"/>
    </sheetView>
  </sheetViews>
  <sheetFormatPr defaultColWidth="13.4921875" defaultRowHeight="14.35" zeroHeight="false" outlineLevelRow="0" outlineLevelCol="0"/>
  <cols>
    <col collapsed="false" customWidth="false" hidden="false" outlineLevel="0" max="4" min="1" style="313" width="13.49"/>
    <col collapsed="false" customWidth="true" hidden="false" outlineLevel="0" max="5" min="5" style="314" width="15.69"/>
    <col collapsed="false" customWidth="true" hidden="false" outlineLevel="0" max="6" min="6" style="314" width="20.18"/>
    <col collapsed="false" customWidth="false" hidden="false" outlineLevel="0" max="7" min="7" style="313" width="13.49"/>
    <col collapsed="false" customWidth="false" hidden="false" outlineLevel="0" max="8" min="8" style="315" width="13.49"/>
    <col collapsed="false" customWidth="true" hidden="false" outlineLevel="0" max="13" min="9" style="313" width="10.39"/>
    <col collapsed="false" customWidth="true" hidden="false" outlineLevel="0" max="18" min="14" style="313" width="9.89"/>
    <col collapsed="false" customWidth="false" hidden="false" outlineLevel="0" max="16384" min="19" style="313" width="13.49"/>
  </cols>
  <sheetData>
    <row r="1" customFormat="false" ht="54.9" hidden="false" customHeight="true" outlineLevel="0" collapsed="false">
      <c r="A1" s="61" t="str">
        <f aca="false">CONCATENATE("Valor Nominal Del bloque (",IF('conversion datos'!L30='Patrones LACOMET'!D3,"pulgadas)","mm)"))</f>
        <v>Valor Nominal Del bloque (mm)</v>
      </c>
      <c r="B1" s="61" t="s">
        <v>475</v>
      </c>
      <c r="C1" s="316" t="s">
        <v>476</v>
      </c>
      <c r="D1" s="316" t="s">
        <v>477</v>
      </c>
      <c r="E1" s="317" t="str">
        <f aca="false">CONCATENATE("Desviación de la longitud Central  (",IF('conversion datos'!L30='Patrones LACOMET'!D3,"µ pulgadas)","µm)"))</f>
        <v>Desviación de la longitud Central  (µm)</v>
      </c>
      <c r="F1" s="317" t="str">
        <f aca="false">CONCATENATE("Desviación estándar de la desviación de la longitud Central  (",IF('conversion datos'!L30='Patrones LACOMET'!D3,"µ pulgadas)","µm)"))</f>
        <v>Desviación estándar de la desviación de la longitud Central  (µm)</v>
      </c>
      <c r="G1" s="316" t="str">
        <f aca="false">CONCATENATE("Incertidumbre (",IF('conversion datos'!L30='Patrones LACOMET'!D3,"µ pulgadas)","µm)"))</f>
        <v>Incertidumbre (µm)</v>
      </c>
      <c r="H1" s="318" t="s">
        <v>478</v>
      </c>
      <c r="I1" s="319" t="s">
        <v>479</v>
      </c>
      <c r="J1" s="319" t="s">
        <v>480</v>
      </c>
      <c r="K1" s="319" t="s">
        <v>481</v>
      </c>
      <c r="L1" s="319" t="s">
        <v>482</v>
      </c>
      <c r="M1" s="319" t="s">
        <v>483</v>
      </c>
      <c r="N1" s="319" t="s">
        <v>484</v>
      </c>
      <c r="O1" s="319" t="s">
        <v>485</v>
      </c>
      <c r="P1" s="319" t="s">
        <v>486</v>
      </c>
      <c r="Q1" s="319" t="s">
        <v>487</v>
      </c>
      <c r="R1" s="319" t="s">
        <v>488</v>
      </c>
    </row>
    <row r="2" customFormat="false" ht="18" hidden="false" customHeight="true" outlineLevel="0" collapsed="false">
      <c r="A2" s="320"/>
      <c r="B2" s="320"/>
      <c r="C2" s="321"/>
      <c r="D2" s="321"/>
      <c r="E2" s="322" t="str">
        <f aca="false">IF(OR(A2="",S2=""),"",AVERAGE())</f>
        <v/>
      </c>
      <c r="F2" s="322" t="str">
        <f aca="false">IF(OR(A2="",S2=""),"",_xlfn.STDEV.S())</f>
        <v/>
      </c>
      <c r="G2" s="323" t="str">
        <f aca="false">IF(OR(A2="",S2=""),"",ROUNDUP((F2)/(SQRT($H$2/2)),2))</f>
        <v/>
      </c>
      <c r="H2" s="324"/>
      <c r="I2" s="325"/>
      <c r="J2" s="325"/>
      <c r="K2" s="325"/>
      <c r="L2" s="325"/>
      <c r="M2" s="326"/>
      <c r="N2" s="325"/>
      <c r="O2" s="325"/>
      <c r="P2" s="325"/>
      <c r="Q2" s="325"/>
      <c r="R2" s="326"/>
    </row>
    <row r="3" customFormat="false" ht="14.35" hidden="false" customHeight="false" outlineLevel="0" collapsed="false">
      <c r="A3" s="320"/>
      <c r="B3" s="320"/>
      <c r="C3" s="321"/>
      <c r="D3" s="321"/>
      <c r="E3" s="322" t="str">
        <f aca="false">IF(OR(A3="",S3=""),"",AVERAGE())</f>
        <v/>
      </c>
      <c r="F3" s="322" t="str">
        <f aca="false">IF(OR(A3="",S3=""),"",_xlfn.STDEV.S())</f>
        <v/>
      </c>
      <c r="G3" s="323" t="str">
        <f aca="false">IF(OR(A3="",S3=""),"",ROUNDUP((F3)/(SQRT($H$2/2)),2))</f>
        <v/>
      </c>
      <c r="H3" s="327"/>
      <c r="I3" s="325"/>
      <c r="J3" s="325"/>
      <c r="K3" s="325"/>
      <c r="L3" s="325"/>
      <c r="M3" s="326"/>
      <c r="N3" s="325"/>
      <c r="O3" s="325"/>
      <c r="P3" s="325"/>
      <c r="Q3" s="325"/>
      <c r="R3" s="326"/>
    </row>
    <row r="4" customFormat="false" ht="15.75" hidden="false" customHeight="true" outlineLevel="0" collapsed="false">
      <c r="A4" s="320"/>
      <c r="B4" s="320"/>
      <c r="C4" s="321"/>
      <c r="D4" s="321"/>
      <c r="E4" s="322" t="str">
        <f aca="false">IF(OR(A4="",S4=""),"",AVERAGE())</f>
        <v/>
      </c>
      <c r="F4" s="322" t="str">
        <f aca="false">IF(OR(A4="",S4=""),"",_xlfn.STDEV.S())</f>
        <v/>
      </c>
      <c r="G4" s="323" t="str">
        <f aca="false">IF(OR(A4="",S4=""),"",ROUNDUP((F4)/(SQRT($H$2/2)),2))</f>
        <v/>
      </c>
      <c r="H4" s="327"/>
      <c r="I4" s="325"/>
      <c r="J4" s="325"/>
      <c r="K4" s="325"/>
      <c r="L4" s="325"/>
      <c r="M4" s="326"/>
      <c r="N4" s="325"/>
      <c r="O4" s="325"/>
      <c r="P4" s="325"/>
      <c r="Q4" s="325"/>
      <c r="R4" s="326"/>
    </row>
    <row r="5" customFormat="false" ht="14.35" hidden="false" customHeight="false" outlineLevel="0" collapsed="false">
      <c r="A5" s="320"/>
      <c r="B5" s="320"/>
      <c r="C5" s="321"/>
      <c r="D5" s="321"/>
      <c r="E5" s="322" t="str">
        <f aca="false">IF(OR(A5="",S5=""),"",AVERAGE())</f>
        <v/>
      </c>
      <c r="F5" s="322" t="str">
        <f aca="false">IF(OR(A5="",S5=""),"",_xlfn.STDEV.S())</f>
        <v/>
      </c>
      <c r="G5" s="323" t="str">
        <f aca="false">IF(OR(A5="",S5=""),"",ROUNDUP((F5)/(SQRT($H$2/2)),2))</f>
        <v/>
      </c>
      <c r="H5" s="327"/>
      <c r="I5" s="325"/>
      <c r="J5" s="325"/>
      <c r="K5" s="325"/>
      <c r="L5" s="325"/>
      <c r="M5" s="326"/>
      <c r="N5" s="325"/>
      <c r="O5" s="325"/>
      <c r="P5" s="325"/>
      <c r="Q5" s="325"/>
      <c r="R5" s="326"/>
    </row>
    <row r="6" customFormat="false" ht="14.35" hidden="false" customHeight="false" outlineLevel="0" collapsed="false">
      <c r="A6" s="320"/>
      <c r="B6" s="320"/>
      <c r="C6" s="321"/>
      <c r="D6" s="321"/>
      <c r="E6" s="322" t="str">
        <f aca="false">IF(OR(A6="",S6=""),"",AVERAGE())</f>
        <v/>
      </c>
      <c r="F6" s="322" t="str">
        <f aca="false">IF(OR(A6="",S6=""),"",_xlfn.STDEV.S())</f>
        <v/>
      </c>
      <c r="G6" s="323" t="str">
        <f aca="false">IF(OR(A6="",S6=""),"",ROUNDUP((F6)/(SQRT($H$2/2)),2))</f>
        <v/>
      </c>
      <c r="H6" s="327"/>
      <c r="I6" s="325"/>
      <c r="J6" s="325"/>
      <c r="K6" s="325"/>
      <c r="L6" s="325"/>
      <c r="M6" s="326"/>
      <c r="N6" s="325"/>
      <c r="O6" s="325"/>
      <c r="P6" s="325"/>
      <c r="Q6" s="325"/>
      <c r="R6" s="326"/>
    </row>
    <row r="7" customFormat="false" ht="14.35" hidden="false" customHeight="false" outlineLevel="0" collapsed="false">
      <c r="A7" s="320"/>
      <c r="B7" s="320"/>
      <c r="C7" s="321"/>
      <c r="D7" s="321"/>
      <c r="E7" s="322" t="str">
        <f aca="false">IF(OR(A7="",S7=""),"",AVERAGE())</f>
        <v/>
      </c>
      <c r="F7" s="322" t="str">
        <f aca="false">IF(OR(A7="",S7=""),"",_xlfn.STDEV.S())</f>
        <v/>
      </c>
      <c r="G7" s="323" t="str">
        <f aca="false">IF(OR(A7="",S7=""),"",ROUNDUP((F7)/(SQRT($H$2/2)),2))</f>
        <v/>
      </c>
      <c r="H7" s="327"/>
      <c r="I7" s="325"/>
      <c r="J7" s="325"/>
      <c r="K7" s="325"/>
      <c r="L7" s="325"/>
      <c r="M7" s="326"/>
      <c r="N7" s="325"/>
      <c r="O7" s="325"/>
      <c r="P7" s="325"/>
      <c r="Q7" s="325"/>
      <c r="R7" s="326"/>
    </row>
    <row r="8" customFormat="false" ht="14.35" hidden="false" customHeight="false" outlineLevel="0" collapsed="false">
      <c r="A8" s="320"/>
      <c r="B8" s="320"/>
      <c r="C8" s="321"/>
      <c r="D8" s="321"/>
      <c r="E8" s="322" t="str">
        <f aca="false">IF(OR(A8="",S8=""),"",AVERAGE())</f>
        <v/>
      </c>
      <c r="F8" s="322" t="str">
        <f aca="false">IF(OR(A8="",S8=""),"",_xlfn.STDEV.S())</f>
        <v/>
      </c>
      <c r="G8" s="323" t="str">
        <f aca="false">IF(OR(A8="",S8=""),"",ROUNDUP((F8)/(SQRT($H$2/2)),2))</f>
        <v/>
      </c>
      <c r="H8" s="327"/>
      <c r="I8" s="325"/>
      <c r="J8" s="325"/>
      <c r="K8" s="325"/>
      <c r="L8" s="325"/>
      <c r="M8" s="326"/>
      <c r="N8" s="325"/>
      <c r="O8" s="325"/>
      <c r="P8" s="325"/>
      <c r="Q8" s="325"/>
      <c r="R8" s="326"/>
    </row>
    <row r="9" customFormat="false" ht="14.35" hidden="false" customHeight="false" outlineLevel="0" collapsed="false">
      <c r="A9" s="320"/>
      <c r="B9" s="320"/>
      <c r="C9" s="321"/>
      <c r="D9" s="321"/>
      <c r="E9" s="322" t="str">
        <f aca="false">IF(OR(A9="",S9=""),"",AVERAGE())</f>
        <v/>
      </c>
      <c r="F9" s="322" t="str">
        <f aca="false">IF(OR(A9="",S9=""),"",_xlfn.STDEV.S())</f>
        <v/>
      </c>
      <c r="G9" s="323" t="str">
        <f aca="false">IF(OR(A9="",S9=""),"",ROUNDUP((F9)/(SQRT($H$2/2)),2))</f>
        <v/>
      </c>
      <c r="H9" s="327"/>
      <c r="I9" s="325"/>
      <c r="J9" s="325"/>
      <c r="K9" s="325"/>
      <c r="L9" s="325"/>
      <c r="M9" s="326"/>
      <c r="N9" s="325"/>
      <c r="O9" s="325"/>
      <c r="P9" s="325"/>
      <c r="Q9" s="325"/>
      <c r="R9" s="326"/>
    </row>
    <row r="10" customFormat="false" ht="14.35" hidden="false" customHeight="false" outlineLevel="0" collapsed="false">
      <c r="A10" s="320"/>
      <c r="B10" s="320"/>
      <c r="C10" s="321"/>
      <c r="D10" s="321"/>
      <c r="E10" s="322" t="str">
        <f aca="false">IF(OR(A10="",S10=""),"",AVERAGE())</f>
        <v/>
      </c>
      <c r="F10" s="322" t="str">
        <f aca="false">IF(OR(A10="",S10=""),"",_xlfn.STDEV.S())</f>
        <v/>
      </c>
      <c r="G10" s="323" t="str">
        <f aca="false">IF(OR(A10="",S10=""),"",ROUNDUP((F10)/(SQRT($H$2/2)),2))</f>
        <v/>
      </c>
      <c r="H10" s="327"/>
      <c r="I10" s="325"/>
      <c r="J10" s="325"/>
      <c r="K10" s="325"/>
      <c r="L10" s="325"/>
      <c r="M10" s="326"/>
      <c r="N10" s="325"/>
      <c r="O10" s="325"/>
      <c r="P10" s="325"/>
      <c r="Q10" s="325"/>
      <c r="R10" s="326"/>
    </row>
    <row r="11" customFormat="false" ht="14.35" hidden="false" customHeight="false" outlineLevel="0" collapsed="false">
      <c r="A11" s="320"/>
      <c r="B11" s="320"/>
      <c r="C11" s="321"/>
      <c r="D11" s="321"/>
      <c r="E11" s="322" t="str">
        <f aca="false">IF(OR(A11="",S11=""),"",AVERAGE())</f>
        <v/>
      </c>
      <c r="F11" s="322" t="str">
        <f aca="false">IF(OR(A11="",S11=""),"",_xlfn.STDEV.S())</f>
        <v/>
      </c>
      <c r="G11" s="323" t="str">
        <f aca="false">IF(OR(A11="",S11=""),"",ROUNDUP((F11)/(SQRT($H$2/2)),2))</f>
        <v/>
      </c>
      <c r="H11" s="327"/>
      <c r="I11" s="325"/>
      <c r="J11" s="325"/>
      <c r="K11" s="325"/>
      <c r="L11" s="325"/>
      <c r="M11" s="326"/>
      <c r="N11" s="325"/>
      <c r="O11" s="325"/>
      <c r="P11" s="325"/>
      <c r="Q11" s="325"/>
      <c r="R11" s="326"/>
    </row>
    <row r="12" customFormat="false" ht="14.35" hidden="false" customHeight="false" outlineLevel="0" collapsed="false">
      <c r="A12" s="320"/>
      <c r="B12" s="320"/>
      <c r="C12" s="321"/>
      <c r="D12" s="321"/>
      <c r="E12" s="322" t="str">
        <f aca="false">IF(OR(A12="",S12=""),"",AVERAGE())</f>
        <v/>
      </c>
      <c r="F12" s="322" t="str">
        <f aca="false">IF(OR(A12="",S12=""),"",_xlfn.STDEV.S())</f>
        <v/>
      </c>
      <c r="G12" s="323" t="str">
        <f aca="false">IF(OR(A12="",S12=""),"",ROUNDUP((F12)/(SQRT($H$2/2)),2))</f>
        <v/>
      </c>
      <c r="H12" s="327"/>
      <c r="I12" s="325"/>
      <c r="J12" s="325"/>
      <c r="K12" s="325"/>
      <c r="L12" s="325"/>
      <c r="M12" s="326"/>
      <c r="N12" s="325"/>
      <c r="O12" s="325"/>
      <c r="P12" s="325"/>
      <c r="Q12" s="325"/>
      <c r="R12" s="326"/>
    </row>
    <row r="13" customFormat="false" ht="14.35" hidden="false" customHeight="false" outlineLevel="0" collapsed="false">
      <c r="A13" s="320"/>
      <c r="B13" s="320"/>
      <c r="C13" s="321"/>
      <c r="D13" s="321"/>
      <c r="E13" s="322" t="str">
        <f aca="false">IF(OR(A13="",S13=""),"",AVERAGE())</f>
        <v/>
      </c>
      <c r="F13" s="322" t="str">
        <f aca="false">IF(OR(A13="",S13=""),"",_xlfn.STDEV.S())</f>
        <v/>
      </c>
      <c r="G13" s="323" t="str">
        <f aca="false">IF(OR(A13="",S13=""),"",ROUNDUP((F13)/(SQRT($H$2/2)),2))</f>
        <v/>
      </c>
      <c r="H13" s="327"/>
      <c r="I13" s="325"/>
      <c r="J13" s="325"/>
      <c r="K13" s="325"/>
      <c r="L13" s="325"/>
      <c r="M13" s="326"/>
      <c r="N13" s="325"/>
      <c r="O13" s="325"/>
      <c r="P13" s="325"/>
      <c r="Q13" s="325"/>
      <c r="R13" s="326"/>
    </row>
    <row r="14" customFormat="false" ht="14.35" hidden="false" customHeight="false" outlineLevel="0" collapsed="false">
      <c r="A14" s="320"/>
      <c r="B14" s="320"/>
      <c r="C14" s="321"/>
      <c r="D14" s="321"/>
      <c r="E14" s="322" t="str">
        <f aca="false">IF(OR(A14="",S14=""),"",AVERAGE())</f>
        <v/>
      </c>
      <c r="F14" s="322" t="str">
        <f aca="false">IF(OR(A14="",S14=""),"",_xlfn.STDEV.S())</f>
        <v/>
      </c>
      <c r="G14" s="323" t="str">
        <f aca="false">IF(OR(A14="",S14=""),"",ROUNDUP((F14)/(SQRT($H$2/2)),2))</f>
        <v/>
      </c>
      <c r="H14" s="327"/>
      <c r="I14" s="325"/>
      <c r="J14" s="325"/>
      <c r="K14" s="325"/>
      <c r="L14" s="325"/>
      <c r="M14" s="326"/>
      <c r="N14" s="325"/>
      <c r="O14" s="325"/>
      <c r="P14" s="325"/>
      <c r="Q14" s="325"/>
      <c r="R14" s="326"/>
    </row>
    <row r="15" customFormat="false" ht="14.35" hidden="false" customHeight="false" outlineLevel="0" collapsed="false">
      <c r="A15" s="320"/>
      <c r="B15" s="320"/>
      <c r="C15" s="321"/>
      <c r="D15" s="321"/>
      <c r="E15" s="322" t="str">
        <f aca="false">IF(OR(A15="",S15=""),"",AVERAGE())</f>
        <v/>
      </c>
      <c r="F15" s="322" t="str">
        <f aca="false">IF(OR(A15="",S15=""),"",_xlfn.STDEV.S())</f>
        <v/>
      </c>
      <c r="G15" s="323" t="str">
        <f aca="false">IF(OR(A15="",S15=""),"",ROUNDUP((F15)/(SQRT($H$2/2)),2))</f>
        <v/>
      </c>
      <c r="H15" s="327"/>
      <c r="I15" s="325"/>
      <c r="J15" s="325"/>
      <c r="K15" s="325"/>
      <c r="L15" s="325"/>
      <c r="M15" s="326"/>
      <c r="N15" s="325"/>
      <c r="O15" s="325"/>
      <c r="P15" s="325"/>
      <c r="Q15" s="325"/>
      <c r="R15" s="326"/>
    </row>
    <row r="16" customFormat="false" ht="14.35" hidden="false" customHeight="false" outlineLevel="0" collapsed="false">
      <c r="A16" s="320"/>
      <c r="B16" s="320"/>
      <c r="C16" s="321"/>
      <c r="D16" s="321"/>
      <c r="E16" s="322" t="str">
        <f aca="false">IF(OR(A16="",S16=""),"",AVERAGE())</f>
        <v/>
      </c>
      <c r="F16" s="322" t="str">
        <f aca="false">IF(OR(A16="",S16=""),"",_xlfn.STDEV.S())</f>
        <v/>
      </c>
      <c r="G16" s="323" t="str">
        <f aca="false">IF(OR(A16="",S16=""),"",ROUNDUP((F16)/(SQRT($H$2/2)),2))</f>
        <v/>
      </c>
      <c r="H16" s="327"/>
      <c r="I16" s="325"/>
      <c r="J16" s="325"/>
      <c r="K16" s="325"/>
      <c r="L16" s="325"/>
      <c r="M16" s="326"/>
      <c r="N16" s="325"/>
      <c r="O16" s="325"/>
      <c r="P16" s="325"/>
      <c r="Q16" s="325"/>
      <c r="R16" s="326"/>
    </row>
    <row r="17" customFormat="false" ht="14.35" hidden="false" customHeight="false" outlineLevel="0" collapsed="false">
      <c r="A17" s="320"/>
      <c r="B17" s="320"/>
      <c r="C17" s="321"/>
      <c r="D17" s="321"/>
      <c r="E17" s="322" t="str">
        <f aca="false">IF(OR(A17="",S17=""),"",AVERAGE())</f>
        <v/>
      </c>
      <c r="F17" s="322" t="str">
        <f aca="false">IF(OR(A17="",S17=""),"",_xlfn.STDEV.S())</f>
        <v/>
      </c>
      <c r="G17" s="323" t="str">
        <f aca="false">IF(OR(A17="",S17=""),"",ROUNDUP((F17)/(SQRT($H$2/2)),2))</f>
        <v/>
      </c>
      <c r="H17" s="327"/>
      <c r="I17" s="325"/>
      <c r="J17" s="325"/>
      <c r="K17" s="325"/>
      <c r="L17" s="325"/>
      <c r="M17" s="326"/>
      <c r="N17" s="325"/>
      <c r="O17" s="325"/>
      <c r="P17" s="325"/>
      <c r="Q17" s="325"/>
      <c r="R17" s="326"/>
    </row>
    <row r="18" customFormat="false" ht="14.35" hidden="false" customHeight="false" outlineLevel="0" collapsed="false">
      <c r="A18" s="320"/>
      <c r="B18" s="320"/>
      <c r="C18" s="321"/>
      <c r="D18" s="321"/>
      <c r="E18" s="322" t="str">
        <f aca="false">IF(OR(A18="",S18=""),"",AVERAGE())</f>
        <v/>
      </c>
      <c r="F18" s="322" t="str">
        <f aca="false">IF(OR(A18="",S18=""),"",_xlfn.STDEV.S())</f>
        <v/>
      </c>
      <c r="G18" s="323" t="str">
        <f aca="false">IF(OR(A18="",S18=""),"",ROUNDUP((F18)/(SQRT($H$2/2)),2))</f>
        <v/>
      </c>
      <c r="H18" s="327"/>
      <c r="I18" s="325"/>
      <c r="J18" s="325"/>
      <c r="K18" s="325"/>
      <c r="L18" s="325"/>
      <c r="M18" s="326"/>
      <c r="N18" s="325"/>
      <c r="O18" s="325"/>
      <c r="P18" s="325"/>
      <c r="Q18" s="325"/>
      <c r="R18" s="326"/>
    </row>
    <row r="19" customFormat="false" ht="14.35" hidden="false" customHeight="false" outlineLevel="0" collapsed="false">
      <c r="A19" s="320"/>
      <c r="B19" s="320"/>
      <c r="C19" s="321"/>
      <c r="D19" s="321"/>
      <c r="E19" s="322" t="str">
        <f aca="false">IF(OR(A19="",S19=""),"",AVERAGE())</f>
        <v/>
      </c>
      <c r="F19" s="322" t="str">
        <f aca="false">IF(OR(A19="",S19=""),"",_xlfn.STDEV.S())</f>
        <v/>
      </c>
      <c r="G19" s="323" t="str">
        <f aca="false">IF(OR(A19="",S19=""),"",ROUNDUP((F19)/(SQRT($H$2/2)),2))</f>
        <v/>
      </c>
      <c r="H19" s="327"/>
      <c r="I19" s="325"/>
      <c r="J19" s="325"/>
      <c r="K19" s="325"/>
      <c r="L19" s="325"/>
      <c r="M19" s="326"/>
      <c r="N19" s="325"/>
      <c r="O19" s="325"/>
      <c r="P19" s="325"/>
      <c r="Q19" s="325"/>
      <c r="R19" s="326"/>
    </row>
    <row r="20" customFormat="false" ht="14.35" hidden="false" customHeight="false" outlineLevel="0" collapsed="false">
      <c r="A20" s="320"/>
      <c r="B20" s="320"/>
      <c r="C20" s="321"/>
      <c r="D20" s="321"/>
      <c r="E20" s="322" t="str">
        <f aca="false">IF(OR(A20="",S20=""),"",AVERAGE())</f>
        <v/>
      </c>
      <c r="F20" s="322" t="str">
        <f aca="false">IF(OR(A20="",S20=""),"",_xlfn.STDEV.S())</f>
        <v/>
      </c>
      <c r="G20" s="323" t="str">
        <f aca="false">IF(OR(A20="",S20=""),"",ROUNDUP((F20)/(SQRT($H$2/2)),2))</f>
        <v/>
      </c>
      <c r="H20" s="327"/>
      <c r="I20" s="325"/>
      <c r="J20" s="325"/>
      <c r="K20" s="325"/>
      <c r="L20" s="325"/>
      <c r="M20" s="326"/>
      <c r="N20" s="325"/>
      <c r="O20" s="325"/>
      <c r="P20" s="325"/>
      <c r="Q20" s="325"/>
      <c r="R20" s="326"/>
    </row>
    <row r="21" customFormat="false" ht="14.35" hidden="false" customHeight="false" outlineLevel="0" collapsed="false">
      <c r="A21" s="320"/>
      <c r="B21" s="320"/>
      <c r="C21" s="321"/>
      <c r="D21" s="321"/>
      <c r="E21" s="322" t="str">
        <f aca="false">IF(OR(A21="",S21=""),"",AVERAGE())</f>
        <v/>
      </c>
      <c r="F21" s="322" t="str">
        <f aca="false">IF(OR(A21="",S21=""),"",_xlfn.STDEV.S())</f>
        <v/>
      </c>
      <c r="G21" s="323" t="str">
        <f aca="false">IF(OR(A21="",S21=""),"",ROUNDUP((F21)/(SQRT($H$2/2)),2))</f>
        <v/>
      </c>
      <c r="H21" s="327"/>
      <c r="I21" s="325"/>
      <c r="J21" s="325"/>
      <c r="K21" s="325"/>
      <c r="L21" s="325"/>
      <c r="M21" s="326"/>
      <c r="N21" s="325"/>
      <c r="O21" s="325"/>
      <c r="P21" s="325"/>
      <c r="Q21" s="325"/>
      <c r="R21" s="326"/>
    </row>
    <row r="22" customFormat="false" ht="14.35" hidden="false" customHeight="false" outlineLevel="0" collapsed="false">
      <c r="A22" s="320"/>
      <c r="B22" s="320"/>
      <c r="C22" s="321"/>
      <c r="D22" s="321"/>
      <c r="E22" s="322" t="str">
        <f aca="false">IF(OR(A22="",S22=""),"",AVERAGE())</f>
        <v/>
      </c>
      <c r="F22" s="322" t="str">
        <f aca="false">IF(OR(A22="",S22=""),"",_xlfn.STDEV.S())</f>
        <v/>
      </c>
      <c r="G22" s="323" t="str">
        <f aca="false">IF(OR(A22="",S22=""),"",ROUNDUP((F22)/(SQRT($H$2/2)),2))</f>
        <v/>
      </c>
      <c r="H22" s="327"/>
      <c r="I22" s="325"/>
      <c r="J22" s="325"/>
      <c r="K22" s="325"/>
      <c r="L22" s="325"/>
      <c r="M22" s="326"/>
      <c r="N22" s="325"/>
      <c r="O22" s="325"/>
      <c r="P22" s="325"/>
      <c r="Q22" s="325"/>
      <c r="R22" s="326"/>
    </row>
    <row r="23" customFormat="false" ht="14.35" hidden="false" customHeight="false" outlineLevel="0" collapsed="false">
      <c r="A23" s="320"/>
      <c r="B23" s="320"/>
      <c r="C23" s="321"/>
      <c r="D23" s="321"/>
      <c r="E23" s="322" t="str">
        <f aca="false">IF(OR(A23="",S23=""),"",AVERAGE())</f>
        <v/>
      </c>
      <c r="F23" s="322" t="str">
        <f aca="false">IF(OR(A23="",S23=""),"",_xlfn.STDEV.S())</f>
        <v/>
      </c>
      <c r="G23" s="323" t="str">
        <f aca="false">IF(OR(A23="",S23=""),"",ROUNDUP((F23)/(SQRT($H$2/2)),2))</f>
        <v/>
      </c>
      <c r="H23" s="327"/>
      <c r="I23" s="325"/>
      <c r="J23" s="325"/>
      <c r="K23" s="325"/>
      <c r="L23" s="325"/>
      <c r="M23" s="326"/>
      <c r="N23" s="325"/>
      <c r="O23" s="325"/>
      <c r="P23" s="325"/>
      <c r="Q23" s="325"/>
      <c r="R23" s="326"/>
    </row>
    <row r="24" customFormat="false" ht="14.35" hidden="false" customHeight="false" outlineLevel="0" collapsed="false">
      <c r="A24" s="320"/>
      <c r="B24" s="320"/>
      <c r="C24" s="321"/>
      <c r="D24" s="321"/>
      <c r="E24" s="322" t="str">
        <f aca="false">IF(OR(A24="",S24=""),"",AVERAGE())</f>
        <v/>
      </c>
      <c r="F24" s="322" t="str">
        <f aca="false">IF(OR(A24="",S24=""),"",_xlfn.STDEV.S())</f>
        <v/>
      </c>
      <c r="G24" s="323" t="str">
        <f aca="false">IF(OR(A24="",S24=""),"",ROUNDUP((F24)/(SQRT($H$2/2)),2))</f>
        <v/>
      </c>
      <c r="H24" s="327"/>
      <c r="I24" s="325"/>
      <c r="J24" s="325"/>
      <c r="K24" s="325"/>
      <c r="L24" s="325"/>
      <c r="M24" s="326"/>
      <c r="N24" s="325"/>
      <c r="O24" s="325"/>
      <c r="P24" s="325"/>
      <c r="Q24" s="325"/>
      <c r="R24" s="326"/>
    </row>
    <row r="25" customFormat="false" ht="14.35" hidden="false" customHeight="false" outlineLevel="0" collapsed="false">
      <c r="A25" s="328"/>
      <c r="B25" s="328"/>
      <c r="C25" s="321"/>
      <c r="D25" s="321"/>
      <c r="E25" s="322" t="str">
        <f aca="false">IF(OR(A25="",S25=""),"",AVERAGE())</f>
        <v/>
      </c>
      <c r="F25" s="322" t="str">
        <f aca="false">IF(OR(A25="",S25=""),"",_xlfn.STDEV.S())</f>
        <v/>
      </c>
      <c r="G25" s="323" t="str">
        <f aca="false">IF(OR(A25="",S25=""),"",ROUNDUP((F25)/(SQRT($H$2/2)),2))</f>
        <v/>
      </c>
      <c r="H25" s="327"/>
      <c r="I25" s="325"/>
      <c r="J25" s="325"/>
      <c r="K25" s="325"/>
      <c r="L25" s="325"/>
      <c r="M25" s="326"/>
      <c r="N25" s="325"/>
      <c r="O25" s="325"/>
      <c r="P25" s="325"/>
      <c r="Q25" s="325"/>
      <c r="R25" s="326"/>
    </row>
    <row r="26" customFormat="false" ht="14.35" hidden="false" customHeight="false" outlineLevel="0" collapsed="false">
      <c r="A26" s="328"/>
      <c r="B26" s="328"/>
      <c r="C26" s="321"/>
      <c r="D26" s="321"/>
      <c r="E26" s="322" t="str">
        <f aca="false">IF(OR(A26="",S26=""),"",AVERAGE())</f>
        <v/>
      </c>
      <c r="F26" s="322" t="str">
        <f aca="false">IF(OR(A26="",S26=""),"",_xlfn.STDEV.S())</f>
        <v/>
      </c>
      <c r="G26" s="323" t="str">
        <f aca="false">IF(OR(A26="",S26=""),"",ROUNDUP((F26)/(SQRT($H$2/2)),2))</f>
        <v/>
      </c>
      <c r="H26" s="327"/>
      <c r="I26" s="325"/>
      <c r="J26" s="325"/>
      <c r="K26" s="325"/>
      <c r="L26" s="325"/>
      <c r="M26" s="326"/>
      <c r="N26" s="325"/>
      <c r="O26" s="325"/>
      <c r="P26" s="325"/>
      <c r="Q26" s="325"/>
      <c r="R26" s="326"/>
    </row>
    <row r="27" customFormat="false" ht="14.35" hidden="false" customHeight="false" outlineLevel="0" collapsed="false">
      <c r="A27" s="320"/>
      <c r="B27" s="320"/>
      <c r="C27" s="321"/>
      <c r="D27" s="321"/>
      <c r="E27" s="322" t="str">
        <f aca="false">IF(OR(A27="",S27=""),"",AVERAGE())</f>
        <v/>
      </c>
      <c r="F27" s="322" t="str">
        <f aca="false">IF(OR(A27="",S27=""),"",_xlfn.STDEV.S())</f>
        <v/>
      </c>
      <c r="G27" s="323" t="str">
        <f aca="false">IF(OR(A27="",S27=""),"",ROUNDUP((F27)/(SQRT($H$2/2)),2))</f>
        <v/>
      </c>
      <c r="H27" s="327"/>
      <c r="I27" s="325"/>
      <c r="J27" s="325"/>
      <c r="K27" s="325"/>
      <c r="L27" s="325"/>
      <c r="M27" s="326"/>
      <c r="N27" s="325"/>
      <c r="O27" s="325"/>
      <c r="P27" s="325"/>
      <c r="Q27" s="325"/>
      <c r="R27" s="326"/>
    </row>
    <row r="28" customFormat="false" ht="14.35" hidden="false" customHeight="false" outlineLevel="0" collapsed="false">
      <c r="A28" s="320"/>
      <c r="B28" s="320"/>
      <c r="C28" s="321"/>
      <c r="D28" s="321"/>
      <c r="E28" s="322" t="str">
        <f aca="false">IF(OR(A28="",S28=""),"",AVERAGE())</f>
        <v/>
      </c>
      <c r="F28" s="322" t="str">
        <f aca="false">IF(OR(A28="",S28=""),"",_xlfn.STDEV.S())</f>
        <v/>
      </c>
      <c r="G28" s="323" t="str">
        <f aca="false">IF(OR(A28="",S28=""),"",ROUNDUP((F28)/(SQRT($H$2/2)),2))</f>
        <v/>
      </c>
      <c r="H28" s="327"/>
      <c r="I28" s="325"/>
      <c r="J28" s="325"/>
      <c r="K28" s="325"/>
      <c r="L28" s="325"/>
      <c r="M28" s="326"/>
      <c r="N28" s="325"/>
      <c r="O28" s="325"/>
      <c r="P28" s="325"/>
      <c r="Q28" s="325"/>
      <c r="R28" s="326"/>
    </row>
    <row r="29" customFormat="false" ht="14.35" hidden="false" customHeight="false" outlineLevel="0" collapsed="false">
      <c r="A29" s="320"/>
      <c r="B29" s="320"/>
      <c r="C29" s="321"/>
      <c r="D29" s="321"/>
      <c r="E29" s="322" t="str">
        <f aca="false">IF(OR(A29="",S29=""),"",AVERAGE())</f>
        <v/>
      </c>
      <c r="F29" s="322" t="str">
        <f aca="false">IF(OR(A29="",S29=""),"",_xlfn.STDEV.S())</f>
        <v/>
      </c>
      <c r="G29" s="323" t="str">
        <f aca="false">IF(OR(A29="",S29=""),"",ROUNDUP((F29)/(SQRT($H$2/2)),2))</f>
        <v/>
      </c>
      <c r="H29" s="327"/>
      <c r="I29" s="325"/>
      <c r="J29" s="325"/>
      <c r="K29" s="325"/>
      <c r="L29" s="325"/>
      <c r="M29" s="326"/>
      <c r="N29" s="325"/>
      <c r="O29" s="325"/>
      <c r="P29" s="325"/>
      <c r="Q29" s="325"/>
      <c r="R29" s="326"/>
    </row>
    <row r="30" customFormat="false" ht="14.35" hidden="false" customHeight="false" outlineLevel="0" collapsed="false">
      <c r="A30" s="320"/>
      <c r="B30" s="320"/>
      <c r="C30" s="321"/>
      <c r="D30" s="321"/>
      <c r="E30" s="322" t="str">
        <f aca="false">IF(OR(A30="",S30=""),"",AVERAGE())</f>
        <v/>
      </c>
      <c r="F30" s="322" t="str">
        <f aca="false">IF(OR(A30="",S30=""),"",_xlfn.STDEV.S())</f>
        <v/>
      </c>
      <c r="G30" s="323" t="str">
        <f aca="false">IF(OR(A30="",S30=""),"",ROUNDUP((F30)/(SQRT($H$2/2)),2))</f>
        <v/>
      </c>
      <c r="H30" s="327"/>
      <c r="I30" s="325"/>
      <c r="J30" s="325"/>
      <c r="K30" s="325"/>
      <c r="L30" s="325"/>
      <c r="M30" s="326"/>
      <c r="N30" s="325"/>
      <c r="O30" s="325"/>
      <c r="P30" s="325"/>
      <c r="Q30" s="325"/>
      <c r="R30" s="326"/>
    </row>
    <row r="31" customFormat="false" ht="14.35" hidden="false" customHeight="false" outlineLevel="0" collapsed="false">
      <c r="A31" s="320"/>
      <c r="B31" s="320"/>
      <c r="C31" s="321"/>
      <c r="D31" s="321"/>
      <c r="E31" s="322" t="str">
        <f aca="false">IF(OR(A31="",S31=""),"",AVERAGE())</f>
        <v/>
      </c>
      <c r="F31" s="322" t="str">
        <f aca="false">IF(OR(A31="",S31=""),"",_xlfn.STDEV.S())</f>
        <v/>
      </c>
      <c r="G31" s="323" t="str">
        <f aca="false">IF(OR(A31="",S31=""),"",ROUNDUP((F31)/(SQRT($H$2/2)),2))</f>
        <v/>
      </c>
      <c r="H31" s="327"/>
      <c r="I31" s="325"/>
      <c r="J31" s="325"/>
      <c r="K31" s="325"/>
      <c r="L31" s="325"/>
      <c r="M31" s="326"/>
      <c r="N31" s="325"/>
      <c r="O31" s="325"/>
      <c r="P31" s="325"/>
      <c r="Q31" s="325"/>
      <c r="R31" s="326"/>
    </row>
    <row r="32" customFormat="false" ht="14.35" hidden="false" customHeight="false" outlineLevel="0" collapsed="false">
      <c r="A32" s="320"/>
      <c r="B32" s="320"/>
      <c r="C32" s="321"/>
      <c r="D32" s="321"/>
      <c r="E32" s="322" t="str">
        <f aca="false">IF(OR(A32="",S32=""),"",AVERAGE())</f>
        <v/>
      </c>
      <c r="F32" s="322" t="str">
        <f aca="false">IF(OR(A32="",S32=""),"",_xlfn.STDEV.S())</f>
        <v/>
      </c>
      <c r="G32" s="323" t="str">
        <f aca="false">IF(OR(A32="",S32=""),"",ROUNDUP((F32)/(SQRT($H$2/2)),2))</f>
        <v/>
      </c>
      <c r="H32" s="327"/>
      <c r="I32" s="325"/>
      <c r="J32" s="325"/>
      <c r="K32" s="325"/>
      <c r="L32" s="325"/>
      <c r="M32" s="326"/>
      <c r="N32" s="325"/>
      <c r="O32" s="325"/>
      <c r="P32" s="325"/>
      <c r="Q32" s="325"/>
      <c r="R32" s="326"/>
    </row>
    <row r="33" customFormat="false" ht="14.35" hidden="false" customHeight="false" outlineLevel="0" collapsed="false">
      <c r="A33" s="320"/>
      <c r="B33" s="320"/>
      <c r="C33" s="321"/>
      <c r="D33" s="321"/>
      <c r="E33" s="322" t="str">
        <f aca="false">IF(OR(A33="",S33=""),"",AVERAGE())</f>
        <v/>
      </c>
      <c r="F33" s="322" t="str">
        <f aca="false">IF(OR(A33="",S33=""),"",_xlfn.STDEV.S())</f>
        <v/>
      </c>
      <c r="G33" s="323" t="str">
        <f aca="false">IF(OR(A33="",S33=""),"",ROUNDUP((F33)/(SQRT($H$2/2)),2))</f>
        <v/>
      </c>
      <c r="H33" s="327"/>
      <c r="I33" s="325"/>
      <c r="J33" s="325"/>
      <c r="K33" s="325"/>
      <c r="L33" s="325"/>
      <c r="M33" s="326"/>
      <c r="N33" s="325"/>
      <c r="O33" s="325"/>
      <c r="P33" s="325"/>
      <c r="Q33" s="325"/>
      <c r="R33" s="326"/>
    </row>
    <row r="34" customFormat="false" ht="14.35" hidden="false" customHeight="false" outlineLevel="0" collapsed="false">
      <c r="A34" s="320"/>
      <c r="B34" s="320"/>
      <c r="C34" s="321"/>
      <c r="D34" s="321"/>
      <c r="E34" s="322" t="str">
        <f aca="false">IF(OR(A34="",S34=""),"",AVERAGE())</f>
        <v/>
      </c>
      <c r="F34" s="322" t="str">
        <f aca="false">IF(OR(A34="",S34=""),"",_xlfn.STDEV.S())</f>
        <v/>
      </c>
      <c r="G34" s="323" t="str">
        <f aca="false">IF(OR(A34="",S34=""),"",ROUNDUP((F34)/(SQRT($H$2/2)),2))</f>
        <v/>
      </c>
      <c r="H34" s="327"/>
      <c r="I34" s="325"/>
      <c r="J34" s="325"/>
      <c r="K34" s="325"/>
      <c r="L34" s="325"/>
      <c r="M34" s="326"/>
      <c r="N34" s="325"/>
      <c r="O34" s="325"/>
      <c r="P34" s="325"/>
      <c r="Q34" s="325"/>
      <c r="R34" s="326"/>
    </row>
    <row r="35" customFormat="false" ht="14.35" hidden="false" customHeight="false" outlineLevel="0" collapsed="false">
      <c r="A35" s="320"/>
      <c r="B35" s="320"/>
      <c r="C35" s="321"/>
      <c r="D35" s="321"/>
      <c r="E35" s="322" t="str">
        <f aca="false">IF(OR(A35="",S35=""),"",AVERAGE())</f>
        <v/>
      </c>
      <c r="F35" s="322" t="str">
        <f aca="false">IF(OR(A35="",S35=""),"",_xlfn.STDEV.S())</f>
        <v/>
      </c>
      <c r="G35" s="323" t="str">
        <f aca="false">IF(OR(A35="",S35=""),"",ROUNDUP((F35)/(SQRT($H$2/2)),2))</f>
        <v/>
      </c>
      <c r="H35" s="327"/>
      <c r="I35" s="325"/>
      <c r="J35" s="325"/>
      <c r="K35" s="325"/>
      <c r="L35" s="325"/>
      <c r="M35" s="326"/>
      <c r="N35" s="325"/>
      <c r="O35" s="325"/>
      <c r="P35" s="325"/>
      <c r="Q35" s="325"/>
      <c r="R35" s="326"/>
    </row>
    <row r="36" customFormat="false" ht="14.35" hidden="false" customHeight="false" outlineLevel="0" collapsed="false">
      <c r="A36" s="320"/>
      <c r="B36" s="320"/>
      <c r="C36" s="321"/>
      <c r="D36" s="321"/>
      <c r="E36" s="322" t="str">
        <f aca="false">IF(OR(A36="",S36=""),"",AVERAGE())</f>
        <v/>
      </c>
      <c r="F36" s="322" t="str">
        <f aca="false">IF(OR(A36="",S36=""),"",_xlfn.STDEV.S())</f>
        <v/>
      </c>
      <c r="G36" s="323" t="str">
        <f aca="false">IF(OR(A36="",S36=""),"",ROUNDUP((F36)/(SQRT($H$2/2)),2))</f>
        <v/>
      </c>
      <c r="H36" s="327"/>
      <c r="I36" s="325"/>
      <c r="J36" s="325"/>
      <c r="K36" s="325"/>
      <c r="L36" s="325"/>
      <c r="M36" s="326"/>
      <c r="N36" s="325"/>
      <c r="O36" s="325"/>
      <c r="P36" s="325"/>
      <c r="Q36" s="325"/>
      <c r="R36" s="326"/>
    </row>
    <row r="37" customFormat="false" ht="14.35" hidden="false" customHeight="false" outlineLevel="0" collapsed="false">
      <c r="A37" s="320"/>
      <c r="B37" s="320"/>
      <c r="C37" s="321"/>
      <c r="D37" s="321"/>
      <c r="E37" s="322" t="str">
        <f aca="false">IF(OR(A37="",S37=""),"",AVERAGE())</f>
        <v/>
      </c>
      <c r="F37" s="322" t="str">
        <f aca="false">IF(OR(A37="",S37=""),"",_xlfn.STDEV.S())</f>
        <v/>
      </c>
      <c r="G37" s="323" t="str">
        <f aca="false">IF(OR(A37="",S37=""),"",ROUNDUP((F37)/(SQRT($H$2/2)),2))</f>
        <v/>
      </c>
      <c r="H37" s="327"/>
      <c r="I37" s="325"/>
      <c r="J37" s="325"/>
      <c r="K37" s="325"/>
      <c r="L37" s="325"/>
      <c r="M37" s="326"/>
      <c r="N37" s="325"/>
      <c r="O37" s="325"/>
      <c r="P37" s="325"/>
      <c r="Q37" s="325"/>
      <c r="R37" s="326"/>
      <c r="S37" s="313" t="s">
        <v>489</v>
      </c>
    </row>
    <row r="38" customFormat="false" ht="14.35" hidden="false" customHeight="false" outlineLevel="0" collapsed="false">
      <c r="A38" s="320"/>
      <c r="B38" s="320"/>
      <c r="C38" s="321"/>
      <c r="D38" s="321"/>
      <c r="E38" s="322" t="str">
        <f aca="false">IF(OR(A38="",S38=""),"",AVERAGE())</f>
        <v/>
      </c>
      <c r="F38" s="322" t="str">
        <f aca="false">IF(OR(A38="",S38=""),"",_xlfn.STDEV.S())</f>
        <v/>
      </c>
      <c r="G38" s="323" t="str">
        <f aca="false">IF(OR(A38="",S38=""),"",ROUNDUP((F38)/(SQRT($H$2/2)),2))</f>
        <v/>
      </c>
      <c r="H38" s="327"/>
      <c r="I38" s="325"/>
      <c r="J38" s="325"/>
      <c r="K38" s="325"/>
      <c r="L38" s="325"/>
      <c r="M38" s="326"/>
      <c r="N38" s="325"/>
      <c r="O38" s="325"/>
      <c r="P38" s="325"/>
      <c r="Q38" s="325"/>
      <c r="R38" s="326"/>
    </row>
    <row r="39" customFormat="false" ht="14.35" hidden="false" customHeight="false" outlineLevel="0" collapsed="false">
      <c r="A39" s="320"/>
      <c r="B39" s="320"/>
      <c r="C39" s="321"/>
      <c r="D39" s="321"/>
      <c r="E39" s="322" t="str">
        <f aca="false">IF(OR(A39="",S39=""),"",AVERAGE())</f>
        <v/>
      </c>
      <c r="F39" s="322" t="str">
        <f aca="false">IF(OR(A39="",S39=""),"",_xlfn.STDEV.S())</f>
        <v/>
      </c>
      <c r="G39" s="323" t="str">
        <f aca="false">IF(OR(A39="",S39=""),"",ROUNDUP((F39)/(SQRT($H$2/2)),2))</f>
        <v/>
      </c>
      <c r="H39" s="327"/>
      <c r="I39" s="325"/>
      <c r="J39" s="325"/>
      <c r="K39" s="325"/>
      <c r="L39" s="325"/>
      <c r="M39" s="326"/>
      <c r="N39" s="325"/>
      <c r="O39" s="325"/>
      <c r="P39" s="325"/>
      <c r="Q39" s="325"/>
      <c r="R39" s="326"/>
    </row>
    <row r="40" customFormat="false" ht="14.35" hidden="false" customHeight="false" outlineLevel="0" collapsed="false">
      <c r="A40" s="320"/>
      <c r="B40" s="320"/>
      <c r="C40" s="321"/>
      <c r="D40" s="321"/>
      <c r="E40" s="322" t="str">
        <f aca="false">IF(OR(A40="",S40=""),"",AVERAGE())</f>
        <v/>
      </c>
      <c r="F40" s="322" t="str">
        <f aca="false">IF(OR(A40="",S40=""),"",_xlfn.STDEV.S())</f>
        <v/>
      </c>
      <c r="G40" s="323" t="str">
        <f aca="false">IF(OR(A40="",S40=""),"",ROUNDUP((F40)/(SQRT($H$2/2)),2))</f>
        <v/>
      </c>
      <c r="H40" s="327"/>
      <c r="I40" s="325"/>
      <c r="J40" s="325"/>
      <c r="K40" s="325"/>
      <c r="L40" s="325"/>
      <c r="M40" s="326"/>
      <c r="N40" s="325"/>
      <c r="O40" s="325"/>
      <c r="P40" s="325"/>
      <c r="Q40" s="325"/>
      <c r="R40" s="326"/>
    </row>
    <row r="41" customFormat="false" ht="14.35" hidden="false" customHeight="false" outlineLevel="0" collapsed="false">
      <c r="A41" s="320"/>
      <c r="B41" s="320"/>
      <c r="C41" s="321"/>
      <c r="D41" s="321"/>
      <c r="E41" s="322" t="str">
        <f aca="false">IF(OR(A41="",S41=""),"",AVERAGE())</f>
        <v/>
      </c>
      <c r="F41" s="322" t="str">
        <f aca="false">IF(OR(A41="",S41=""),"",_xlfn.STDEV.S())</f>
        <v/>
      </c>
      <c r="G41" s="323" t="str">
        <f aca="false">IF(OR(A41="",S41=""),"",ROUNDUP((F41)/(SQRT($H$2/2)),2))</f>
        <v/>
      </c>
      <c r="H41" s="327"/>
      <c r="I41" s="325"/>
      <c r="J41" s="325"/>
      <c r="K41" s="325"/>
      <c r="L41" s="325"/>
      <c r="M41" s="326"/>
      <c r="N41" s="325"/>
      <c r="O41" s="325"/>
      <c r="P41" s="325"/>
      <c r="Q41" s="325"/>
      <c r="R41" s="326"/>
    </row>
    <row r="42" customFormat="false" ht="14.35" hidden="false" customHeight="false" outlineLevel="0" collapsed="false">
      <c r="A42" s="320"/>
      <c r="B42" s="320"/>
      <c r="C42" s="321"/>
      <c r="D42" s="321"/>
      <c r="E42" s="322" t="str">
        <f aca="false">IF(OR(A42="",S42=""),"",AVERAGE())</f>
        <v/>
      </c>
      <c r="F42" s="322" t="str">
        <f aca="false">IF(OR(A42="",S42=""),"",_xlfn.STDEV.S())</f>
        <v/>
      </c>
      <c r="G42" s="323" t="str">
        <f aca="false">IF(OR(A42="",S42=""),"",ROUNDUP((F42)/(SQRT($H$2/2)),2))</f>
        <v/>
      </c>
      <c r="H42" s="327"/>
      <c r="I42" s="325"/>
      <c r="J42" s="325"/>
      <c r="K42" s="325"/>
      <c r="L42" s="325"/>
      <c r="M42" s="326"/>
      <c r="N42" s="325"/>
      <c r="O42" s="325"/>
      <c r="P42" s="325"/>
      <c r="Q42" s="325"/>
      <c r="R42" s="326"/>
    </row>
    <row r="43" customFormat="false" ht="14.35" hidden="false" customHeight="false" outlineLevel="0" collapsed="false">
      <c r="A43" s="320"/>
      <c r="B43" s="320"/>
      <c r="C43" s="321"/>
      <c r="D43" s="321"/>
      <c r="E43" s="322" t="str">
        <f aca="false">IF(OR(A43="",S43=""),"",AVERAGE())</f>
        <v/>
      </c>
      <c r="F43" s="322" t="str">
        <f aca="false">IF(OR(A43="",S43=""),"",_xlfn.STDEV.S())</f>
        <v/>
      </c>
      <c r="G43" s="323" t="str">
        <f aca="false">IF(OR(A43="",S43=""),"",ROUNDUP((F43)/(SQRT($H$2/2)),2))</f>
        <v/>
      </c>
      <c r="H43" s="327"/>
      <c r="I43" s="325"/>
      <c r="J43" s="325"/>
      <c r="K43" s="325"/>
      <c r="L43" s="325"/>
      <c r="M43" s="326"/>
      <c r="N43" s="325"/>
      <c r="O43" s="325"/>
      <c r="P43" s="325"/>
      <c r="Q43" s="325"/>
      <c r="R43" s="326"/>
    </row>
    <row r="44" customFormat="false" ht="14.35" hidden="false" customHeight="false" outlineLevel="0" collapsed="false">
      <c r="A44" s="320"/>
      <c r="B44" s="320"/>
      <c r="C44" s="321"/>
      <c r="D44" s="321"/>
      <c r="E44" s="322" t="str">
        <f aca="false">IF(OR(A44="",S44=""),"",AVERAGE())</f>
        <v/>
      </c>
      <c r="F44" s="322" t="str">
        <f aca="false">IF(OR(A44="",S44=""),"",_xlfn.STDEV.S())</f>
        <v/>
      </c>
      <c r="G44" s="323" t="str">
        <f aca="false">IF(OR(A44="",S44=""),"",ROUNDUP((F44)/(SQRT($H$2/2)),2))</f>
        <v/>
      </c>
      <c r="H44" s="327"/>
      <c r="I44" s="325"/>
      <c r="J44" s="325"/>
      <c r="K44" s="325"/>
      <c r="L44" s="325"/>
      <c r="M44" s="326"/>
      <c r="N44" s="325"/>
      <c r="O44" s="325"/>
      <c r="P44" s="325"/>
      <c r="Q44" s="325"/>
      <c r="R44" s="326"/>
    </row>
    <row r="45" customFormat="false" ht="14.35" hidden="false" customHeight="false" outlineLevel="0" collapsed="false">
      <c r="A45" s="320"/>
      <c r="B45" s="320"/>
      <c r="C45" s="321"/>
      <c r="D45" s="321"/>
      <c r="E45" s="322" t="str">
        <f aca="false">IF(OR(A45="",S45=""),"",AVERAGE())</f>
        <v/>
      </c>
      <c r="F45" s="322" t="str">
        <f aca="false">IF(OR(A45="",S45=""),"",_xlfn.STDEV.S())</f>
        <v/>
      </c>
      <c r="G45" s="323" t="str">
        <f aca="false">IF(OR(A45="",S45=""),"",ROUNDUP((F45)/(SQRT($H$2/2)),2))</f>
        <v/>
      </c>
      <c r="H45" s="327"/>
      <c r="I45" s="325"/>
      <c r="J45" s="325"/>
      <c r="K45" s="325"/>
      <c r="L45" s="325"/>
      <c r="M45" s="326"/>
      <c r="N45" s="325"/>
      <c r="O45" s="325"/>
      <c r="P45" s="325"/>
      <c r="Q45" s="325"/>
      <c r="R45" s="326"/>
    </row>
    <row r="46" customFormat="false" ht="14.35" hidden="false" customHeight="false" outlineLevel="0" collapsed="false">
      <c r="A46" s="320"/>
      <c r="B46" s="320"/>
      <c r="C46" s="321"/>
      <c r="D46" s="321"/>
      <c r="E46" s="322" t="str">
        <f aca="false">IF(OR(A46="",S46=""),"",AVERAGE())</f>
        <v/>
      </c>
      <c r="F46" s="322" t="str">
        <f aca="false">IF(OR(A46="",S46=""),"",_xlfn.STDEV.S())</f>
        <v/>
      </c>
      <c r="G46" s="323" t="str">
        <f aca="false">IF(OR(A46="",S46=""),"",ROUNDUP((F46)/(SQRT($H$2/2)),2))</f>
        <v/>
      </c>
      <c r="H46" s="327"/>
      <c r="I46" s="325"/>
      <c r="J46" s="325"/>
      <c r="K46" s="325"/>
      <c r="L46" s="325"/>
      <c r="M46" s="326"/>
      <c r="N46" s="325"/>
      <c r="O46" s="325"/>
      <c r="P46" s="325"/>
      <c r="Q46" s="325"/>
      <c r="R46" s="326"/>
    </row>
    <row r="47" customFormat="false" ht="14.35" hidden="false" customHeight="false" outlineLevel="0" collapsed="false">
      <c r="A47" s="320"/>
      <c r="B47" s="320"/>
      <c r="C47" s="321"/>
      <c r="D47" s="321"/>
      <c r="E47" s="322" t="str">
        <f aca="false">IF(OR(A47="",S47=""),"",AVERAGE())</f>
        <v/>
      </c>
      <c r="F47" s="322" t="str">
        <f aca="false">IF(OR(A47="",S47=""),"",_xlfn.STDEV.S())</f>
        <v/>
      </c>
      <c r="G47" s="323" t="str">
        <f aca="false">IF(OR(A47="",S47=""),"",ROUNDUP((F47)/(SQRT($H$2/2)),2))</f>
        <v/>
      </c>
      <c r="H47" s="327"/>
      <c r="I47" s="325"/>
      <c r="J47" s="325"/>
      <c r="K47" s="325"/>
      <c r="L47" s="325"/>
      <c r="M47" s="326"/>
      <c r="N47" s="325"/>
      <c r="O47" s="325"/>
      <c r="P47" s="325"/>
      <c r="Q47" s="325"/>
      <c r="R47" s="326"/>
    </row>
    <row r="48" customFormat="false" ht="14.35" hidden="false" customHeight="false" outlineLevel="0" collapsed="false">
      <c r="A48" s="320"/>
      <c r="B48" s="320"/>
      <c r="C48" s="321"/>
      <c r="D48" s="321"/>
      <c r="E48" s="322" t="str">
        <f aca="false">IF(OR(A48="",S48=""),"",AVERAGE())</f>
        <v/>
      </c>
      <c r="F48" s="322" t="str">
        <f aca="false">IF(OR(A48="",S48=""),"",_xlfn.STDEV.S())</f>
        <v/>
      </c>
      <c r="G48" s="323" t="str">
        <f aca="false">IF(OR(A48="",S48=""),"",ROUNDUP((F48)/(SQRT($H$2/2)),2))</f>
        <v/>
      </c>
      <c r="H48" s="327"/>
      <c r="I48" s="325"/>
      <c r="J48" s="325"/>
      <c r="K48" s="325"/>
      <c r="L48" s="325"/>
      <c r="M48" s="326"/>
      <c r="N48" s="325"/>
      <c r="O48" s="325"/>
      <c r="P48" s="325"/>
      <c r="Q48" s="325"/>
      <c r="R48" s="326"/>
    </row>
    <row r="49" customFormat="false" ht="14.35" hidden="false" customHeight="false" outlineLevel="0" collapsed="false">
      <c r="A49" s="320"/>
      <c r="B49" s="320"/>
      <c r="C49" s="321"/>
      <c r="D49" s="321"/>
      <c r="E49" s="322" t="str">
        <f aca="false">IF(OR(A49="",S49=""),"",AVERAGE())</f>
        <v/>
      </c>
      <c r="F49" s="322" t="str">
        <f aca="false">IF(OR(A49="",S49=""),"",_xlfn.STDEV.S())</f>
        <v/>
      </c>
      <c r="G49" s="323" t="str">
        <f aca="false">IF(OR(A49="",S49=""),"",ROUNDUP((F49)/(SQRT($H$2/2)),2))</f>
        <v/>
      </c>
      <c r="H49" s="327"/>
      <c r="I49" s="325"/>
      <c r="J49" s="325"/>
      <c r="K49" s="325"/>
      <c r="L49" s="325"/>
      <c r="M49" s="326"/>
      <c r="N49" s="325"/>
      <c r="O49" s="325"/>
      <c r="P49" s="325"/>
      <c r="Q49" s="325"/>
      <c r="R49" s="326"/>
    </row>
    <row r="50" customFormat="false" ht="14.35" hidden="false" customHeight="false" outlineLevel="0" collapsed="false">
      <c r="A50" s="320"/>
      <c r="B50" s="320"/>
      <c r="C50" s="321"/>
      <c r="D50" s="321"/>
      <c r="E50" s="322" t="str">
        <f aca="false">IF(OR(A50="",S50=""),"",AVERAGE())</f>
        <v/>
      </c>
      <c r="F50" s="322" t="str">
        <f aca="false">IF(OR(A50="",S50=""),"",_xlfn.STDEV.S())</f>
        <v/>
      </c>
      <c r="G50" s="323" t="str">
        <f aca="false">IF(OR(A50="",S50=""),"",ROUNDUP((F50)/(SQRT($H$2/2)),2))</f>
        <v/>
      </c>
      <c r="H50" s="327"/>
      <c r="I50" s="325"/>
      <c r="J50" s="325"/>
      <c r="K50" s="325"/>
      <c r="L50" s="325"/>
      <c r="M50" s="326"/>
      <c r="N50" s="325"/>
      <c r="O50" s="325"/>
      <c r="P50" s="325"/>
      <c r="Q50" s="325"/>
      <c r="R50" s="326"/>
    </row>
    <row r="51" customFormat="false" ht="14.35" hidden="false" customHeight="false" outlineLevel="0" collapsed="false">
      <c r="A51" s="320"/>
      <c r="B51" s="320"/>
      <c r="C51" s="321"/>
      <c r="D51" s="321"/>
      <c r="E51" s="322" t="str">
        <f aca="false">IF(OR(A51="",S51=""),"",AVERAGE())</f>
        <v/>
      </c>
      <c r="F51" s="322" t="str">
        <f aca="false">IF(OR(A51="",S51=""),"",_xlfn.STDEV.S())</f>
        <v/>
      </c>
      <c r="G51" s="323" t="str">
        <f aca="false">IF(OR(A51="",S51=""),"",ROUNDUP((F51)/(SQRT($H$2/2)),2))</f>
        <v/>
      </c>
      <c r="H51" s="327"/>
      <c r="I51" s="325"/>
      <c r="J51" s="325"/>
      <c r="K51" s="325"/>
      <c r="L51" s="325"/>
      <c r="M51" s="326"/>
      <c r="N51" s="325"/>
      <c r="O51" s="325"/>
      <c r="P51" s="325"/>
      <c r="Q51" s="325"/>
      <c r="R51" s="326"/>
    </row>
    <row r="52" customFormat="false" ht="14.35" hidden="false" customHeight="false" outlineLevel="0" collapsed="false">
      <c r="A52" s="320"/>
      <c r="B52" s="320"/>
      <c r="C52" s="321"/>
      <c r="D52" s="321"/>
      <c r="E52" s="322" t="str">
        <f aca="false">IF(OR(A52="",S52=""),"",AVERAGE())</f>
        <v/>
      </c>
      <c r="F52" s="322" t="str">
        <f aca="false">IF(OR(A52="",S52=""),"",_xlfn.STDEV.S())</f>
        <v/>
      </c>
      <c r="G52" s="323" t="str">
        <f aca="false">IF(OR(A52="",S52=""),"",ROUNDUP((F52)/(SQRT($H$2/2)),2))</f>
        <v/>
      </c>
      <c r="H52" s="327"/>
      <c r="I52" s="325"/>
      <c r="J52" s="325"/>
      <c r="K52" s="325"/>
      <c r="L52" s="325"/>
      <c r="M52" s="326"/>
      <c r="N52" s="325"/>
      <c r="O52" s="325"/>
      <c r="P52" s="325"/>
      <c r="Q52" s="325"/>
      <c r="R52" s="326"/>
    </row>
    <row r="53" customFormat="false" ht="14.35" hidden="false" customHeight="false" outlineLevel="0" collapsed="false">
      <c r="A53" s="320"/>
      <c r="B53" s="320"/>
      <c r="C53" s="321"/>
      <c r="D53" s="321"/>
      <c r="E53" s="322" t="str">
        <f aca="false">IF(OR(A53="",S53=""),"",AVERAGE())</f>
        <v/>
      </c>
      <c r="F53" s="322" t="str">
        <f aca="false">IF(OR(A53="",S53=""),"",_xlfn.STDEV.S())</f>
        <v/>
      </c>
      <c r="G53" s="323" t="str">
        <f aca="false">IF(OR(A53="",S53=""),"",ROUNDUP((F53)/(SQRT($H$2/2)),2))</f>
        <v/>
      </c>
      <c r="H53" s="327"/>
      <c r="I53" s="325"/>
      <c r="J53" s="325"/>
      <c r="K53" s="325"/>
      <c r="L53" s="325"/>
      <c r="M53" s="326"/>
      <c r="N53" s="325"/>
      <c r="O53" s="325"/>
      <c r="P53" s="325"/>
      <c r="Q53" s="325"/>
      <c r="R53" s="326"/>
    </row>
    <row r="54" customFormat="false" ht="14.35" hidden="false" customHeight="false" outlineLevel="0" collapsed="false">
      <c r="A54" s="320"/>
      <c r="B54" s="320"/>
      <c r="C54" s="321"/>
      <c r="D54" s="321"/>
      <c r="E54" s="322" t="str">
        <f aca="false">IF(OR(A54="",S54=""),"",AVERAGE())</f>
        <v/>
      </c>
      <c r="F54" s="322" t="str">
        <f aca="false">IF(OR(A54="",S54=""),"",_xlfn.STDEV.S())</f>
        <v/>
      </c>
      <c r="G54" s="323" t="str">
        <f aca="false">IF(OR(A54="",S54=""),"",ROUNDUP((F54)/(SQRT($H$2/2)),2))</f>
        <v/>
      </c>
      <c r="H54" s="327"/>
      <c r="I54" s="325"/>
      <c r="J54" s="325"/>
      <c r="K54" s="325"/>
      <c r="L54" s="325"/>
      <c r="M54" s="326"/>
      <c r="N54" s="325"/>
      <c r="O54" s="325"/>
      <c r="P54" s="325"/>
      <c r="Q54" s="325"/>
      <c r="R54" s="326"/>
    </row>
    <row r="55" customFormat="false" ht="14.35" hidden="false" customHeight="false" outlineLevel="0" collapsed="false">
      <c r="A55" s="320"/>
      <c r="B55" s="320"/>
      <c r="C55" s="321"/>
      <c r="D55" s="321"/>
      <c r="E55" s="322" t="str">
        <f aca="false">IF(OR(A55="",S55=""),"",AVERAGE())</f>
        <v/>
      </c>
      <c r="F55" s="322" t="str">
        <f aca="false">IF(OR(A55="",S55=""),"",_xlfn.STDEV.S())</f>
        <v/>
      </c>
      <c r="G55" s="323" t="str">
        <f aca="false">IF(OR(A55="",S55=""),"",ROUNDUP((F55)/(SQRT($H$2/2)),2))</f>
        <v/>
      </c>
      <c r="H55" s="327"/>
      <c r="I55" s="325"/>
      <c r="J55" s="325"/>
      <c r="K55" s="325"/>
      <c r="L55" s="325"/>
      <c r="M55" s="326"/>
      <c r="N55" s="325"/>
      <c r="O55" s="325"/>
      <c r="P55" s="325"/>
      <c r="Q55" s="325"/>
      <c r="R55" s="326"/>
    </row>
    <row r="56" customFormat="false" ht="14.35" hidden="false" customHeight="false" outlineLevel="0" collapsed="false">
      <c r="A56" s="320"/>
      <c r="B56" s="320"/>
      <c r="C56" s="321"/>
      <c r="D56" s="321"/>
      <c r="E56" s="322" t="str">
        <f aca="false">IF(OR(A56="",S56=""),"",AVERAGE())</f>
        <v/>
      </c>
      <c r="F56" s="322" t="str">
        <f aca="false">IF(OR(A56="",S56=""),"",_xlfn.STDEV.S())</f>
        <v/>
      </c>
      <c r="G56" s="323" t="str">
        <f aca="false">IF(OR(A56="",S56=""),"",ROUNDUP((F56)/(SQRT($H$2/2)),2))</f>
        <v/>
      </c>
      <c r="H56" s="327"/>
      <c r="I56" s="325"/>
      <c r="J56" s="325"/>
      <c r="K56" s="325"/>
      <c r="L56" s="325"/>
      <c r="M56" s="326"/>
      <c r="N56" s="325"/>
      <c r="O56" s="325"/>
      <c r="P56" s="325"/>
      <c r="Q56" s="325"/>
      <c r="R56" s="326"/>
    </row>
    <row r="57" customFormat="false" ht="14.35" hidden="false" customHeight="false" outlineLevel="0" collapsed="false">
      <c r="A57" s="320"/>
      <c r="B57" s="320"/>
      <c r="C57" s="321"/>
      <c r="D57" s="321"/>
      <c r="E57" s="322" t="str">
        <f aca="false">IF(OR(A57="",S57=""),"",AVERAGE())</f>
        <v/>
      </c>
      <c r="F57" s="322" t="str">
        <f aca="false">IF(OR(A57="",S57=""),"",_xlfn.STDEV.S())</f>
        <v/>
      </c>
      <c r="G57" s="323" t="str">
        <f aca="false">IF(OR(A57="",S57=""),"",ROUNDUP((F57)/(SQRT($H$2/2)),2))</f>
        <v/>
      </c>
      <c r="H57" s="327"/>
      <c r="I57" s="325"/>
      <c r="J57" s="325"/>
      <c r="K57" s="325"/>
      <c r="L57" s="325"/>
      <c r="M57" s="326"/>
      <c r="N57" s="325"/>
      <c r="O57" s="325"/>
      <c r="P57" s="325"/>
      <c r="Q57" s="325"/>
      <c r="R57" s="326"/>
    </row>
    <row r="58" customFormat="false" ht="14.35" hidden="false" customHeight="false" outlineLevel="0" collapsed="false">
      <c r="A58" s="320"/>
      <c r="B58" s="320"/>
      <c r="C58" s="321"/>
      <c r="D58" s="321"/>
      <c r="E58" s="322" t="str">
        <f aca="false">IF(OR(A58="",S58=""),"",AVERAGE())</f>
        <v/>
      </c>
      <c r="F58" s="322" t="str">
        <f aca="false">IF(OR(A58="",S58=""),"",_xlfn.STDEV.S())</f>
        <v/>
      </c>
      <c r="G58" s="323" t="str">
        <f aca="false">IF(OR(A58="",S58=""),"",ROUNDUP((F58)/(SQRT($H$2/2)),2))</f>
        <v/>
      </c>
      <c r="H58" s="327"/>
      <c r="I58" s="325"/>
      <c r="J58" s="325"/>
      <c r="K58" s="325"/>
      <c r="L58" s="325"/>
      <c r="M58" s="326"/>
      <c r="N58" s="325"/>
      <c r="O58" s="325"/>
      <c r="P58" s="325"/>
      <c r="Q58" s="325"/>
      <c r="R58" s="326"/>
    </row>
    <row r="59" customFormat="false" ht="14.35" hidden="false" customHeight="false" outlineLevel="0" collapsed="false">
      <c r="A59" s="320"/>
      <c r="B59" s="320"/>
      <c r="C59" s="321"/>
      <c r="D59" s="321"/>
      <c r="E59" s="322" t="str">
        <f aca="false">IF(OR(A59="",S59=""),"",AVERAGE())</f>
        <v/>
      </c>
      <c r="F59" s="322" t="str">
        <f aca="false">IF(OR(A59="",S59=""),"",_xlfn.STDEV.S())</f>
        <v/>
      </c>
      <c r="G59" s="323" t="str">
        <f aca="false">IF(OR(A59="",S59=""),"",ROUNDUP((F59)/(SQRT($H$2/2)),2))</f>
        <v/>
      </c>
      <c r="H59" s="327"/>
      <c r="I59" s="325"/>
      <c r="J59" s="325"/>
      <c r="K59" s="325"/>
      <c r="L59" s="325"/>
      <c r="M59" s="326"/>
      <c r="N59" s="325"/>
      <c r="O59" s="325"/>
      <c r="P59" s="325"/>
      <c r="Q59" s="325"/>
      <c r="R59" s="326"/>
    </row>
    <row r="60" customFormat="false" ht="14.35" hidden="false" customHeight="false" outlineLevel="0" collapsed="false">
      <c r="A60" s="320"/>
      <c r="B60" s="320"/>
      <c r="C60" s="321"/>
      <c r="D60" s="321"/>
      <c r="E60" s="322" t="str">
        <f aca="false">IF(OR(A60="",S60=""),"",AVERAGE())</f>
        <v/>
      </c>
      <c r="F60" s="322" t="str">
        <f aca="false">IF(OR(A60="",S60=""),"",_xlfn.STDEV.S())</f>
        <v/>
      </c>
      <c r="G60" s="323" t="str">
        <f aca="false">IF(OR(A60="",S60=""),"",ROUNDUP((F60)/(SQRT($H$2/2)),2))</f>
        <v/>
      </c>
      <c r="H60" s="327"/>
      <c r="I60" s="325"/>
      <c r="J60" s="325"/>
      <c r="K60" s="325"/>
      <c r="L60" s="325"/>
      <c r="M60" s="326"/>
      <c r="N60" s="325"/>
      <c r="O60" s="325"/>
      <c r="P60" s="325"/>
      <c r="Q60" s="325"/>
      <c r="R60" s="326"/>
    </row>
    <row r="61" customFormat="false" ht="14.35" hidden="false" customHeight="false" outlineLevel="0" collapsed="false">
      <c r="A61" s="320"/>
      <c r="B61" s="320"/>
      <c r="C61" s="321"/>
      <c r="D61" s="321"/>
      <c r="E61" s="322" t="str">
        <f aca="false">IF(OR(A61="",S61=""),"",AVERAGE())</f>
        <v/>
      </c>
      <c r="F61" s="322" t="str">
        <f aca="false">IF(OR(A61="",S61=""),"",_xlfn.STDEV.S())</f>
        <v/>
      </c>
      <c r="G61" s="323" t="str">
        <f aca="false">IF(OR(A61="",S61=""),"",ROUNDUP((F61)/(SQRT($H$2/2)),2))</f>
        <v/>
      </c>
      <c r="H61" s="327"/>
      <c r="I61" s="325"/>
      <c r="J61" s="325"/>
      <c r="K61" s="325"/>
      <c r="L61" s="325"/>
      <c r="M61" s="326"/>
      <c r="N61" s="325"/>
      <c r="O61" s="325"/>
      <c r="P61" s="325"/>
      <c r="Q61" s="325"/>
      <c r="R61" s="326"/>
    </row>
    <row r="62" customFormat="false" ht="14.35" hidden="false" customHeight="false" outlineLevel="0" collapsed="false">
      <c r="A62" s="320"/>
      <c r="B62" s="320"/>
      <c r="C62" s="329"/>
      <c r="D62" s="329"/>
      <c r="E62" s="322" t="str">
        <f aca="false">IF(OR(A62="",S62=""),"",AVERAGE())</f>
        <v/>
      </c>
      <c r="F62" s="322" t="str">
        <f aca="false">IF(OR(A62="",S62=""),"",_xlfn.STDEV.S())</f>
        <v/>
      </c>
      <c r="G62" s="323" t="str">
        <f aca="false">IF(OR(A62="",S62=""),"",ROUNDUP((F62)/(SQRT($H$2/2)),2))</f>
        <v/>
      </c>
      <c r="H62" s="327"/>
      <c r="I62" s="325"/>
      <c r="J62" s="325"/>
      <c r="K62" s="325"/>
      <c r="L62" s="325"/>
      <c r="M62" s="326"/>
      <c r="N62" s="325"/>
      <c r="O62" s="325"/>
      <c r="P62" s="325"/>
      <c r="Q62" s="325"/>
      <c r="R62" s="326"/>
    </row>
    <row r="63" customFormat="false" ht="14.35" hidden="false" customHeight="false" outlineLevel="0" collapsed="false">
      <c r="A63" s="320"/>
      <c r="B63" s="320"/>
      <c r="C63" s="329"/>
      <c r="D63" s="329"/>
      <c r="E63" s="322" t="str">
        <f aca="false">IF(OR(A63="",S63=""),"",AVERAGE())</f>
        <v/>
      </c>
      <c r="F63" s="322" t="str">
        <f aca="false">IF(OR(A63="",S63=""),"",_xlfn.STDEV.S())</f>
        <v/>
      </c>
      <c r="G63" s="323" t="str">
        <f aca="false">IF(OR(A63="",S63=""),"",ROUNDUP((F63)/(SQRT($H$2/2)),2))</f>
        <v/>
      </c>
      <c r="H63" s="327"/>
      <c r="I63" s="325"/>
      <c r="J63" s="325"/>
      <c r="K63" s="325"/>
      <c r="L63" s="325"/>
      <c r="M63" s="326"/>
      <c r="N63" s="325"/>
      <c r="O63" s="325"/>
      <c r="P63" s="325"/>
      <c r="Q63" s="325"/>
      <c r="R63" s="326"/>
    </row>
    <row r="64" customFormat="false" ht="14.35" hidden="false" customHeight="false" outlineLevel="0" collapsed="false">
      <c r="A64" s="320"/>
      <c r="B64" s="320"/>
      <c r="C64" s="329"/>
      <c r="D64" s="329"/>
      <c r="E64" s="322" t="str">
        <f aca="false">IF(OR(A64="",S64=""),"",AVERAGE())</f>
        <v/>
      </c>
      <c r="F64" s="322" t="str">
        <f aca="false">IF(OR(A64="",S64=""),"",_xlfn.STDEV.S())</f>
        <v/>
      </c>
      <c r="G64" s="323" t="str">
        <f aca="false">IF(OR(A64="",S64=""),"",ROUNDUP((F64)/(SQRT($H$2/2)),2))</f>
        <v/>
      </c>
      <c r="H64" s="327"/>
      <c r="I64" s="325"/>
      <c r="J64" s="325"/>
      <c r="K64" s="325"/>
      <c r="L64" s="325"/>
      <c r="M64" s="326"/>
      <c r="N64" s="325"/>
      <c r="O64" s="325"/>
      <c r="P64" s="325"/>
      <c r="Q64" s="325"/>
      <c r="R64" s="326"/>
    </row>
    <row r="65" customFormat="false" ht="14.35" hidden="false" customHeight="false" outlineLevel="0" collapsed="false">
      <c r="A65" s="320"/>
      <c r="B65" s="320"/>
      <c r="C65" s="329"/>
      <c r="D65" s="329"/>
      <c r="E65" s="322" t="str">
        <f aca="false">IF(OR(A65="",S65=""),"",AVERAGE())</f>
        <v/>
      </c>
      <c r="F65" s="322" t="str">
        <f aca="false">IF(OR(A65="",S65=""),"",_xlfn.STDEV.S())</f>
        <v/>
      </c>
      <c r="G65" s="323" t="str">
        <f aca="false">IF(OR(A65="",S65=""),"",ROUNDUP((F65)/(SQRT($H$2/2)),2))</f>
        <v/>
      </c>
      <c r="H65" s="327"/>
      <c r="I65" s="325"/>
      <c r="J65" s="325"/>
      <c r="K65" s="325"/>
      <c r="L65" s="325"/>
      <c r="M65" s="326"/>
      <c r="N65" s="325"/>
      <c r="O65" s="325"/>
      <c r="P65" s="325"/>
      <c r="Q65" s="325"/>
      <c r="R65" s="326"/>
    </row>
    <row r="66" customFormat="false" ht="14.35" hidden="false" customHeight="false" outlineLevel="0" collapsed="false">
      <c r="A66" s="320"/>
      <c r="B66" s="320"/>
      <c r="C66" s="329"/>
      <c r="D66" s="329"/>
      <c r="E66" s="322" t="str">
        <f aca="false">IF(OR(A66="",S66=""),"",AVERAGE())</f>
        <v/>
      </c>
      <c r="F66" s="322" t="str">
        <f aca="false">IF(OR(A66="",S66=""),"",_xlfn.STDEV.S())</f>
        <v/>
      </c>
      <c r="G66" s="323" t="str">
        <f aca="false">IF(OR(A66="",S66=""),"",ROUNDUP((F66)/(SQRT($H$2/2)),2))</f>
        <v/>
      </c>
      <c r="H66" s="327"/>
      <c r="I66" s="325"/>
      <c r="J66" s="325"/>
      <c r="K66" s="325"/>
      <c r="L66" s="325"/>
      <c r="M66" s="326"/>
      <c r="N66" s="325"/>
      <c r="O66" s="325"/>
      <c r="P66" s="325"/>
      <c r="Q66" s="325"/>
      <c r="R66" s="326"/>
    </row>
    <row r="67" customFormat="false" ht="14.35" hidden="false" customHeight="false" outlineLevel="0" collapsed="false">
      <c r="A67" s="320"/>
      <c r="B67" s="320"/>
      <c r="C67" s="329"/>
      <c r="D67" s="329"/>
      <c r="E67" s="322" t="str">
        <f aca="false">IF(OR(A67="",S67=""),"",AVERAGE())</f>
        <v/>
      </c>
      <c r="F67" s="322" t="str">
        <f aca="false">IF(OR(A67="",S67=""),"",_xlfn.STDEV.S())</f>
        <v/>
      </c>
      <c r="G67" s="323" t="str">
        <f aca="false">IF(OR(A67="",S67=""),"",ROUNDUP((F67)/(SQRT($H$2/2)),2))</f>
        <v/>
      </c>
      <c r="H67" s="327"/>
      <c r="I67" s="325"/>
      <c r="J67" s="325"/>
      <c r="K67" s="325"/>
      <c r="L67" s="325"/>
      <c r="M67" s="326"/>
      <c r="N67" s="325"/>
      <c r="O67" s="325"/>
      <c r="P67" s="325"/>
      <c r="Q67" s="325"/>
      <c r="R67" s="326"/>
    </row>
    <row r="68" customFormat="false" ht="14.35" hidden="false" customHeight="false" outlineLevel="0" collapsed="false">
      <c r="A68" s="320"/>
      <c r="B68" s="320"/>
      <c r="C68" s="329"/>
      <c r="D68" s="329"/>
      <c r="E68" s="322" t="str">
        <f aca="false">IF(OR(A68="",S68=""),"",AVERAGE())</f>
        <v/>
      </c>
      <c r="F68" s="322" t="str">
        <f aca="false">IF(OR(A68="",S68=""),"",_xlfn.STDEV.S())</f>
        <v/>
      </c>
      <c r="G68" s="323" t="str">
        <f aca="false">IF(OR(A68="",S68=""),"",ROUNDUP((F68)/(SQRT($H$2/2)),2))</f>
        <v/>
      </c>
      <c r="H68" s="327"/>
      <c r="I68" s="325"/>
      <c r="J68" s="325"/>
      <c r="K68" s="325"/>
      <c r="L68" s="325"/>
      <c r="M68" s="326"/>
      <c r="N68" s="325"/>
      <c r="O68" s="325"/>
      <c r="P68" s="325"/>
      <c r="Q68" s="325"/>
      <c r="R68" s="326"/>
    </row>
    <row r="69" customFormat="false" ht="14.35" hidden="false" customHeight="false" outlineLevel="0" collapsed="false">
      <c r="A69" s="320"/>
      <c r="B69" s="320"/>
      <c r="C69" s="329"/>
      <c r="D69" s="329"/>
      <c r="E69" s="322" t="str">
        <f aca="false">IF(OR(A69="",S69=""),"",AVERAGE())</f>
        <v/>
      </c>
      <c r="F69" s="322" t="str">
        <f aca="false">IF(OR(A69="",S69=""),"",_xlfn.STDEV.S())</f>
        <v/>
      </c>
      <c r="G69" s="323" t="str">
        <f aca="false">IF(OR(A69="",S69=""),"",ROUNDUP((F69)/(SQRT($H$2/2)),2))</f>
        <v/>
      </c>
      <c r="H69" s="327"/>
      <c r="I69" s="325"/>
      <c r="J69" s="325"/>
      <c r="K69" s="325"/>
      <c r="L69" s="325"/>
      <c r="M69" s="326"/>
      <c r="N69" s="325"/>
      <c r="O69" s="325"/>
      <c r="P69" s="325"/>
      <c r="Q69" s="325"/>
      <c r="R69" s="326"/>
    </row>
    <row r="70" customFormat="false" ht="14.35" hidden="false" customHeight="false" outlineLevel="0" collapsed="false">
      <c r="A70" s="320"/>
      <c r="B70" s="320"/>
      <c r="C70" s="329"/>
      <c r="D70" s="329"/>
      <c r="E70" s="322" t="str">
        <f aca="false">IF(OR(A70="",S70=""),"",AVERAGE())</f>
        <v/>
      </c>
      <c r="F70" s="322" t="str">
        <f aca="false">IF(OR(A70="",S70=""),"",_xlfn.STDEV.S())</f>
        <v/>
      </c>
      <c r="G70" s="323" t="str">
        <f aca="false">IF(OR(A70="",S70=""),"",ROUNDUP((F70)/(SQRT($H$2/2)),2))</f>
        <v/>
      </c>
      <c r="H70" s="327"/>
      <c r="I70" s="325"/>
      <c r="J70" s="325"/>
      <c r="K70" s="325"/>
      <c r="L70" s="325"/>
      <c r="M70" s="326"/>
      <c r="N70" s="325"/>
      <c r="O70" s="325"/>
      <c r="P70" s="325"/>
      <c r="Q70" s="325"/>
      <c r="R70" s="326"/>
    </row>
    <row r="71" customFormat="false" ht="14.35" hidden="false" customHeight="false" outlineLevel="0" collapsed="false">
      <c r="A71" s="320"/>
      <c r="B71" s="320"/>
      <c r="C71" s="329"/>
      <c r="D71" s="329"/>
      <c r="E71" s="322" t="str">
        <f aca="false">IF(OR(A71="",S71=""),"",AVERAGE())</f>
        <v/>
      </c>
      <c r="F71" s="322" t="str">
        <f aca="false">IF(OR(A71="",S71=""),"",_xlfn.STDEV.S())</f>
        <v/>
      </c>
      <c r="G71" s="323" t="str">
        <f aca="false">IF(OR(A71="",S71=""),"",ROUNDUP((F71)/(SQRT($H$2/2)),2))</f>
        <v/>
      </c>
      <c r="H71" s="327"/>
      <c r="I71" s="325"/>
      <c r="J71" s="325"/>
      <c r="K71" s="325"/>
      <c r="L71" s="325"/>
      <c r="M71" s="326"/>
      <c r="N71" s="325"/>
      <c r="O71" s="325"/>
      <c r="P71" s="325"/>
      <c r="Q71" s="325"/>
      <c r="R71" s="326"/>
    </row>
    <row r="72" customFormat="false" ht="14.35" hidden="false" customHeight="false" outlineLevel="0" collapsed="false">
      <c r="A72" s="320"/>
      <c r="B72" s="320"/>
      <c r="C72" s="329"/>
      <c r="D72" s="329"/>
      <c r="E72" s="322" t="str">
        <f aca="false">IF(OR(A72="",S72=""),"",AVERAGE())</f>
        <v/>
      </c>
      <c r="F72" s="322" t="str">
        <f aca="false">IF(OR(A72="",S72=""),"",_xlfn.STDEV.S())</f>
        <v/>
      </c>
      <c r="G72" s="323" t="str">
        <f aca="false">IF(OR(A72="",S72=""),"",ROUNDUP((F72)/(SQRT($H$2/2)),2))</f>
        <v/>
      </c>
      <c r="H72" s="327"/>
      <c r="I72" s="325"/>
      <c r="J72" s="325"/>
      <c r="K72" s="325"/>
      <c r="L72" s="325"/>
      <c r="M72" s="326"/>
      <c r="N72" s="325"/>
      <c r="O72" s="325"/>
      <c r="P72" s="325"/>
      <c r="Q72" s="325"/>
      <c r="R72" s="326"/>
    </row>
    <row r="73" customFormat="false" ht="14.35" hidden="false" customHeight="false" outlineLevel="0" collapsed="false">
      <c r="A73" s="320"/>
      <c r="B73" s="320"/>
      <c r="C73" s="329"/>
      <c r="D73" s="329"/>
      <c r="E73" s="322" t="str">
        <f aca="false">IF(OR(A73="",S73=""),"",AVERAGE())</f>
        <v/>
      </c>
      <c r="F73" s="322" t="str">
        <f aca="false">IF(OR(A73="",S73=""),"",_xlfn.STDEV.S())</f>
        <v/>
      </c>
      <c r="G73" s="323" t="str">
        <f aca="false">IF(OR(A73="",S73=""),"",ROUNDUP((F73)/(SQRT($H$2/2)),2))</f>
        <v/>
      </c>
      <c r="H73" s="327"/>
      <c r="I73" s="325"/>
      <c r="J73" s="325"/>
      <c r="K73" s="325"/>
      <c r="L73" s="325"/>
      <c r="M73" s="326"/>
      <c r="N73" s="325"/>
      <c r="O73" s="325"/>
      <c r="P73" s="325"/>
      <c r="Q73" s="325"/>
      <c r="R73" s="326"/>
    </row>
    <row r="74" customFormat="false" ht="14.35" hidden="false" customHeight="false" outlineLevel="0" collapsed="false">
      <c r="A74" s="320"/>
      <c r="B74" s="320"/>
      <c r="C74" s="329"/>
      <c r="D74" s="329"/>
      <c r="E74" s="322" t="str">
        <f aca="false">IF(OR(A74="",S74=""),"",AVERAGE())</f>
        <v/>
      </c>
      <c r="F74" s="322" t="str">
        <f aca="false">IF(OR(A74="",S74=""),"",_xlfn.STDEV.S())</f>
        <v/>
      </c>
      <c r="G74" s="323" t="str">
        <f aca="false">IF(OR(A74="",S74=""),"",ROUNDUP((F74)/(SQRT($H$2/2)),2))</f>
        <v/>
      </c>
      <c r="H74" s="327"/>
      <c r="I74" s="325"/>
      <c r="J74" s="325"/>
      <c r="K74" s="325"/>
      <c r="L74" s="325"/>
      <c r="M74" s="326"/>
      <c r="N74" s="325"/>
      <c r="O74" s="325"/>
      <c r="P74" s="325"/>
      <c r="Q74" s="325"/>
      <c r="R74" s="326"/>
    </row>
    <row r="75" customFormat="false" ht="14.35" hidden="false" customHeight="false" outlineLevel="0" collapsed="false">
      <c r="A75" s="320"/>
      <c r="B75" s="320"/>
      <c r="C75" s="329"/>
      <c r="D75" s="329"/>
      <c r="E75" s="322" t="str">
        <f aca="false">IF(OR(A75="",S75=""),"",AVERAGE())</f>
        <v/>
      </c>
      <c r="F75" s="322" t="str">
        <f aca="false">IF(OR(A75="",S75=""),"",_xlfn.STDEV.S())</f>
        <v/>
      </c>
      <c r="G75" s="323" t="str">
        <f aca="false">IF(OR(A75="",S75=""),"",ROUNDUP((F75)/(SQRT($H$2/2)),2))</f>
        <v/>
      </c>
      <c r="H75" s="327"/>
      <c r="I75" s="325"/>
      <c r="J75" s="325"/>
      <c r="K75" s="325"/>
      <c r="L75" s="325"/>
      <c r="M75" s="326"/>
      <c r="N75" s="325"/>
      <c r="O75" s="325"/>
      <c r="P75" s="325"/>
      <c r="Q75" s="325"/>
      <c r="R75" s="326"/>
    </row>
    <row r="76" customFormat="false" ht="14.35" hidden="false" customHeight="false" outlineLevel="0" collapsed="false">
      <c r="A76" s="320"/>
      <c r="B76" s="320"/>
      <c r="C76" s="329"/>
      <c r="D76" s="329"/>
      <c r="E76" s="322" t="str">
        <f aca="false">IF(OR(A76="",S76=""),"",AVERAGE())</f>
        <v/>
      </c>
      <c r="F76" s="322" t="str">
        <f aca="false">IF(OR(A76="",S76=""),"",_xlfn.STDEV.S())</f>
        <v/>
      </c>
      <c r="G76" s="323" t="str">
        <f aca="false">IF(OR(A76="",S76=""),"",ROUNDUP((F76)/(SQRT($H$2/2)),2))</f>
        <v/>
      </c>
      <c r="H76" s="327"/>
      <c r="I76" s="325"/>
      <c r="J76" s="325"/>
      <c r="K76" s="325"/>
      <c r="L76" s="325"/>
      <c r="M76" s="326"/>
      <c r="N76" s="325"/>
      <c r="O76" s="325"/>
      <c r="P76" s="325"/>
      <c r="Q76" s="325"/>
      <c r="R76" s="326"/>
    </row>
    <row r="77" customFormat="false" ht="14.35" hidden="false" customHeight="false" outlineLevel="0" collapsed="false">
      <c r="A77" s="320"/>
      <c r="B77" s="320"/>
      <c r="C77" s="329"/>
      <c r="D77" s="329"/>
      <c r="E77" s="322" t="str">
        <f aca="false">IF(OR(A77="",S77=""),"",AVERAGE())</f>
        <v/>
      </c>
      <c r="F77" s="322" t="str">
        <f aca="false">IF(OR(A77="",S77=""),"",_xlfn.STDEV.S())</f>
        <v/>
      </c>
      <c r="G77" s="323" t="str">
        <f aca="false">IF(OR(A77="",S77=""),"",ROUNDUP((F77)/(SQRT($H$2/2)),2))</f>
        <v/>
      </c>
      <c r="H77" s="327"/>
      <c r="I77" s="325"/>
      <c r="J77" s="325"/>
      <c r="K77" s="325"/>
      <c r="L77" s="325"/>
      <c r="M77" s="326"/>
      <c r="N77" s="325"/>
      <c r="O77" s="325"/>
      <c r="P77" s="325"/>
      <c r="Q77" s="325"/>
      <c r="R77" s="326"/>
    </row>
    <row r="78" customFormat="false" ht="14.35" hidden="false" customHeight="false" outlineLevel="0" collapsed="false">
      <c r="A78" s="320"/>
      <c r="B78" s="320"/>
      <c r="C78" s="329"/>
      <c r="D78" s="329"/>
      <c r="E78" s="322" t="str">
        <f aca="false">IF(OR(A78="",S78=""),"",AVERAGE())</f>
        <v/>
      </c>
      <c r="F78" s="322" t="str">
        <f aca="false">IF(OR(A78="",S78=""),"",_xlfn.STDEV.S())</f>
        <v/>
      </c>
      <c r="G78" s="323" t="str">
        <f aca="false">IF(OR(A78="",S78=""),"",ROUNDUP((F78)/(SQRT($H$2/2)),2))</f>
        <v/>
      </c>
      <c r="H78" s="327"/>
      <c r="I78" s="325"/>
      <c r="J78" s="325"/>
      <c r="K78" s="325"/>
      <c r="L78" s="325"/>
      <c r="M78" s="326"/>
      <c r="N78" s="325"/>
      <c r="O78" s="325"/>
      <c r="P78" s="325"/>
      <c r="Q78" s="325"/>
      <c r="R78" s="326"/>
    </row>
    <row r="79" customFormat="false" ht="14.35" hidden="false" customHeight="false" outlineLevel="0" collapsed="false">
      <c r="A79" s="320"/>
      <c r="B79" s="320"/>
      <c r="C79" s="329"/>
      <c r="D79" s="329"/>
      <c r="E79" s="322" t="str">
        <f aca="false">IF(OR(A79="",S79=""),"",AVERAGE())</f>
        <v/>
      </c>
      <c r="F79" s="322" t="str">
        <f aca="false">IF(OR(A79="",S79=""),"",_xlfn.STDEV.S())</f>
        <v/>
      </c>
      <c r="G79" s="323" t="str">
        <f aca="false">IF(OR(A79="",S79=""),"",ROUNDUP((F79)/(SQRT($H$2/2)),2))</f>
        <v/>
      </c>
      <c r="H79" s="327"/>
      <c r="I79" s="325"/>
      <c r="J79" s="325"/>
      <c r="K79" s="325"/>
      <c r="L79" s="325"/>
      <c r="M79" s="326"/>
      <c r="N79" s="325"/>
      <c r="O79" s="325"/>
      <c r="P79" s="325"/>
      <c r="Q79" s="325"/>
      <c r="R79" s="326"/>
    </row>
    <row r="80" customFormat="false" ht="14.35" hidden="false" customHeight="false" outlineLevel="0" collapsed="false">
      <c r="A80" s="320"/>
      <c r="B80" s="320"/>
      <c r="C80" s="329"/>
      <c r="D80" s="329"/>
      <c r="E80" s="322" t="str">
        <f aca="false">IF(OR(A80="",S80=""),"",AVERAGE())</f>
        <v/>
      </c>
      <c r="F80" s="322" t="str">
        <f aca="false">IF(OR(A80="",S80=""),"",_xlfn.STDEV.S())</f>
        <v/>
      </c>
      <c r="G80" s="323" t="str">
        <f aca="false">IF(OR(A80="",S80=""),"",ROUNDUP((F80)/(SQRT($H$2/2)),2))</f>
        <v/>
      </c>
      <c r="H80" s="327"/>
      <c r="I80" s="325"/>
      <c r="J80" s="325"/>
      <c r="K80" s="325"/>
      <c r="L80" s="325"/>
      <c r="M80" s="326"/>
      <c r="N80" s="325"/>
      <c r="O80" s="325"/>
      <c r="P80" s="325"/>
      <c r="Q80" s="325"/>
      <c r="R80" s="326"/>
    </row>
    <row r="81" customFormat="false" ht="14.35" hidden="false" customHeight="false" outlineLevel="0" collapsed="false">
      <c r="A81" s="320"/>
      <c r="B81" s="320"/>
      <c r="C81" s="329"/>
      <c r="D81" s="329"/>
      <c r="E81" s="322" t="str">
        <f aca="false">IF(OR(A81="",S81=""),"",AVERAGE())</f>
        <v/>
      </c>
      <c r="F81" s="322" t="str">
        <f aca="false">IF(OR(A81="",S81=""),"",_xlfn.STDEV.S())</f>
        <v/>
      </c>
      <c r="G81" s="323" t="str">
        <f aca="false">IF(OR(A81="",S81=""),"",ROUNDUP((F81)/(SQRT($H$2/2)),2))</f>
        <v/>
      </c>
      <c r="H81" s="327"/>
      <c r="I81" s="325"/>
      <c r="J81" s="325"/>
      <c r="K81" s="325"/>
      <c r="L81" s="325"/>
      <c r="M81" s="326"/>
      <c r="N81" s="325"/>
      <c r="O81" s="325"/>
      <c r="P81" s="325"/>
      <c r="Q81" s="325"/>
      <c r="R81" s="326"/>
    </row>
    <row r="82" customFormat="false" ht="14.35" hidden="false" customHeight="false" outlineLevel="0" collapsed="false">
      <c r="A82" s="320"/>
      <c r="B82" s="320"/>
      <c r="C82" s="329"/>
      <c r="D82" s="329"/>
      <c r="E82" s="322" t="str">
        <f aca="false">IF(OR(A82="",S82=""),"",AVERAGE())</f>
        <v/>
      </c>
      <c r="F82" s="322" t="str">
        <f aca="false">IF(OR(A82="",S82=""),"",_xlfn.STDEV.S())</f>
        <v/>
      </c>
      <c r="G82" s="323" t="str">
        <f aca="false">IF(OR(A82="",S82=""),"",ROUNDUP((F82)/(SQRT($H$2/2)),2))</f>
        <v/>
      </c>
      <c r="H82" s="327"/>
      <c r="I82" s="325"/>
      <c r="J82" s="325"/>
      <c r="K82" s="325"/>
      <c r="L82" s="325"/>
      <c r="M82" s="326"/>
      <c r="N82" s="325"/>
      <c r="O82" s="325"/>
      <c r="P82" s="325"/>
      <c r="Q82" s="325"/>
      <c r="R82" s="326"/>
    </row>
    <row r="83" customFormat="false" ht="14.35" hidden="false" customHeight="false" outlineLevel="0" collapsed="false">
      <c r="A83" s="320"/>
      <c r="B83" s="320"/>
      <c r="C83" s="329"/>
      <c r="D83" s="329"/>
      <c r="E83" s="322" t="str">
        <f aca="false">IF(OR(A83="",S83=""),"",AVERAGE())</f>
        <v/>
      </c>
      <c r="F83" s="322" t="str">
        <f aca="false">IF(OR(A83="",S83=""),"",_xlfn.STDEV.S())</f>
        <v/>
      </c>
      <c r="G83" s="323" t="str">
        <f aca="false">IF(OR(A83="",S83=""),"",ROUNDUP((F83)/(SQRT($H$2/2)),2))</f>
        <v/>
      </c>
      <c r="H83" s="327"/>
      <c r="I83" s="325"/>
      <c r="J83" s="325"/>
      <c r="K83" s="325"/>
      <c r="L83" s="325"/>
      <c r="M83" s="326"/>
      <c r="N83" s="325"/>
      <c r="O83" s="325"/>
      <c r="P83" s="325"/>
      <c r="Q83" s="325"/>
      <c r="R83" s="326"/>
    </row>
    <row r="84" customFormat="false" ht="14.35" hidden="false" customHeight="false" outlineLevel="0" collapsed="false">
      <c r="A84" s="320"/>
      <c r="B84" s="320"/>
      <c r="C84" s="329"/>
      <c r="D84" s="329"/>
      <c r="E84" s="322" t="str">
        <f aca="false">IF(OR(A84="",S84=""),"",AVERAGE())</f>
        <v/>
      </c>
      <c r="F84" s="322" t="str">
        <f aca="false">IF(OR(A84="",S84=""),"",_xlfn.STDEV.S())</f>
        <v/>
      </c>
      <c r="G84" s="323" t="str">
        <f aca="false">IF(OR(A84="",S84=""),"",ROUNDUP((F84)/(SQRT($H$2/2)),2))</f>
        <v/>
      </c>
      <c r="H84" s="327"/>
      <c r="I84" s="325"/>
      <c r="J84" s="325"/>
      <c r="K84" s="325"/>
      <c r="L84" s="325"/>
      <c r="M84" s="326"/>
      <c r="N84" s="325"/>
      <c r="O84" s="325"/>
      <c r="P84" s="325"/>
      <c r="Q84" s="325"/>
      <c r="R84" s="326"/>
    </row>
    <row r="85" customFormat="false" ht="14.35" hidden="false" customHeight="false" outlineLevel="0" collapsed="false">
      <c r="A85" s="320"/>
      <c r="B85" s="320"/>
      <c r="C85" s="329"/>
      <c r="D85" s="329"/>
      <c r="E85" s="322" t="str">
        <f aca="false">IF(OR(A85="",S85=""),"",AVERAGE())</f>
        <v/>
      </c>
      <c r="F85" s="322" t="str">
        <f aca="false">IF(OR(A85="",S85=""),"",_xlfn.STDEV.S())</f>
        <v/>
      </c>
      <c r="G85" s="323" t="str">
        <f aca="false">IF(OR(A85="",S85=""),"",ROUNDUP((F85)/(SQRT($H$2/2)),2))</f>
        <v/>
      </c>
      <c r="H85" s="327"/>
      <c r="I85" s="325"/>
      <c r="J85" s="325"/>
      <c r="K85" s="325"/>
      <c r="L85" s="325"/>
      <c r="M85" s="326"/>
      <c r="N85" s="325"/>
      <c r="O85" s="325"/>
      <c r="P85" s="325"/>
      <c r="Q85" s="325"/>
      <c r="R85" s="326"/>
    </row>
    <row r="86" customFormat="false" ht="14.35" hidden="false" customHeight="false" outlineLevel="0" collapsed="false">
      <c r="A86" s="320"/>
      <c r="B86" s="320"/>
      <c r="C86" s="329"/>
      <c r="D86" s="329"/>
      <c r="E86" s="322" t="str">
        <f aca="false">IF(OR(A86="",S86=""),"",AVERAGE())</f>
        <v/>
      </c>
      <c r="F86" s="322" t="str">
        <f aca="false">IF(OR(A86="",S86=""),"",_xlfn.STDEV.S())</f>
        <v/>
      </c>
      <c r="G86" s="323" t="str">
        <f aca="false">IF(OR(A86="",S86=""),"",ROUNDUP((F86)/(SQRT($H$2/2)),2))</f>
        <v/>
      </c>
      <c r="H86" s="327"/>
      <c r="I86" s="325"/>
      <c r="J86" s="325"/>
      <c r="K86" s="325"/>
      <c r="L86" s="325"/>
      <c r="M86" s="326"/>
      <c r="N86" s="325"/>
      <c r="O86" s="325"/>
      <c r="P86" s="325"/>
      <c r="Q86" s="325"/>
      <c r="R86" s="326"/>
    </row>
    <row r="87" customFormat="false" ht="14.35" hidden="false" customHeight="false" outlineLevel="0" collapsed="false">
      <c r="A87" s="320"/>
      <c r="B87" s="320"/>
      <c r="C87" s="329"/>
      <c r="D87" s="329"/>
      <c r="E87" s="322" t="str">
        <f aca="false">IF(OR(A87="",S87=""),"",AVERAGE())</f>
        <v/>
      </c>
      <c r="F87" s="322" t="str">
        <f aca="false">IF(OR(A87="",S87=""),"",_xlfn.STDEV.S())</f>
        <v/>
      </c>
      <c r="G87" s="323" t="str">
        <f aca="false">IF(OR(A87="",S87=""),"",ROUNDUP((F87)/(SQRT($H$2/2)),2))</f>
        <v/>
      </c>
      <c r="H87" s="327"/>
      <c r="I87" s="325"/>
      <c r="J87" s="325"/>
      <c r="K87" s="325"/>
      <c r="L87" s="325"/>
      <c r="M87" s="326"/>
      <c r="N87" s="325"/>
      <c r="O87" s="325"/>
      <c r="P87" s="325"/>
      <c r="Q87" s="325"/>
      <c r="R87" s="326"/>
    </row>
    <row r="88" customFormat="false" ht="14.35" hidden="false" customHeight="false" outlineLevel="0" collapsed="false">
      <c r="A88" s="320"/>
      <c r="B88" s="320"/>
      <c r="C88" s="329"/>
      <c r="D88" s="329"/>
      <c r="E88" s="322" t="str">
        <f aca="false">IF(OR(A88="",S88=""),"",AVERAGE())</f>
        <v/>
      </c>
      <c r="F88" s="322" t="str">
        <f aca="false">IF(OR(A88="",S88=""),"",_xlfn.STDEV.S())</f>
        <v/>
      </c>
      <c r="G88" s="323" t="str">
        <f aca="false">IF(OR(A88="",S88=""),"",ROUNDUP((F88)/(SQRT($H$2/2)),2))</f>
        <v/>
      </c>
      <c r="H88" s="327"/>
      <c r="I88" s="325"/>
      <c r="J88" s="325"/>
      <c r="K88" s="325"/>
      <c r="L88" s="325"/>
      <c r="M88" s="326"/>
      <c r="N88" s="325"/>
      <c r="O88" s="325"/>
      <c r="P88" s="325"/>
      <c r="Q88" s="325"/>
      <c r="R88" s="326"/>
    </row>
    <row r="89" customFormat="false" ht="14.35" hidden="false" customHeight="false" outlineLevel="0" collapsed="false">
      <c r="A89" s="320"/>
      <c r="B89" s="320"/>
      <c r="C89" s="329"/>
      <c r="D89" s="329"/>
      <c r="E89" s="322" t="str">
        <f aca="false">IF(OR(A89="",S89=""),"",AVERAGE())</f>
        <v/>
      </c>
      <c r="F89" s="322" t="str">
        <f aca="false">IF(OR(A89="",S89=""),"",_xlfn.STDEV.S())</f>
        <v/>
      </c>
      <c r="G89" s="323" t="str">
        <f aca="false">IF(OR(A89="",S89=""),"",ROUNDUP((F89)/(SQRT($H$2/2)),2))</f>
        <v/>
      </c>
      <c r="H89" s="327"/>
      <c r="I89" s="325"/>
      <c r="J89" s="325"/>
      <c r="K89" s="325"/>
      <c r="L89" s="325"/>
      <c r="M89" s="326"/>
      <c r="N89" s="325"/>
      <c r="O89" s="325"/>
      <c r="P89" s="325"/>
      <c r="Q89" s="325"/>
      <c r="R89" s="326"/>
    </row>
    <row r="90" customFormat="false" ht="14.35" hidden="false" customHeight="false" outlineLevel="0" collapsed="false">
      <c r="A90" s="320"/>
      <c r="B90" s="320"/>
      <c r="C90" s="329"/>
      <c r="D90" s="329"/>
      <c r="E90" s="322" t="str">
        <f aca="false">IF(OR(A90="",S90=""),"",AVERAGE())</f>
        <v/>
      </c>
      <c r="F90" s="322" t="str">
        <f aca="false">IF(OR(A90="",S90=""),"",_xlfn.STDEV.S())</f>
        <v/>
      </c>
      <c r="G90" s="323" t="str">
        <f aca="false">IF(OR(A90="",S90=""),"",ROUNDUP((F90)/(SQRT($H$2/2)),2))</f>
        <v/>
      </c>
      <c r="H90" s="327"/>
      <c r="I90" s="325"/>
      <c r="J90" s="325"/>
      <c r="K90" s="325"/>
      <c r="L90" s="325"/>
      <c r="M90" s="326"/>
      <c r="N90" s="325"/>
      <c r="O90" s="325"/>
      <c r="P90" s="325"/>
      <c r="Q90" s="325"/>
      <c r="R90" s="326"/>
    </row>
    <row r="91" customFormat="false" ht="14.35" hidden="false" customHeight="false" outlineLevel="0" collapsed="false">
      <c r="A91" s="320"/>
      <c r="B91" s="320"/>
      <c r="C91" s="329"/>
      <c r="D91" s="329"/>
      <c r="E91" s="322" t="str">
        <f aca="false">IF(OR(A91="",S91=""),"",AVERAGE())</f>
        <v/>
      </c>
      <c r="F91" s="322" t="str">
        <f aca="false">IF(OR(A91="",S91=""),"",_xlfn.STDEV.S())</f>
        <v/>
      </c>
      <c r="G91" s="323" t="str">
        <f aca="false">IF(OR(A91="",S91=""),"",ROUNDUP((F91)/(SQRT($H$2/2)),2))</f>
        <v/>
      </c>
      <c r="H91" s="327"/>
      <c r="I91" s="325"/>
      <c r="J91" s="325"/>
      <c r="K91" s="325"/>
      <c r="L91" s="325"/>
      <c r="M91" s="326"/>
      <c r="N91" s="325"/>
      <c r="O91" s="325"/>
      <c r="P91" s="325"/>
      <c r="Q91" s="325"/>
      <c r="R91" s="326"/>
    </row>
    <row r="92" customFormat="false" ht="14.35" hidden="false" customHeight="false" outlineLevel="0" collapsed="false">
      <c r="A92" s="320"/>
      <c r="B92" s="320"/>
      <c r="C92" s="329"/>
      <c r="D92" s="329"/>
      <c r="E92" s="322" t="str">
        <f aca="false">IF(OR(A92="",S92=""),"",AVERAGE())</f>
        <v/>
      </c>
      <c r="F92" s="322" t="str">
        <f aca="false">IF(OR(A92="",S92=""),"",_xlfn.STDEV.S())</f>
        <v/>
      </c>
      <c r="G92" s="323" t="str">
        <f aca="false">IF(OR(A92="",S92=""),"",ROUNDUP((F92)/(SQRT($H$2/2)),2))</f>
        <v/>
      </c>
      <c r="H92" s="327"/>
      <c r="I92" s="325"/>
      <c r="J92" s="325"/>
      <c r="K92" s="325"/>
      <c r="L92" s="325"/>
      <c r="M92" s="326"/>
      <c r="N92" s="325"/>
      <c r="O92" s="325"/>
      <c r="P92" s="325"/>
      <c r="Q92" s="325"/>
      <c r="R92" s="326"/>
    </row>
    <row r="93" customFormat="false" ht="14.35" hidden="false" customHeight="false" outlineLevel="0" collapsed="false">
      <c r="A93" s="320"/>
      <c r="B93" s="320"/>
      <c r="C93" s="329"/>
      <c r="D93" s="329"/>
      <c r="E93" s="322" t="str">
        <f aca="false">IF(OR(A93="",S93=""),"",AVERAGE())</f>
        <v/>
      </c>
      <c r="F93" s="322" t="str">
        <f aca="false">IF(OR(A93="",S93=""),"",_xlfn.STDEV.S())</f>
        <v/>
      </c>
      <c r="G93" s="323" t="str">
        <f aca="false">IF(OR(A93="",S93=""),"",ROUNDUP((F93)/(SQRT($H$2/2)),2))</f>
        <v/>
      </c>
      <c r="H93" s="327"/>
      <c r="I93" s="325"/>
      <c r="J93" s="325"/>
      <c r="K93" s="325"/>
      <c r="L93" s="325"/>
      <c r="M93" s="326"/>
      <c r="N93" s="325"/>
      <c r="O93" s="325"/>
      <c r="P93" s="325"/>
      <c r="Q93" s="325"/>
      <c r="R93" s="326"/>
    </row>
    <row r="94" customFormat="false" ht="14.35" hidden="false" customHeight="false" outlineLevel="0" collapsed="false">
      <c r="A94" s="320"/>
      <c r="B94" s="320"/>
      <c r="C94" s="329"/>
      <c r="D94" s="329"/>
      <c r="E94" s="322" t="str">
        <f aca="false">IF(OR(A94="",S94=""),"",AVERAGE())</f>
        <v/>
      </c>
      <c r="F94" s="322" t="str">
        <f aca="false">IF(OR(A94="",S94=""),"",_xlfn.STDEV.S())</f>
        <v/>
      </c>
      <c r="G94" s="323" t="str">
        <f aca="false">IF(OR(A94="",S94=""),"",ROUNDUP((F94)/(SQRT($H$2/2)),2))</f>
        <v/>
      </c>
      <c r="H94" s="327"/>
      <c r="I94" s="325"/>
      <c r="J94" s="325"/>
      <c r="K94" s="325"/>
      <c r="L94" s="325"/>
      <c r="M94" s="326"/>
      <c r="N94" s="325"/>
      <c r="O94" s="325"/>
      <c r="P94" s="325"/>
      <c r="Q94" s="325"/>
      <c r="R94" s="326"/>
    </row>
    <row r="95" customFormat="false" ht="14.35" hidden="false" customHeight="false" outlineLevel="0" collapsed="false">
      <c r="A95" s="320"/>
      <c r="B95" s="320"/>
      <c r="C95" s="329"/>
      <c r="D95" s="329"/>
      <c r="E95" s="322" t="str">
        <f aca="false">IF(OR(A95="",S95=""),"",AVERAGE())</f>
        <v/>
      </c>
      <c r="F95" s="322" t="str">
        <f aca="false">IF(OR(A95="",S95=""),"",_xlfn.STDEV.S())</f>
        <v/>
      </c>
      <c r="G95" s="323" t="str">
        <f aca="false">IF(OR(A95="",S95=""),"",ROUNDUP((F95)/(SQRT($H$2/2)),2))</f>
        <v/>
      </c>
      <c r="H95" s="327"/>
      <c r="I95" s="325"/>
      <c r="J95" s="325"/>
      <c r="K95" s="325"/>
      <c r="L95" s="325"/>
      <c r="M95" s="326"/>
      <c r="N95" s="325"/>
      <c r="O95" s="325"/>
      <c r="P95" s="325"/>
      <c r="Q95" s="325"/>
      <c r="R95" s="326"/>
    </row>
    <row r="96" customFormat="false" ht="14.35" hidden="false" customHeight="false" outlineLevel="0" collapsed="false">
      <c r="A96" s="320"/>
      <c r="B96" s="320"/>
      <c r="C96" s="329"/>
      <c r="D96" s="329"/>
      <c r="E96" s="322" t="str">
        <f aca="false">IF(OR(A96="",S96=""),"",AVERAGE())</f>
        <v/>
      </c>
      <c r="F96" s="322" t="str">
        <f aca="false">IF(OR(A96="",S96=""),"",_xlfn.STDEV.S())</f>
        <v/>
      </c>
      <c r="G96" s="323" t="str">
        <f aca="false">IF(OR(A96="",S96=""),"",ROUNDUP((F96)/(SQRT($H$2/2)),2))</f>
        <v/>
      </c>
      <c r="H96" s="327"/>
      <c r="I96" s="325"/>
      <c r="J96" s="325"/>
      <c r="K96" s="325"/>
      <c r="L96" s="325"/>
      <c r="M96" s="326"/>
      <c r="N96" s="325"/>
      <c r="O96" s="325"/>
      <c r="P96" s="325"/>
      <c r="Q96" s="325"/>
      <c r="R96" s="326"/>
    </row>
    <row r="97" customFormat="false" ht="14.35" hidden="false" customHeight="false" outlineLevel="0" collapsed="false">
      <c r="A97" s="320"/>
      <c r="B97" s="320"/>
      <c r="C97" s="329"/>
      <c r="D97" s="329"/>
      <c r="E97" s="322" t="str">
        <f aca="false">IF(OR(A97="",S97=""),"",AVERAGE())</f>
        <v/>
      </c>
      <c r="F97" s="322" t="str">
        <f aca="false">IF(OR(A97="",S97=""),"",_xlfn.STDEV.S())</f>
        <v/>
      </c>
      <c r="G97" s="323" t="str">
        <f aca="false">IF(OR(A97="",S97=""),"",ROUNDUP((F97)/(SQRT($H$2/2)),2))</f>
        <v/>
      </c>
      <c r="H97" s="327"/>
      <c r="I97" s="325"/>
      <c r="J97" s="325"/>
      <c r="K97" s="325"/>
      <c r="L97" s="325"/>
      <c r="M97" s="326"/>
      <c r="N97" s="325"/>
      <c r="O97" s="325"/>
      <c r="P97" s="325"/>
      <c r="Q97" s="325"/>
      <c r="R97" s="326"/>
    </row>
    <row r="98" customFormat="false" ht="14.35" hidden="false" customHeight="false" outlineLevel="0" collapsed="false">
      <c r="A98" s="320"/>
      <c r="B98" s="320"/>
      <c r="C98" s="329"/>
      <c r="D98" s="329"/>
      <c r="E98" s="322" t="str">
        <f aca="false">IF(OR(A98="",S98=""),"",AVERAGE())</f>
        <v/>
      </c>
      <c r="F98" s="322" t="str">
        <f aca="false">IF(OR(A98="",S98=""),"",_xlfn.STDEV.S())</f>
        <v/>
      </c>
      <c r="G98" s="323" t="str">
        <f aca="false">IF(OR(A98="",S98=""),"",ROUNDUP((F98)/(SQRT($H$2/2)),2))</f>
        <v/>
      </c>
      <c r="H98" s="327"/>
      <c r="I98" s="325"/>
      <c r="J98" s="325"/>
      <c r="K98" s="325"/>
      <c r="L98" s="325"/>
      <c r="M98" s="326"/>
      <c r="N98" s="325"/>
      <c r="O98" s="325"/>
      <c r="P98" s="325"/>
      <c r="Q98" s="325"/>
      <c r="R98" s="326"/>
    </row>
    <row r="99" customFormat="false" ht="14.35" hidden="false" customHeight="false" outlineLevel="0" collapsed="false">
      <c r="A99" s="320"/>
      <c r="B99" s="320"/>
      <c r="C99" s="329"/>
      <c r="D99" s="329"/>
      <c r="E99" s="322" t="str">
        <f aca="false">IF(OR(A99="",S99=""),"",AVERAGE())</f>
        <v/>
      </c>
      <c r="F99" s="322" t="str">
        <f aca="false">IF(OR(A99="",S99=""),"",_xlfn.STDEV.S())</f>
        <v/>
      </c>
      <c r="G99" s="323" t="str">
        <f aca="false">IF(OR(A99="",S99=""),"",ROUNDUP((F99)/(SQRT($H$2/2)),2))</f>
        <v/>
      </c>
      <c r="H99" s="327"/>
      <c r="I99" s="325"/>
      <c r="J99" s="325"/>
      <c r="K99" s="325"/>
      <c r="L99" s="325"/>
      <c r="M99" s="326"/>
      <c r="N99" s="325"/>
      <c r="O99" s="325"/>
      <c r="P99" s="325"/>
      <c r="Q99" s="325"/>
      <c r="R99" s="326"/>
    </row>
    <row r="100" customFormat="false" ht="14.35" hidden="false" customHeight="false" outlineLevel="0" collapsed="false">
      <c r="A100" s="320"/>
      <c r="B100" s="320"/>
      <c r="C100" s="329"/>
      <c r="D100" s="329"/>
      <c r="E100" s="322" t="str">
        <f aca="false">IF(OR(A100="",S100=""),"",AVERAGE())</f>
        <v/>
      </c>
      <c r="F100" s="322" t="str">
        <f aca="false">IF(OR(A100="",S100=""),"",_xlfn.STDEV.S())</f>
        <v/>
      </c>
      <c r="G100" s="323" t="str">
        <f aca="false">IF(OR(A100="",S100=""),"",ROUNDUP((F100)/(SQRT($H$2/2)),2))</f>
        <v/>
      </c>
      <c r="H100" s="327"/>
      <c r="I100" s="325"/>
      <c r="J100" s="325"/>
      <c r="K100" s="325"/>
      <c r="L100" s="325"/>
      <c r="M100" s="326"/>
      <c r="N100" s="325"/>
      <c r="O100" s="325"/>
      <c r="P100" s="325"/>
      <c r="Q100" s="325"/>
      <c r="R100" s="326"/>
    </row>
    <row r="101" customFormat="false" ht="14.35" hidden="false" customHeight="false" outlineLevel="0" collapsed="false">
      <c r="A101" s="320"/>
      <c r="B101" s="320"/>
      <c r="C101" s="329"/>
      <c r="D101" s="329"/>
      <c r="E101" s="322" t="str">
        <f aca="false">IF(OR(A101="",S101=""),"",AVERAGE())</f>
        <v/>
      </c>
      <c r="F101" s="322" t="str">
        <f aca="false">IF(OR(A101="",S101=""),"",_xlfn.STDEV.S())</f>
        <v/>
      </c>
      <c r="G101" s="323" t="str">
        <f aca="false">IF(OR(A101="",S101=""),"",ROUNDUP((F101)/(SQRT($H$2/2)),2))</f>
        <v/>
      </c>
      <c r="H101" s="327"/>
      <c r="I101" s="325"/>
      <c r="J101" s="325"/>
      <c r="K101" s="325"/>
      <c r="L101" s="325"/>
      <c r="M101" s="326"/>
      <c r="N101" s="325"/>
      <c r="O101" s="325"/>
      <c r="P101" s="325"/>
      <c r="Q101" s="325"/>
      <c r="R101" s="326"/>
    </row>
    <row r="102" customFormat="false" ht="14.35" hidden="false" customHeight="false" outlineLevel="0" collapsed="false">
      <c r="A102" s="320"/>
      <c r="B102" s="320"/>
      <c r="C102" s="329"/>
      <c r="D102" s="329"/>
      <c r="E102" s="322" t="str">
        <f aca="false">IF(OR(A102="",S102=""),"",AVERAGE())</f>
        <v/>
      </c>
      <c r="F102" s="322" t="str">
        <f aca="false">IF(OR(A102="",S102=""),"",_xlfn.STDEV.S())</f>
        <v/>
      </c>
      <c r="G102" s="323" t="str">
        <f aca="false">IF(OR(A102="",S102=""),"",ROUNDUP((F102)/(SQRT($H$2/2)),2))</f>
        <v/>
      </c>
      <c r="H102" s="327"/>
      <c r="I102" s="325"/>
      <c r="J102" s="325"/>
      <c r="K102" s="325"/>
      <c r="L102" s="325"/>
      <c r="M102" s="326"/>
      <c r="N102" s="325"/>
      <c r="O102" s="325"/>
      <c r="P102" s="325"/>
      <c r="Q102" s="325"/>
      <c r="R102" s="326"/>
    </row>
    <row r="103" customFormat="false" ht="14.35" hidden="false" customHeight="false" outlineLevel="0" collapsed="false">
      <c r="A103" s="320"/>
      <c r="B103" s="320"/>
      <c r="C103" s="329"/>
      <c r="D103" s="329"/>
      <c r="E103" s="322" t="str">
        <f aca="false">IF(OR(A103="",S103=""),"",AVERAGE())</f>
        <v/>
      </c>
      <c r="F103" s="322" t="str">
        <f aca="false">IF(OR(A103="",S103=""),"",_xlfn.STDEV.S())</f>
        <v/>
      </c>
      <c r="G103" s="323" t="str">
        <f aca="false">IF(OR(A103="",S103=""),"",ROUNDUP((F103)/(SQRT($H$2/2)),2))</f>
        <v/>
      </c>
      <c r="H103" s="327"/>
      <c r="I103" s="325"/>
      <c r="J103" s="325"/>
      <c r="K103" s="325"/>
      <c r="L103" s="325"/>
      <c r="M103" s="326"/>
      <c r="N103" s="325"/>
      <c r="O103" s="325"/>
      <c r="P103" s="325"/>
      <c r="Q103" s="325"/>
      <c r="R103" s="326"/>
    </row>
    <row r="104" customFormat="false" ht="14.35" hidden="false" customHeight="false" outlineLevel="0" collapsed="false">
      <c r="A104" s="320"/>
      <c r="B104" s="320"/>
      <c r="C104" s="329"/>
      <c r="D104" s="329"/>
      <c r="E104" s="322" t="str">
        <f aca="false">IF(OR(A104="",S104=""),"",AVERAGE())</f>
        <v/>
      </c>
      <c r="F104" s="322" t="str">
        <f aca="false">IF(OR(A104="",S104=""),"",_xlfn.STDEV.S())</f>
        <v/>
      </c>
      <c r="G104" s="323" t="str">
        <f aca="false">IF(OR(A104="",S104=""),"",ROUNDUP((F104)/(SQRT($H$2/2)),2))</f>
        <v/>
      </c>
      <c r="H104" s="327"/>
      <c r="I104" s="325"/>
      <c r="J104" s="325"/>
      <c r="K104" s="325"/>
      <c r="L104" s="325"/>
      <c r="M104" s="326"/>
      <c r="N104" s="325"/>
      <c r="O104" s="325"/>
      <c r="P104" s="325"/>
      <c r="Q104" s="325"/>
      <c r="R104" s="326"/>
    </row>
    <row r="105" customFormat="false" ht="14.35" hidden="false" customHeight="false" outlineLevel="0" collapsed="false">
      <c r="A105" s="320"/>
      <c r="B105" s="320"/>
      <c r="C105" s="329"/>
      <c r="D105" s="329"/>
      <c r="E105" s="322" t="str">
        <f aca="false">IF(OR(A105="",S105=""),"",AVERAGE())</f>
        <v/>
      </c>
      <c r="F105" s="322" t="str">
        <f aca="false">IF(OR(A105="",S105=""),"",_xlfn.STDEV.S())</f>
        <v/>
      </c>
      <c r="G105" s="323" t="str">
        <f aca="false">IF(OR(A105="",S105=""),"",ROUNDUP((F105)/(SQRT($H$2/2)),2))</f>
        <v/>
      </c>
      <c r="H105" s="327"/>
      <c r="I105" s="325"/>
      <c r="J105" s="325"/>
      <c r="K105" s="325"/>
      <c r="L105" s="325"/>
      <c r="M105" s="326"/>
      <c r="N105" s="325"/>
      <c r="O105" s="325"/>
      <c r="P105" s="325"/>
      <c r="Q105" s="325"/>
      <c r="R105" s="326"/>
    </row>
    <row r="106" customFormat="false" ht="14.35" hidden="false" customHeight="false" outlineLevel="0" collapsed="false">
      <c r="A106" s="320"/>
      <c r="B106" s="320"/>
      <c r="C106" s="329"/>
      <c r="D106" s="329"/>
      <c r="E106" s="322" t="str">
        <f aca="false">IF(OR(A106="",S106=""),"",AVERAGE())</f>
        <v/>
      </c>
      <c r="F106" s="322" t="str">
        <f aca="false">IF(OR(A106="",S106=""),"",_xlfn.STDEV.S())</f>
        <v/>
      </c>
      <c r="G106" s="323" t="str">
        <f aca="false">IF(OR(A106="",S106=""),"",ROUNDUP((F106)/(SQRT($H$2/2)),2))</f>
        <v/>
      </c>
      <c r="H106" s="327"/>
      <c r="I106" s="325"/>
      <c r="J106" s="325"/>
      <c r="K106" s="325"/>
      <c r="L106" s="325"/>
      <c r="M106" s="326"/>
      <c r="N106" s="325"/>
      <c r="O106" s="325"/>
      <c r="P106" s="325"/>
      <c r="Q106" s="325"/>
      <c r="R106" s="326"/>
    </row>
    <row r="107" customFormat="false" ht="14.35" hidden="false" customHeight="false" outlineLevel="0" collapsed="false">
      <c r="A107" s="320"/>
      <c r="B107" s="320"/>
      <c r="C107" s="329"/>
      <c r="D107" s="329"/>
      <c r="E107" s="322" t="str">
        <f aca="false">IF(OR(A107="",S107=""),"",AVERAGE())</f>
        <v/>
      </c>
      <c r="F107" s="322" t="str">
        <f aca="false">IF(OR(A107="",S107=""),"",_xlfn.STDEV.S())</f>
        <v/>
      </c>
      <c r="G107" s="323" t="str">
        <f aca="false">IF(OR(A107="",S107=""),"",ROUNDUP((F107)/(SQRT($H$2/2)),2))</f>
        <v/>
      </c>
      <c r="H107" s="327"/>
      <c r="I107" s="325"/>
      <c r="J107" s="325"/>
      <c r="K107" s="325"/>
      <c r="L107" s="325"/>
      <c r="M107" s="326"/>
      <c r="N107" s="325"/>
      <c r="O107" s="325"/>
      <c r="P107" s="325"/>
      <c r="Q107" s="325"/>
      <c r="R107" s="326"/>
    </row>
    <row r="108" customFormat="false" ht="14.35" hidden="false" customHeight="false" outlineLevel="0" collapsed="false">
      <c r="A108" s="320"/>
      <c r="B108" s="320"/>
      <c r="C108" s="329"/>
      <c r="D108" s="329"/>
      <c r="E108" s="322" t="str">
        <f aca="false">IF(OR(A108="",S108=""),"",AVERAGE())</f>
        <v/>
      </c>
      <c r="F108" s="322" t="str">
        <f aca="false">IF(OR(A108="",S108=""),"",_xlfn.STDEV.S())</f>
        <v/>
      </c>
      <c r="G108" s="323" t="str">
        <f aca="false">IF(OR(A108="",S108=""),"",ROUNDUP((F108)/(SQRT($H$2/2)),2))</f>
        <v/>
      </c>
      <c r="H108" s="327"/>
      <c r="I108" s="325"/>
      <c r="J108" s="325"/>
      <c r="K108" s="325"/>
      <c r="L108" s="325"/>
      <c r="M108" s="326"/>
      <c r="N108" s="325"/>
      <c r="O108" s="325"/>
      <c r="P108" s="325"/>
      <c r="Q108" s="325"/>
      <c r="R108" s="326"/>
    </row>
    <row r="109" customFormat="false" ht="14.35" hidden="false" customHeight="false" outlineLevel="0" collapsed="false">
      <c r="A109" s="320"/>
      <c r="B109" s="320"/>
      <c r="C109" s="329"/>
      <c r="D109" s="329"/>
      <c r="E109" s="322" t="str">
        <f aca="false">IF(OR(A109="",S109=""),"",AVERAGE())</f>
        <v/>
      </c>
      <c r="F109" s="322" t="str">
        <f aca="false">IF(OR(A109="",S109=""),"",_xlfn.STDEV.S())</f>
        <v/>
      </c>
      <c r="G109" s="323" t="str">
        <f aca="false">IF(OR(A109="",S109=""),"",ROUNDUP((F109)/(SQRT($H$2/2)),2))</f>
        <v/>
      </c>
      <c r="H109" s="327"/>
      <c r="I109" s="325"/>
      <c r="J109" s="325"/>
      <c r="K109" s="325"/>
      <c r="L109" s="325"/>
      <c r="M109" s="326"/>
      <c r="N109" s="325"/>
      <c r="O109" s="325"/>
      <c r="P109" s="325"/>
      <c r="Q109" s="325"/>
      <c r="R109" s="326"/>
    </row>
    <row r="110" customFormat="false" ht="14.35" hidden="false" customHeight="false" outlineLevel="0" collapsed="false">
      <c r="A110" s="320"/>
      <c r="B110" s="320"/>
      <c r="C110" s="329"/>
      <c r="D110" s="329"/>
      <c r="E110" s="322" t="str">
        <f aca="false">IF(OR(A110="",S110=""),"",AVERAGE())</f>
        <v/>
      </c>
      <c r="F110" s="322" t="str">
        <f aca="false">IF(OR(A110="",S110=""),"",_xlfn.STDEV.S())</f>
        <v/>
      </c>
      <c r="G110" s="323" t="str">
        <f aca="false">IF(OR(A110="",S110=""),"",ROUNDUP((F110)/(SQRT($H$2/2)),2))</f>
        <v/>
      </c>
      <c r="H110" s="327"/>
      <c r="I110" s="325"/>
      <c r="J110" s="325"/>
      <c r="K110" s="325"/>
      <c r="L110" s="325"/>
      <c r="M110" s="326"/>
      <c r="N110" s="325"/>
      <c r="O110" s="325"/>
      <c r="P110" s="325"/>
      <c r="Q110" s="325"/>
      <c r="R110" s="326"/>
    </row>
    <row r="111" customFormat="false" ht="14.35" hidden="false" customHeight="false" outlineLevel="0" collapsed="false">
      <c r="A111" s="320"/>
      <c r="B111" s="320"/>
      <c r="C111" s="329"/>
      <c r="D111" s="329"/>
      <c r="E111" s="322" t="str">
        <f aca="false">IF(OR(A111="",S111=""),"",AVERAGE())</f>
        <v/>
      </c>
      <c r="F111" s="322" t="str">
        <f aca="false">IF(OR(A111="",S111=""),"",_xlfn.STDEV.S())</f>
        <v/>
      </c>
      <c r="G111" s="323" t="str">
        <f aca="false">IF(OR(A111="",S111=""),"",ROUNDUP((F111)/(SQRT($H$2/2)),2))</f>
        <v/>
      </c>
      <c r="H111" s="327"/>
      <c r="I111" s="325"/>
      <c r="J111" s="325"/>
      <c r="K111" s="325"/>
      <c r="L111" s="325"/>
      <c r="M111" s="326"/>
      <c r="N111" s="325"/>
      <c r="O111" s="325"/>
      <c r="P111" s="325"/>
      <c r="Q111" s="325"/>
      <c r="R111" s="326"/>
    </row>
    <row r="112" customFormat="false" ht="14.35" hidden="false" customHeight="false" outlineLevel="0" collapsed="false">
      <c r="A112" s="320"/>
      <c r="B112" s="320"/>
      <c r="C112" s="329"/>
      <c r="D112" s="329"/>
      <c r="E112" s="322" t="str">
        <f aca="false">IF(OR(A112="",S112=""),"",AVERAGE())</f>
        <v/>
      </c>
      <c r="F112" s="322" t="str">
        <f aca="false">IF(OR(A112="",S112=""),"",_xlfn.STDEV.S())</f>
        <v/>
      </c>
      <c r="G112" s="323" t="str">
        <f aca="false">IF(OR(A112="",S112=""),"",ROUNDUP((F112)/(SQRT($H$2/2)),2))</f>
        <v/>
      </c>
      <c r="H112" s="327"/>
      <c r="I112" s="325"/>
      <c r="J112" s="325"/>
      <c r="K112" s="325"/>
      <c r="L112" s="325"/>
      <c r="M112" s="326"/>
      <c r="N112" s="325"/>
      <c r="O112" s="325"/>
      <c r="P112" s="325"/>
      <c r="Q112" s="325"/>
      <c r="R112" s="326"/>
    </row>
    <row r="113" customFormat="false" ht="14.35" hidden="false" customHeight="false" outlineLevel="0" collapsed="false">
      <c r="A113" s="320"/>
      <c r="B113" s="320"/>
      <c r="C113" s="329"/>
      <c r="D113" s="329"/>
      <c r="E113" s="322" t="str">
        <f aca="false">IF(OR(A113="",S113=""),"",AVERAGE())</f>
        <v/>
      </c>
      <c r="F113" s="322" t="str">
        <f aca="false">IF(OR(A113="",S113=""),"",_xlfn.STDEV.S())</f>
        <v/>
      </c>
      <c r="G113" s="323" t="str">
        <f aca="false">IF(OR(A113="",S113=""),"",ROUNDUP((F113)/(SQRT($H$2/2)),2))</f>
        <v/>
      </c>
      <c r="H113" s="327"/>
      <c r="I113" s="325"/>
      <c r="J113" s="325"/>
      <c r="K113" s="325"/>
      <c r="L113" s="325"/>
      <c r="M113" s="326"/>
      <c r="N113" s="325"/>
      <c r="O113" s="325"/>
      <c r="P113" s="325"/>
      <c r="Q113" s="325"/>
      <c r="R113" s="326"/>
    </row>
    <row r="114" customFormat="false" ht="14.35" hidden="false" customHeight="false" outlineLevel="0" collapsed="false">
      <c r="A114" s="320"/>
      <c r="B114" s="320"/>
      <c r="C114" s="329"/>
      <c r="D114" s="329"/>
      <c r="E114" s="322" t="str">
        <f aca="false">IF(OR(A114="",S114=""),"",AVERAGE())</f>
        <v/>
      </c>
      <c r="F114" s="322" t="str">
        <f aca="false">IF(OR(A114="",S114=""),"",_xlfn.STDEV.S())</f>
        <v/>
      </c>
      <c r="G114" s="323" t="str">
        <f aca="false">IF(OR(A114="",S114=""),"",ROUNDUP((F114)/(SQRT($H$2/2)),2))</f>
        <v/>
      </c>
      <c r="H114" s="327"/>
      <c r="I114" s="325"/>
      <c r="J114" s="325"/>
      <c r="K114" s="325"/>
      <c r="L114" s="325"/>
      <c r="M114" s="326"/>
      <c r="N114" s="325"/>
      <c r="O114" s="325"/>
      <c r="P114" s="325"/>
      <c r="Q114" s="325"/>
      <c r="R114" s="326"/>
    </row>
    <row r="115" customFormat="false" ht="14.35" hidden="false" customHeight="false" outlineLevel="0" collapsed="false">
      <c r="A115" s="320"/>
      <c r="B115" s="320"/>
      <c r="C115" s="329"/>
      <c r="D115" s="329"/>
      <c r="E115" s="322" t="str">
        <f aca="false">IF(OR(A115="",S115=""),"",AVERAGE())</f>
        <v/>
      </c>
      <c r="F115" s="322" t="str">
        <f aca="false">IF(OR(A115="",S115=""),"",_xlfn.STDEV.S())</f>
        <v/>
      </c>
      <c r="G115" s="323" t="str">
        <f aca="false">IF(OR(A115="",S115=""),"",ROUNDUP((F115)/(SQRT($H$2/2)),2))</f>
        <v/>
      </c>
      <c r="H115" s="327"/>
      <c r="I115" s="325"/>
      <c r="J115" s="325"/>
      <c r="K115" s="325"/>
      <c r="L115" s="325"/>
      <c r="M115" s="326"/>
      <c r="N115" s="325"/>
      <c r="O115" s="325"/>
      <c r="P115" s="325"/>
      <c r="Q115" s="325"/>
      <c r="R115" s="326"/>
    </row>
    <row r="116" customFormat="false" ht="14.35" hidden="false" customHeight="false" outlineLevel="0" collapsed="false">
      <c r="A116" s="320"/>
      <c r="B116" s="320"/>
      <c r="C116" s="329"/>
      <c r="D116" s="329"/>
      <c r="E116" s="322" t="str">
        <f aca="false">IF(OR(A116="",S116=""),"",AVERAGE())</f>
        <v/>
      </c>
      <c r="F116" s="322" t="str">
        <f aca="false">IF(OR(A116="",S116=""),"",_xlfn.STDEV.S())</f>
        <v/>
      </c>
      <c r="G116" s="323" t="str">
        <f aca="false">IF(OR(A116="",S116=""),"",ROUNDUP((F116)/(SQRT($H$2/2)),2))</f>
        <v/>
      </c>
      <c r="H116" s="327"/>
      <c r="I116" s="325"/>
      <c r="J116" s="325"/>
      <c r="K116" s="325"/>
      <c r="L116" s="325"/>
      <c r="M116" s="326"/>
      <c r="N116" s="325"/>
      <c r="O116" s="325"/>
      <c r="P116" s="325"/>
      <c r="Q116" s="325"/>
      <c r="R116" s="326"/>
    </row>
    <row r="117" customFormat="false" ht="14.35" hidden="false" customHeight="false" outlineLevel="0" collapsed="false">
      <c r="A117" s="320"/>
      <c r="B117" s="320"/>
      <c r="C117" s="329"/>
      <c r="D117" s="329"/>
      <c r="E117" s="322" t="str">
        <f aca="false">IF(OR(A117="",S117=""),"",AVERAGE())</f>
        <v/>
      </c>
      <c r="F117" s="322" t="str">
        <f aca="false">IF(OR(A117="",S117=""),"",_xlfn.STDEV.S())</f>
        <v/>
      </c>
      <c r="G117" s="323" t="str">
        <f aca="false">IF(OR(A117="",S117=""),"",ROUNDUP((F117)/(SQRT($H$2/2)),2))</f>
        <v/>
      </c>
      <c r="H117" s="327"/>
      <c r="I117" s="325"/>
      <c r="J117" s="325"/>
      <c r="K117" s="325"/>
      <c r="L117" s="325"/>
      <c r="M117" s="326"/>
      <c r="N117" s="325"/>
      <c r="O117" s="325"/>
      <c r="P117" s="325"/>
      <c r="Q117" s="325"/>
      <c r="R117" s="326"/>
    </row>
    <row r="118" customFormat="false" ht="14.35" hidden="false" customHeight="false" outlineLevel="0" collapsed="false">
      <c r="A118" s="320"/>
      <c r="B118" s="320"/>
      <c r="C118" s="329"/>
      <c r="D118" s="329"/>
      <c r="E118" s="322" t="str">
        <f aca="false">IF(OR(A118="",S118=""),"",AVERAGE())</f>
        <v/>
      </c>
      <c r="F118" s="322" t="str">
        <f aca="false">IF(OR(A118="",S118=""),"",_xlfn.STDEV.S())</f>
        <v/>
      </c>
      <c r="G118" s="323" t="str">
        <f aca="false">IF(OR(A118="",S118=""),"",ROUNDUP((F118)/(SQRT($H$2/2)),2))</f>
        <v/>
      </c>
      <c r="H118" s="327"/>
      <c r="I118" s="325"/>
      <c r="J118" s="325"/>
      <c r="K118" s="325"/>
      <c r="L118" s="325"/>
      <c r="M118" s="326"/>
      <c r="N118" s="325"/>
      <c r="O118" s="325"/>
      <c r="P118" s="325"/>
      <c r="Q118" s="325"/>
      <c r="R118" s="326"/>
    </row>
    <row r="119" customFormat="false" ht="14.35" hidden="false" customHeight="false" outlineLevel="0" collapsed="false">
      <c r="A119" s="320"/>
      <c r="B119" s="320"/>
      <c r="C119" s="329"/>
      <c r="D119" s="329"/>
      <c r="E119" s="322" t="str">
        <f aca="false">IF(OR(A119="",S119=""),"",AVERAGE())</f>
        <v/>
      </c>
      <c r="F119" s="322" t="str">
        <f aca="false">IF(OR(A119="",S119=""),"",_xlfn.STDEV.S())</f>
        <v/>
      </c>
      <c r="G119" s="323" t="str">
        <f aca="false">IF(OR(A119="",S119=""),"",ROUNDUP((F119)/(SQRT($H$2/2)),2))</f>
        <v/>
      </c>
      <c r="H119" s="327"/>
      <c r="I119" s="325"/>
      <c r="J119" s="325"/>
      <c r="K119" s="325"/>
      <c r="L119" s="325"/>
      <c r="M119" s="326"/>
      <c r="N119" s="325"/>
      <c r="O119" s="325"/>
      <c r="P119" s="325"/>
      <c r="Q119" s="325"/>
      <c r="R119" s="326"/>
    </row>
    <row r="120" customFormat="false" ht="14.35" hidden="false" customHeight="false" outlineLevel="0" collapsed="false">
      <c r="A120" s="320"/>
      <c r="B120" s="320"/>
      <c r="C120" s="329"/>
      <c r="D120" s="329"/>
      <c r="E120" s="322" t="str">
        <f aca="false">IF(OR(A120="",S120=""),"",AVERAGE())</f>
        <v/>
      </c>
      <c r="F120" s="322" t="str">
        <f aca="false">IF(OR(A120="",S120=""),"",_xlfn.STDEV.S())</f>
        <v/>
      </c>
      <c r="G120" s="323" t="str">
        <f aca="false">IF(OR(A120="",S120=""),"",ROUNDUP((F120)/(SQRT($H$2/2)),2))</f>
        <v/>
      </c>
      <c r="H120" s="327"/>
      <c r="I120" s="325"/>
      <c r="J120" s="325"/>
      <c r="K120" s="325"/>
      <c r="L120" s="325"/>
      <c r="M120" s="326"/>
      <c r="N120" s="325"/>
      <c r="O120" s="325"/>
      <c r="P120" s="325"/>
      <c r="Q120" s="325"/>
      <c r="R120" s="326"/>
    </row>
    <row r="121" customFormat="false" ht="14.35" hidden="false" customHeight="false" outlineLevel="0" collapsed="false">
      <c r="A121" s="320"/>
      <c r="B121" s="320"/>
      <c r="C121" s="329"/>
      <c r="D121" s="329"/>
      <c r="E121" s="322" t="str">
        <f aca="false">IF(OR(A121="",S121=""),"",AVERAGE())</f>
        <v/>
      </c>
      <c r="F121" s="322" t="str">
        <f aca="false">IF(OR(A121="",S121=""),"",_xlfn.STDEV.S())</f>
        <v/>
      </c>
      <c r="G121" s="323" t="str">
        <f aca="false">IF(OR(A121="",S121=""),"",ROUNDUP((F121)/(SQRT($H$2/2)),2))</f>
        <v/>
      </c>
      <c r="H121" s="327"/>
      <c r="I121" s="325"/>
      <c r="J121" s="325"/>
      <c r="K121" s="325"/>
      <c r="L121" s="325"/>
      <c r="M121" s="326"/>
      <c r="N121" s="325"/>
      <c r="O121" s="325"/>
      <c r="P121" s="325"/>
      <c r="Q121" s="325"/>
      <c r="R121" s="326"/>
    </row>
    <row r="122" customFormat="false" ht="14.35" hidden="false" customHeight="false" outlineLevel="0" collapsed="false">
      <c r="A122" s="320"/>
      <c r="B122" s="320"/>
      <c r="C122" s="329"/>
      <c r="D122" s="329"/>
      <c r="E122" s="322" t="str">
        <f aca="false">IF(OR(A122="",S122=""),"",AVERAGE())</f>
        <v/>
      </c>
      <c r="F122" s="322" t="str">
        <f aca="false">IF(OR(A122="",S122=""),"",_xlfn.STDEV.S())</f>
        <v/>
      </c>
      <c r="G122" s="323" t="str">
        <f aca="false">IF(OR(A122="",S122=""),"",ROUNDUP((F122)/(SQRT($H$2/2)),2))</f>
        <v/>
      </c>
      <c r="H122" s="327"/>
      <c r="I122" s="325"/>
      <c r="J122" s="325"/>
      <c r="K122" s="325"/>
      <c r="L122" s="325"/>
      <c r="M122" s="326"/>
      <c r="N122" s="325"/>
      <c r="O122" s="325"/>
      <c r="P122" s="325"/>
      <c r="Q122" s="325"/>
      <c r="R122" s="326"/>
    </row>
    <row r="123" customFormat="false" ht="14.35" hidden="false" customHeight="false" outlineLevel="0" collapsed="false">
      <c r="A123" s="320"/>
      <c r="B123" s="320"/>
      <c r="C123" s="329"/>
      <c r="D123" s="329"/>
      <c r="E123" s="322" t="str">
        <f aca="false">IF(OR(A123="",S123=""),"",AVERAGE())</f>
        <v/>
      </c>
      <c r="F123" s="322" t="str">
        <f aca="false">IF(OR(A123="",S123=""),"",_xlfn.STDEV.S())</f>
        <v/>
      </c>
      <c r="G123" s="323" t="str">
        <f aca="false">IF(OR(A123="",S123=""),"",ROUNDUP((F123)/(SQRT($H$2/2)),2))</f>
        <v/>
      </c>
      <c r="H123" s="327"/>
      <c r="I123" s="325"/>
      <c r="J123" s="325"/>
      <c r="K123" s="325"/>
      <c r="L123" s="325"/>
      <c r="M123" s="326"/>
      <c r="N123" s="325"/>
      <c r="O123" s="325"/>
      <c r="P123" s="325"/>
      <c r="Q123" s="325"/>
      <c r="R123" s="326"/>
    </row>
    <row r="124" customFormat="false" ht="14.35" hidden="false" customHeight="false" outlineLevel="0" collapsed="false">
      <c r="A124" s="330"/>
      <c r="B124" s="330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1.50390625" defaultRowHeight="15" zeroHeight="false" outlineLevelRow="0" outlineLevelCol="0"/>
  <cols>
    <col collapsed="false" customWidth="true" hidden="false" outlineLevel="0" max="1" min="1" style="2" width="32"/>
    <col collapsed="false" customWidth="false" hidden="false" outlineLevel="0" max="2" min="2" style="2" width="11.5"/>
    <col collapsed="false" customWidth="true" hidden="false" outlineLevel="0" max="3" min="3" style="2" width="19"/>
    <col collapsed="false" customWidth="true" hidden="false" outlineLevel="0" max="4" min="4" style="2" width="14.34"/>
    <col collapsed="false" customWidth="true" hidden="false" outlineLevel="0" max="5" min="5" style="2" width="19.5"/>
    <col collapsed="false" customWidth="true" hidden="false" outlineLevel="0" max="6" min="6" style="2" width="16.17"/>
    <col collapsed="false" customWidth="false" hidden="false" outlineLevel="0" max="16384" min="7" style="2" width="11.5"/>
  </cols>
  <sheetData>
    <row r="2" customFormat="false" ht="49.5" hidden="false" customHeight="false" outlineLevel="0" collapsed="false">
      <c r="A2" s="60" t="s">
        <v>490</v>
      </c>
      <c r="B2" s="60" t="s">
        <v>491</v>
      </c>
      <c r="C2" s="60" t="s">
        <v>492</v>
      </c>
      <c r="D2" s="60" t="s">
        <v>493</v>
      </c>
      <c r="E2" s="60" t="s">
        <v>494</v>
      </c>
      <c r="F2" s="60" t="s">
        <v>495</v>
      </c>
    </row>
    <row r="3" customFormat="false" ht="15.75" hidden="false" customHeight="false" outlineLevel="0" collapsed="false">
      <c r="A3" s="331" t="str">
        <f aca="false">_xlfn.CONCAT(C3," ",B3)</f>
        <v>Acero Mitutoyo</v>
      </c>
      <c r="B3" s="332" t="s">
        <v>496</v>
      </c>
      <c r="C3" s="332" t="s">
        <v>497</v>
      </c>
      <c r="D3" s="333" t="n">
        <v>1.09E-005</v>
      </c>
      <c r="E3" s="332" t="n">
        <v>20.6</v>
      </c>
      <c r="F3" s="334" t="n">
        <v>0.3</v>
      </c>
    </row>
    <row r="4" customFormat="false" ht="15.75" hidden="false" customHeight="false" outlineLevel="0" collapsed="false">
      <c r="A4" s="335" t="str">
        <f aca="false">_xlfn.CONCAT(C4," ",B4)</f>
        <v>Acero TESA</v>
      </c>
      <c r="B4" s="336" t="s">
        <v>498</v>
      </c>
      <c r="C4" s="336" t="s">
        <v>497</v>
      </c>
      <c r="D4" s="337" t="n">
        <v>1.15E-005</v>
      </c>
      <c r="E4" s="336" t="n">
        <v>21</v>
      </c>
      <c r="F4" s="338" t="n">
        <v>0.3</v>
      </c>
    </row>
    <row r="5" customFormat="false" ht="15.75" hidden="false" customHeight="false" outlineLevel="0" collapsed="false">
      <c r="A5" s="335" t="str">
        <f aca="false">_xlfn.CONCAT(C5," ",B5)</f>
        <v>Cerámica Mitutoyo</v>
      </c>
      <c r="B5" s="336" t="s">
        <v>496</v>
      </c>
      <c r="C5" s="336" t="s">
        <v>460</v>
      </c>
      <c r="D5" s="337" t="n">
        <v>9.3E-006</v>
      </c>
      <c r="E5" s="336" t="n">
        <v>20.6</v>
      </c>
      <c r="F5" s="338" t="n">
        <v>0.3</v>
      </c>
    </row>
    <row r="6" customFormat="false" ht="15.75" hidden="false" customHeight="false" outlineLevel="0" collapsed="false">
      <c r="A6" s="335" t="str">
        <f aca="false">_xlfn.CONCAT(C6," ",B6)</f>
        <v>Cerámica TESA</v>
      </c>
      <c r="B6" s="336" t="s">
        <v>498</v>
      </c>
      <c r="C6" s="336" t="s">
        <v>460</v>
      </c>
      <c r="D6" s="337" t="n">
        <v>9.7E-006</v>
      </c>
      <c r="E6" s="336" t="n">
        <v>21</v>
      </c>
      <c r="F6" s="338" t="n">
        <v>0.3</v>
      </c>
    </row>
    <row r="7" customFormat="false" ht="15.75" hidden="false" customHeight="false" outlineLevel="0" collapsed="false">
      <c r="A7" s="335" t="str">
        <f aca="false">_xlfn.CONCAT(C7," ",B7)</f>
        <v>Carburo de Tungsteno  Fawler</v>
      </c>
      <c r="B7" s="336" t="s">
        <v>499</v>
      </c>
      <c r="C7" s="336" t="s">
        <v>500</v>
      </c>
      <c r="D7" s="339" t="n">
        <v>4.23E-006</v>
      </c>
      <c r="E7" s="336" t="n">
        <v>62</v>
      </c>
      <c r="F7" s="338" t="n">
        <v>0.2</v>
      </c>
    </row>
    <row r="8" customFormat="false" ht="15.75" hidden="false" customHeight="false" outlineLevel="0" collapsed="false">
      <c r="A8" s="335" t="str">
        <f aca="false">_xlfn.CONCAT(C8," ",B8)</f>
        <v>Carburo de Tungsteno Mitutoyo</v>
      </c>
      <c r="B8" s="336" t="s">
        <v>496</v>
      </c>
      <c r="C8" s="336" t="s">
        <v>500</v>
      </c>
      <c r="D8" s="337" t="n">
        <v>5.5E-006</v>
      </c>
      <c r="E8" s="336" t="n">
        <v>61.8</v>
      </c>
      <c r="F8" s="338" t="n">
        <v>0.2</v>
      </c>
    </row>
    <row r="9" customFormat="false" ht="15.75" hidden="false" customHeight="false" outlineLevel="0" collapsed="false">
      <c r="A9" s="335" t="str">
        <f aca="false">_xlfn.CONCAT(C9," ",B9)</f>
        <v>Carburo de Cromo Starret</v>
      </c>
      <c r="B9" s="336" t="s">
        <v>501</v>
      </c>
      <c r="C9" s="336" t="s">
        <v>502</v>
      </c>
      <c r="D9" s="337" t="n">
        <v>8.5E-006</v>
      </c>
      <c r="E9" s="336" t="n">
        <v>34</v>
      </c>
      <c r="F9" s="338" t="n">
        <v>0.28</v>
      </c>
    </row>
    <row r="10" customFormat="false" ht="15.75" hidden="false" customHeight="false" outlineLevel="0" collapsed="false">
      <c r="A10" s="335" t="str">
        <f aca="false">_xlfn.CONCAT(C10," ",B10)</f>
        <v>Carburo de Cromo Estándar</v>
      </c>
      <c r="B10" s="336" t="s">
        <v>503</v>
      </c>
      <c r="C10" s="336" t="s">
        <v>502</v>
      </c>
      <c r="D10" s="337" t="n">
        <v>8.6E-006</v>
      </c>
      <c r="E10" s="336" t="n">
        <v>33.9</v>
      </c>
      <c r="F10" s="338" t="n">
        <v>0.28</v>
      </c>
    </row>
    <row r="11" customFormat="false" ht="15" hidden="false" customHeight="false" outlineLevel="0" collapsed="false">
      <c r="A11" s="340" t="str">
        <f aca="false">_xlfn.CONCAT(C11," ",B11)</f>
        <v> </v>
      </c>
      <c r="B11" s="292"/>
      <c r="C11" s="292"/>
      <c r="D11" s="292"/>
      <c r="E11" s="292"/>
      <c r="F11" s="341"/>
    </row>
    <row r="12" customFormat="false" ht="15" hidden="false" customHeight="false" outlineLevel="0" collapsed="false">
      <c r="A12" s="340" t="str">
        <f aca="false">_xlfn.CONCAT(C12," ",B12)</f>
        <v> </v>
      </c>
      <c r="B12" s="292"/>
      <c r="C12" s="292"/>
      <c r="D12" s="292"/>
      <c r="E12" s="292"/>
      <c r="F12" s="341"/>
    </row>
    <row r="13" customFormat="false" ht="15" hidden="false" customHeight="false" outlineLevel="0" collapsed="false">
      <c r="A13" s="340" t="str">
        <f aca="false">_xlfn.CONCAT(C13," ",B13)</f>
        <v> </v>
      </c>
      <c r="B13" s="292"/>
      <c r="C13" s="292"/>
      <c r="D13" s="292"/>
      <c r="E13" s="292"/>
      <c r="F13" s="341"/>
    </row>
    <row r="14" customFormat="false" ht="15" hidden="false" customHeight="false" outlineLevel="0" collapsed="false">
      <c r="A14" s="340" t="str">
        <f aca="false">_xlfn.CONCAT(C14," ",B14)</f>
        <v> </v>
      </c>
      <c r="B14" s="292"/>
      <c r="C14" s="292"/>
      <c r="D14" s="292"/>
      <c r="E14" s="292"/>
      <c r="F14" s="341"/>
    </row>
    <row r="15" customFormat="false" ht="15" hidden="false" customHeight="false" outlineLevel="0" collapsed="false">
      <c r="A15" s="340" t="str">
        <f aca="false">_xlfn.CONCAT(C15," ",B15)</f>
        <v> </v>
      </c>
      <c r="B15" s="292"/>
      <c r="C15" s="292"/>
      <c r="D15" s="292"/>
      <c r="E15" s="292"/>
      <c r="F15" s="341"/>
    </row>
    <row r="16" customFormat="false" ht="15" hidden="false" customHeight="false" outlineLevel="0" collapsed="false">
      <c r="A16" s="340" t="str">
        <f aca="false">_xlfn.CONCAT(C16," ",B16)</f>
        <v> </v>
      </c>
      <c r="B16" s="292"/>
      <c r="C16" s="292"/>
      <c r="D16" s="292"/>
      <c r="E16" s="292"/>
      <c r="F16" s="341"/>
    </row>
    <row r="17" customFormat="false" ht="15" hidden="false" customHeight="false" outlineLevel="0" collapsed="false">
      <c r="A17" s="340" t="str">
        <f aca="false">_xlfn.CONCAT(C17," ",B17)</f>
        <v> </v>
      </c>
      <c r="B17" s="292"/>
      <c r="C17" s="292"/>
      <c r="D17" s="292"/>
      <c r="E17" s="292"/>
      <c r="F17" s="341"/>
    </row>
    <row r="18" customFormat="false" ht="15" hidden="false" customHeight="false" outlineLevel="0" collapsed="false">
      <c r="A18" s="340" t="str">
        <f aca="false">_xlfn.CONCAT(C18," ",B18)</f>
        <v> </v>
      </c>
      <c r="B18" s="292"/>
      <c r="C18" s="292"/>
      <c r="D18" s="292"/>
      <c r="E18" s="292"/>
      <c r="F18" s="341"/>
    </row>
    <row r="19" customFormat="false" ht="15" hidden="false" customHeight="false" outlineLevel="0" collapsed="false">
      <c r="A19" s="340" t="str">
        <f aca="false">_xlfn.CONCAT(C19," ",B19)</f>
        <v> </v>
      </c>
      <c r="B19" s="292"/>
      <c r="C19" s="292"/>
      <c r="D19" s="292"/>
      <c r="E19" s="292"/>
      <c r="F19" s="341"/>
    </row>
    <row r="20" customFormat="false" ht="15" hidden="false" customHeight="false" outlineLevel="0" collapsed="false">
      <c r="A20" s="340" t="str">
        <f aca="false">_xlfn.CONCAT(C20," ",B20)</f>
        <v> </v>
      </c>
      <c r="B20" s="292"/>
      <c r="C20" s="292"/>
      <c r="D20" s="292"/>
      <c r="E20" s="292"/>
      <c r="F20" s="341"/>
    </row>
    <row r="21" customFormat="false" ht="15" hidden="false" customHeight="false" outlineLevel="0" collapsed="false">
      <c r="A21" s="340" t="str">
        <f aca="false">_xlfn.CONCAT(C21," ",B21)</f>
        <v> </v>
      </c>
      <c r="B21" s="292"/>
      <c r="C21" s="292"/>
      <c r="D21" s="292"/>
      <c r="E21" s="292"/>
      <c r="F21" s="341"/>
    </row>
    <row r="22" customFormat="false" ht="15" hidden="false" customHeight="false" outlineLevel="0" collapsed="false">
      <c r="A22" s="342" t="str">
        <f aca="false">_xlfn.CONCAT(C22," ",B22)</f>
        <v> </v>
      </c>
      <c r="B22" s="343"/>
      <c r="C22" s="343"/>
      <c r="D22" s="343"/>
      <c r="E22" s="343"/>
      <c r="F22" s="34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BI198"/>
  <sheetViews>
    <sheetView showFormulas="false" showGridLines="true" showRowColHeaders="true" showZeros="true" rightToLeft="false" tabSelected="false" showOutlineSymbols="true" defaultGridColor="true" view="normal" topLeftCell="A61" colorId="64" zoomScale="100" zoomScaleNormal="100" zoomScalePageLayoutView="100" workbookViewId="0">
      <selection pane="topLeft" activeCell="D19" activeCellId="0" sqref="D19"/>
    </sheetView>
  </sheetViews>
  <sheetFormatPr defaultColWidth="11.50390625" defaultRowHeight="12.75" zeroHeight="false" outlineLevelRow="0" outlineLevelCol="0"/>
  <cols>
    <col collapsed="false" customWidth="true" hidden="false" outlineLevel="0" max="12" min="1" style="76" width="8.67"/>
    <col collapsed="false" customWidth="false" hidden="false" outlineLevel="0" max="16384" min="13" style="76" width="11.5"/>
  </cols>
  <sheetData>
    <row r="1" customFormat="false" ht="12.75" hidden="false" customHeight="true" outlineLevel="0" collapsed="false">
      <c r="A1" s="345"/>
      <c r="B1" s="346"/>
      <c r="C1" s="347"/>
      <c r="D1" s="348"/>
      <c r="E1" s="348"/>
      <c r="F1" s="348"/>
      <c r="G1" s="348"/>
      <c r="H1" s="348"/>
      <c r="I1" s="348"/>
      <c r="J1" s="349" t="s">
        <v>504</v>
      </c>
      <c r="K1" s="349"/>
      <c r="L1" s="349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  <c r="AS1" s="350"/>
      <c r="AT1" s="350"/>
      <c r="AU1" s="350"/>
      <c r="AV1" s="350"/>
      <c r="AW1" s="350"/>
      <c r="AX1" s="350"/>
      <c r="AY1" s="350"/>
      <c r="AZ1" s="350"/>
      <c r="BA1" s="350"/>
      <c r="BB1" s="350"/>
      <c r="BC1" s="350"/>
      <c r="BD1" s="350"/>
      <c r="BE1" s="350"/>
      <c r="BF1" s="350"/>
      <c r="BG1" s="350"/>
      <c r="BH1" s="350"/>
      <c r="BI1" s="350"/>
    </row>
    <row r="2" customFormat="false" ht="13.5" hidden="false" customHeight="true" outlineLevel="0" collapsed="false">
      <c r="A2" s="351"/>
      <c r="B2" s="352"/>
      <c r="C2" s="353"/>
      <c r="D2" s="354" t="s">
        <v>505</v>
      </c>
      <c r="E2" s="354"/>
      <c r="F2" s="354"/>
      <c r="G2" s="354"/>
      <c r="H2" s="354"/>
      <c r="I2" s="354"/>
      <c r="J2" s="355" t="s">
        <v>506</v>
      </c>
      <c r="K2" s="355"/>
      <c r="L2" s="355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0"/>
      <c r="AM2" s="350"/>
      <c r="AN2" s="350"/>
      <c r="AO2" s="350"/>
      <c r="AP2" s="350"/>
      <c r="AQ2" s="350"/>
      <c r="AR2" s="350"/>
      <c r="AS2" s="350"/>
      <c r="AT2" s="350"/>
      <c r="AU2" s="350"/>
      <c r="AV2" s="350"/>
      <c r="AW2" s="350"/>
      <c r="AX2" s="350"/>
      <c r="AY2" s="350"/>
      <c r="AZ2" s="350"/>
      <c r="BA2" s="350"/>
      <c r="BB2" s="350"/>
      <c r="BC2" s="350"/>
      <c r="BD2" s="350"/>
      <c r="BE2" s="350"/>
      <c r="BF2" s="350"/>
      <c r="BG2" s="350"/>
      <c r="BH2" s="350"/>
      <c r="BI2" s="350"/>
    </row>
    <row r="3" customFormat="false" ht="12.75" hidden="false" customHeight="true" outlineLevel="0" collapsed="false">
      <c r="A3" s="351"/>
      <c r="B3" s="352"/>
      <c r="C3" s="353"/>
      <c r="D3" s="356" t="s">
        <v>507</v>
      </c>
      <c r="E3" s="356"/>
      <c r="F3" s="356"/>
      <c r="G3" s="356"/>
      <c r="H3" s="356"/>
      <c r="I3" s="356"/>
      <c r="J3" s="349" t="s">
        <v>508</v>
      </c>
      <c r="K3" s="349"/>
      <c r="L3" s="349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0"/>
      <c r="AD3" s="350"/>
      <c r="AE3" s="350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/>
      <c r="BB3" s="350"/>
      <c r="BC3" s="350"/>
      <c r="BD3" s="350"/>
      <c r="BE3" s="350"/>
      <c r="BF3" s="350"/>
      <c r="BG3" s="350"/>
      <c r="BH3" s="350"/>
      <c r="BI3" s="350"/>
    </row>
    <row r="4" customFormat="false" ht="13.5" hidden="false" customHeight="false" outlineLevel="0" collapsed="false">
      <c r="A4" s="351"/>
      <c r="B4" s="352"/>
      <c r="C4" s="353"/>
      <c r="D4" s="356"/>
      <c r="E4" s="356"/>
      <c r="F4" s="356"/>
      <c r="G4" s="356"/>
      <c r="H4" s="356"/>
      <c r="I4" s="356"/>
      <c r="J4" s="355" t="n">
        <v>3</v>
      </c>
      <c r="K4" s="355"/>
      <c r="L4" s="355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0"/>
      <c r="AD4" s="350"/>
      <c r="AE4" s="350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  <c r="AS4" s="350"/>
      <c r="AT4" s="350"/>
      <c r="AU4" s="350"/>
      <c r="AV4" s="350"/>
      <c r="AW4" s="350"/>
      <c r="AX4" s="350"/>
      <c r="AY4" s="350"/>
      <c r="AZ4" s="350"/>
      <c r="BA4" s="350"/>
      <c r="BB4" s="350"/>
      <c r="BC4" s="350"/>
      <c r="BD4" s="350"/>
      <c r="BE4" s="350"/>
      <c r="BF4" s="350"/>
      <c r="BG4" s="350"/>
      <c r="BH4" s="350"/>
      <c r="BI4" s="350"/>
    </row>
    <row r="5" customFormat="false" ht="12.75" hidden="false" customHeight="true" outlineLevel="0" collapsed="false">
      <c r="A5" s="351"/>
      <c r="B5" s="352"/>
      <c r="C5" s="353"/>
      <c r="D5" s="356"/>
      <c r="E5" s="356"/>
      <c r="F5" s="356"/>
      <c r="G5" s="356"/>
      <c r="H5" s="356"/>
      <c r="I5" s="356"/>
      <c r="J5" s="349" t="s">
        <v>509</v>
      </c>
      <c r="K5" s="349"/>
      <c r="L5" s="349"/>
      <c r="M5" s="350"/>
      <c r="N5" s="350"/>
      <c r="O5" s="350"/>
      <c r="P5" s="350"/>
      <c r="Q5" s="350"/>
      <c r="R5" s="350"/>
      <c r="S5" s="350"/>
      <c r="T5" s="350"/>
      <c r="U5" s="350"/>
      <c r="V5" s="350"/>
      <c r="W5" s="350"/>
      <c r="X5" s="350"/>
      <c r="Y5" s="350"/>
      <c r="Z5" s="350"/>
      <c r="AA5" s="350"/>
      <c r="AB5" s="350"/>
      <c r="AC5" s="350"/>
      <c r="AD5" s="350"/>
      <c r="AE5" s="350"/>
      <c r="AF5" s="350"/>
      <c r="AG5" s="350"/>
      <c r="AH5" s="350"/>
      <c r="AI5" s="350"/>
      <c r="AJ5" s="350"/>
      <c r="AK5" s="350"/>
      <c r="AL5" s="350"/>
      <c r="AM5" s="350"/>
      <c r="AN5" s="350"/>
      <c r="AO5" s="350"/>
      <c r="AP5" s="350"/>
      <c r="AQ5" s="350"/>
      <c r="AR5" s="350"/>
      <c r="AS5" s="350"/>
      <c r="AT5" s="350"/>
      <c r="AU5" s="350"/>
      <c r="AV5" s="350"/>
      <c r="AW5" s="350"/>
      <c r="AX5" s="350"/>
      <c r="AY5" s="350"/>
      <c r="AZ5" s="350"/>
      <c r="BA5" s="350"/>
      <c r="BB5" s="350"/>
      <c r="BC5" s="350"/>
      <c r="BD5" s="350"/>
      <c r="BE5" s="350"/>
      <c r="BF5" s="350"/>
      <c r="BG5" s="350"/>
      <c r="BH5" s="350"/>
      <c r="BI5" s="350"/>
    </row>
    <row r="6" customFormat="false" ht="13.5" hidden="false" customHeight="true" outlineLevel="0" collapsed="false">
      <c r="A6" s="351"/>
      <c r="B6" s="352"/>
      <c r="C6" s="353"/>
      <c r="D6" s="356"/>
      <c r="E6" s="356"/>
      <c r="F6" s="356"/>
      <c r="G6" s="356"/>
      <c r="H6" s="356"/>
      <c r="I6" s="356"/>
      <c r="J6" s="357" t="n">
        <v>42216</v>
      </c>
      <c r="K6" s="357"/>
      <c r="L6" s="357"/>
      <c r="M6" s="350"/>
      <c r="N6" s="350"/>
      <c r="O6" s="350"/>
      <c r="P6" s="350"/>
      <c r="Q6" s="350"/>
      <c r="R6" s="350"/>
      <c r="S6" s="350"/>
      <c r="T6" s="350"/>
      <c r="U6" s="350"/>
      <c r="V6" s="350"/>
      <c r="W6" s="350"/>
      <c r="X6" s="350"/>
      <c r="Y6" s="350"/>
      <c r="Z6" s="350"/>
      <c r="AA6" s="350"/>
      <c r="AB6" s="350"/>
      <c r="AC6" s="350"/>
      <c r="AD6" s="350"/>
      <c r="AE6" s="350"/>
      <c r="AF6" s="350"/>
      <c r="AG6" s="350"/>
      <c r="AH6" s="350"/>
      <c r="AI6" s="350"/>
      <c r="AJ6" s="350"/>
      <c r="AK6" s="350"/>
      <c r="AL6" s="350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350"/>
      <c r="AY6" s="350"/>
      <c r="AZ6" s="350"/>
      <c r="BA6" s="350"/>
      <c r="BB6" s="350"/>
      <c r="BC6" s="350"/>
      <c r="BD6" s="350"/>
      <c r="BE6" s="350"/>
      <c r="BF6" s="350"/>
      <c r="BG6" s="350"/>
      <c r="BH6" s="350"/>
      <c r="BI6" s="350"/>
    </row>
    <row r="7" customFormat="false" ht="12.75" hidden="false" customHeight="true" outlineLevel="0" collapsed="false">
      <c r="A7" s="351"/>
      <c r="B7" s="352"/>
      <c r="C7" s="353"/>
      <c r="D7" s="356" t="s">
        <v>510</v>
      </c>
      <c r="E7" s="356"/>
      <c r="F7" s="356"/>
      <c r="G7" s="356"/>
      <c r="H7" s="356"/>
      <c r="I7" s="356"/>
      <c r="J7" s="358" t="s">
        <v>511</v>
      </c>
      <c r="K7" s="358"/>
      <c r="L7" s="358"/>
      <c r="M7" s="350"/>
      <c r="N7" s="350"/>
      <c r="O7" s="350"/>
      <c r="P7" s="350"/>
      <c r="Q7" s="350"/>
      <c r="R7" s="350"/>
      <c r="S7" s="350"/>
      <c r="T7" s="350"/>
      <c r="U7" s="350"/>
      <c r="V7" s="350"/>
      <c r="W7" s="350"/>
      <c r="X7" s="350"/>
      <c r="Y7" s="350"/>
      <c r="Z7" s="350"/>
      <c r="AA7" s="350"/>
      <c r="AB7" s="350"/>
      <c r="AC7" s="350"/>
      <c r="AD7" s="350"/>
      <c r="AE7" s="350"/>
      <c r="AF7" s="350"/>
      <c r="AG7" s="350"/>
      <c r="AH7" s="350"/>
      <c r="AI7" s="350"/>
      <c r="AJ7" s="350"/>
      <c r="AK7" s="350"/>
      <c r="AL7" s="350"/>
      <c r="AM7" s="350"/>
      <c r="AN7" s="350"/>
      <c r="AO7" s="350"/>
      <c r="AP7" s="350"/>
      <c r="AQ7" s="350"/>
      <c r="AR7" s="350"/>
      <c r="AS7" s="350"/>
      <c r="AT7" s="350"/>
      <c r="AU7" s="350"/>
      <c r="AV7" s="350"/>
      <c r="AW7" s="350"/>
      <c r="AX7" s="350"/>
      <c r="AY7" s="350"/>
      <c r="AZ7" s="350"/>
      <c r="BA7" s="350"/>
      <c r="BB7" s="350"/>
      <c r="BC7" s="350"/>
      <c r="BD7" s="350"/>
      <c r="BE7" s="350"/>
      <c r="BF7" s="350"/>
      <c r="BG7" s="350"/>
      <c r="BH7" s="350"/>
      <c r="BI7" s="350"/>
    </row>
    <row r="8" customFormat="false" ht="13.5" hidden="false" customHeight="true" outlineLevel="0" collapsed="false">
      <c r="A8" s="351"/>
      <c r="B8" s="352"/>
      <c r="C8" s="353"/>
      <c r="D8" s="356" t="s">
        <v>512</v>
      </c>
      <c r="E8" s="356"/>
      <c r="F8" s="356"/>
      <c r="G8" s="356"/>
      <c r="H8" s="356"/>
      <c r="I8" s="356"/>
      <c r="J8" s="359" t="s">
        <v>513</v>
      </c>
      <c r="K8" s="359"/>
      <c r="L8" s="359"/>
      <c r="M8" s="350"/>
      <c r="N8" s="350"/>
      <c r="O8" s="350"/>
      <c r="P8" s="350"/>
      <c r="Q8" s="350"/>
      <c r="R8" s="350"/>
      <c r="S8" s="350"/>
      <c r="T8" s="350"/>
      <c r="U8" s="350"/>
      <c r="V8" s="350"/>
      <c r="W8" s="350"/>
      <c r="X8" s="350"/>
      <c r="Y8" s="350"/>
      <c r="Z8" s="350"/>
      <c r="AA8" s="350"/>
      <c r="AB8" s="350"/>
      <c r="AC8" s="350"/>
      <c r="AD8" s="350"/>
      <c r="AE8" s="350"/>
      <c r="AF8" s="350"/>
      <c r="AG8" s="350"/>
      <c r="AH8" s="350"/>
      <c r="AI8" s="350"/>
      <c r="AJ8" s="350"/>
      <c r="AK8" s="350"/>
      <c r="AL8" s="350"/>
      <c r="AM8" s="350"/>
      <c r="AN8" s="350"/>
      <c r="AO8" s="350"/>
      <c r="AP8" s="350"/>
      <c r="AQ8" s="350"/>
      <c r="AR8" s="350"/>
      <c r="AS8" s="350"/>
      <c r="AT8" s="350"/>
      <c r="AU8" s="350"/>
      <c r="AV8" s="350"/>
      <c r="AW8" s="350"/>
      <c r="AX8" s="350"/>
      <c r="AY8" s="350"/>
      <c r="AZ8" s="350"/>
      <c r="BA8" s="350"/>
      <c r="BB8" s="350"/>
      <c r="BC8" s="350"/>
      <c r="BD8" s="350"/>
      <c r="BE8" s="350"/>
      <c r="BF8" s="350"/>
      <c r="BG8" s="350"/>
      <c r="BH8" s="350"/>
      <c r="BI8" s="350"/>
    </row>
    <row r="9" customFormat="false" ht="12.75" hidden="false" customHeight="true" outlineLevel="0" collapsed="false">
      <c r="A9" s="351"/>
      <c r="B9" s="352"/>
      <c r="C9" s="353"/>
      <c r="D9" s="356"/>
      <c r="E9" s="356"/>
      <c r="F9" s="356"/>
      <c r="G9" s="356"/>
      <c r="H9" s="356"/>
      <c r="I9" s="356"/>
      <c r="J9" s="349" t="s">
        <v>514</v>
      </c>
      <c r="K9" s="349"/>
      <c r="L9" s="349"/>
      <c r="M9" s="350"/>
      <c r="N9" s="350"/>
      <c r="O9" s="350"/>
      <c r="P9" s="350"/>
      <c r="Q9" s="350"/>
      <c r="R9" s="350"/>
      <c r="S9" s="350"/>
      <c r="T9" s="350"/>
      <c r="U9" s="350"/>
      <c r="V9" s="350"/>
      <c r="W9" s="350"/>
      <c r="X9" s="350"/>
      <c r="Y9" s="350"/>
      <c r="Z9" s="350"/>
      <c r="AA9" s="350"/>
      <c r="AB9" s="350"/>
      <c r="AC9" s="350"/>
      <c r="AD9" s="350"/>
      <c r="AE9" s="350"/>
      <c r="AF9" s="350"/>
      <c r="AG9" s="350"/>
      <c r="AH9" s="350"/>
      <c r="AI9" s="350"/>
      <c r="AJ9" s="350"/>
      <c r="AK9" s="350"/>
      <c r="AL9" s="350"/>
      <c r="AM9" s="350"/>
      <c r="AN9" s="350"/>
      <c r="AO9" s="350"/>
      <c r="AP9" s="350"/>
      <c r="AQ9" s="350"/>
      <c r="AR9" s="350"/>
      <c r="AS9" s="350"/>
      <c r="AT9" s="350"/>
      <c r="AU9" s="350"/>
      <c r="AV9" s="350"/>
      <c r="AW9" s="350"/>
      <c r="AX9" s="350"/>
      <c r="AY9" s="350"/>
      <c r="AZ9" s="350"/>
      <c r="BA9" s="350"/>
      <c r="BB9" s="350"/>
      <c r="BC9" s="350"/>
      <c r="BD9" s="350"/>
      <c r="BE9" s="350"/>
      <c r="BF9" s="350"/>
      <c r="BG9" s="350"/>
      <c r="BH9" s="350"/>
      <c r="BI9" s="350"/>
    </row>
    <row r="10" customFormat="false" ht="13.5" hidden="false" customHeight="false" outlineLevel="0" collapsed="false">
      <c r="A10" s="360"/>
      <c r="B10" s="361"/>
      <c r="C10" s="362"/>
      <c r="D10" s="363"/>
      <c r="E10" s="363"/>
      <c r="F10" s="363"/>
      <c r="G10" s="363"/>
      <c r="H10" s="363"/>
      <c r="I10" s="363"/>
      <c r="J10" s="364"/>
      <c r="K10" s="364"/>
      <c r="L10" s="364"/>
      <c r="M10" s="350"/>
      <c r="N10" s="350"/>
      <c r="O10" s="350"/>
      <c r="P10" s="350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350"/>
      <c r="AD10" s="350"/>
      <c r="AE10" s="350"/>
      <c r="AF10" s="350"/>
      <c r="AG10" s="350"/>
      <c r="AH10" s="350"/>
      <c r="AI10" s="350"/>
      <c r="AJ10" s="350"/>
      <c r="AK10" s="350"/>
      <c r="AL10" s="350"/>
      <c r="AM10" s="350"/>
      <c r="AN10" s="350"/>
      <c r="AO10" s="350"/>
      <c r="AP10" s="350"/>
      <c r="AQ10" s="350"/>
      <c r="AR10" s="350"/>
      <c r="AS10" s="350"/>
      <c r="AT10" s="350"/>
      <c r="AU10" s="350"/>
      <c r="AV10" s="350"/>
      <c r="AW10" s="350"/>
      <c r="AX10" s="350"/>
      <c r="AY10" s="350"/>
      <c r="AZ10" s="350"/>
      <c r="BA10" s="350"/>
      <c r="BB10" s="350"/>
      <c r="BC10" s="350"/>
      <c r="BD10" s="350"/>
      <c r="BE10" s="350"/>
      <c r="BF10" s="350"/>
      <c r="BG10" s="350"/>
      <c r="BH10" s="350"/>
      <c r="BI10" s="350"/>
    </row>
    <row r="11" customFormat="false" ht="12.75" hidden="false" customHeight="false" outlineLevel="0" collapsed="false">
      <c r="A11" s="365"/>
      <c r="B11" s="365"/>
      <c r="C11" s="365"/>
      <c r="D11" s="365"/>
      <c r="E11" s="365"/>
      <c r="F11" s="365"/>
      <c r="G11" s="365"/>
      <c r="H11" s="365"/>
      <c r="I11" s="365"/>
      <c r="J11" s="365"/>
      <c r="K11" s="365"/>
      <c r="L11" s="365"/>
      <c r="M11" s="350"/>
      <c r="N11" s="350"/>
      <c r="O11" s="350"/>
      <c r="P11" s="350"/>
      <c r="Q11" s="350"/>
      <c r="R11" s="350"/>
      <c r="S11" s="350"/>
      <c r="T11" s="350"/>
      <c r="U11" s="350"/>
      <c r="V11" s="350"/>
      <c r="W11" s="350"/>
      <c r="X11" s="350"/>
      <c r="Y11" s="350"/>
      <c r="Z11" s="350"/>
      <c r="AA11" s="350"/>
      <c r="AB11" s="350"/>
      <c r="AC11" s="350"/>
      <c r="AD11" s="350"/>
      <c r="AE11" s="350"/>
      <c r="AF11" s="350"/>
      <c r="AG11" s="350"/>
      <c r="AH11" s="350"/>
      <c r="AI11" s="350"/>
      <c r="AJ11" s="350"/>
      <c r="AK11" s="350"/>
      <c r="AL11" s="350"/>
      <c r="AM11" s="350"/>
      <c r="AN11" s="350"/>
      <c r="AO11" s="350"/>
      <c r="AP11" s="350"/>
      <c r="AQ11" s="350"/>
      <c r="AR11" s="350"/>
      <c r="AS11" s="350"/>
      <c r="AT11" s="350"/>
      <c r="AU11" s="350"/>
      <c r="AV11" s="350"/>
      <c r="AW11" s="350"/>
      <c r="AX11" s="350"/>
      <c r="AY11" s="350"/>
      <c r="AZ11" s="350"/>
      <c r="BA11" s="350"/>
      <c r="BB11" s="350"/>
      <c r="BC11" s="350"/>
      <c r="BD11" s="350"/>
      <c r="BE11" s="350"/>
      <c r="BF11" s="350"/>
      <c r="BG11" s="350"/>
      <c r="BH11" s="350"/>
      <c r="BI11" s="350"/>
    </row>
    <row r="12" customFormat="false" ht="12.75" hidden="false" customHeight="false" outlineLevel="0" collapsed="false">
      <c r="A12" s="365"/>
      <c r="B12" s="365"/>
      <c r="C12" s="365"/>
      <c r="D12" s="365"/>
      <c r="E12" s="365"/>
      <c r="F12" s="365"/>
      <c r="G12" s="365"/>
      <c r="H12" s="365"/>
      <c r="I12" s="365"/>
      <c r="J12" s="365"/>
      <c r="K12" s="365"/>
      <c r="L12" s="365"/>
      <c r="M12" s="350"/>
      <c r="N12" s="350"/>
      <c r="O12" s="350"/>
      <c r="P12" s="350"/>
      <c r="Q12" s="350"/>
      <c r="R12" s="350"/>
      <c r="S12" s="350"/>
      <c r="T12" s="350"/>
      <c r="U12" s="350"/>
      <c r="V12" s="350"/>
      <c r="W12" s="350"/>
      <c r="X12" s="350"/>
      <c r="Y12" s="350"/>
      <c r="Z12" s="350"/>
      <c r="AA12" s="350"/>
      <c r="AB12" s="350"/>
      <c r="AC12" s="350"/>
      <c r="AD12" s="350"/>
      <c r="AE12" s="350"/>
      <c r="AF12" s="350"/>
      <c r="AG12" s="350"/>
      <c r="AH12" s="350"/>
      <c r="AI12" s="350"/>
      <c r="AJ12" s="350"/>
      <c r="AK12" s="350"/>
      <c r="AL12" s="350"/>
      <c r="AM12" s="350"/>
      <c r="AN12" s="350"/>
      <c r="AO12" s="350"/>
      <c r="AP12" s="350"/>
      <c r="AQ12" s="350"/>
      <c r="AR12" s="350"/>
      <c r="AS12" s="350"/>
      <c r="AT12" s="350"/>
      <c r="AU12" s="350"/>
      <c r="AV12" s="350"/>
      <c r="AW12" s="350"/>
      <c r="AX12" s="350"/>
      <c r="AY12" s="350"/>
      <c r="AZ12" s="350"/>
      <c r="BA12" s="350"/>
      <c r="BB12" s="350"/>
      <c r="BC12" s="350"/>
      <c r="BD12" s="350"/>
      <c r="BE12" s="350"/>
      <c r="BF12" s="350"/>
      <c r="BG12" s="350"/>
      <c r="BH12" s="350"/>
      <c r="BI12" s="350"/>
    </row>
    <row r="13" customFormat="false" ht="12.75" hidden="false" customHeight="false" outlineLevel="0" collapsed="false">
      <c r="A13" s="365"/>
      <c r="B13" s="365"/>
      <c r="C13" s="365"/>
      <c r="D13" s="365"/>
      <c r="E13" s="365"/>
      <c r="F13" s="365"/>
      <c r="G13" s="365"/>
      <c r="H13" s="365"/>
      <c r="I13" s="365"/>
      <c r="J13" s="365"/>
      <c r="K13" s="365"/>
      <c r="L13" s="365"/>
      <c r="M13" s="350"/>
      <c r="N13" s="350"/>
      <c r="O13" s="350"/>
      <c r="P13" s="350"/>
      <c r="Q13" s="350"/>
      <c r="R13" s="350"/>
      <c r="S13" s="350"/>
      <c r="T13" s="350"/>
      <c r="U13" s="350"/>
      <c r="V13" s="350"/>
      <c r="W13" s="350"/>
      <c r="X13" s="350"/>
      <c r="Y13" s="350"/>
      <c r="Z13" s="350"/>
      <c r="AA13" s="350"/>
      <c r="AB13" s="350"/>
      <c r="AC13" s="350"/>
      <c r="AD13" s="350"/>
      <c r="AE13" s="350"/>
      <c r="AF13" s="350"/>
      <c r="AG13" s="350"/>
      <c r="AH13" s="350"/>
      <c r="AI13" s="350"/>
      <c r="AJ13" s="350"/>
      <c r="AK13" s="350"/>
      <c r="AL13" s="350"/>
      <c r="AM13" s="350"/>
      <c r="AN13" s="350"/>
      <c r="AO13" s="350"/>
      <c r="AP13" s="350"/>
      <c r="AQ13" s="350"/>
      <c r="AR13" s="350"/>
      <c r="AS13" s="350"/>
      <c r="AT13" s="350"/>
      <c r="AU13" s="350"/>
      <c r="AV13" s="350"/>
      <c r="AW13" s="350"/>
      <c r="AX13" s="350"/>
      <c r="AY13" s="350"/>
      <c r="AZ13" s="350"/>
      <c r="BA13" s="350"/>
      <c r="BB13" s="350"/>
      <c r="BC13" s="350"/>
      <c r="BD13" s="350"/>
      <c r="BE13" s="350"/>
      <c r="BF13" s="350"/>
      <c r="BG13" s="350"/>
      <c r="BH13" s="350"/>
      <c r="BI13" s="350"/>
    </row>
    <row r="14" customFormat="false" ht="12.75" hidden="false" customHeight="false" outlineLevel="0" collapsed="false">
      <c r="A14" s="366" t="s">
        <v>515</v>
      </c>
      <c r="B14" s="366"/>
      <c r="C14" s="366"/>
      <c r="D14" s="366"/>
      <c r="E14" s="366"/>
      <c r="F14" s="366"/>
      <c r="G14" s="366"/>
      <c r="H14" s="366"/>
      <c r="I14" s="366"/>
      <c r="J14" s="366"/>
      <c r="K14" s="366"/>
      <c r="L14" s="366"/>
      <c r="M14" s="350"/>
      <c r="N14" s="350"/>
      <c r="O14" s="350"/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0"/>
      <c r="AT14" s="350"/>
      <c r="AU14" s="350"/>
      <c r="AV14" s="350"/>
      <c r="AW14" s="350"/>
      <c r="AX14" s="350"/>
      <c r="AY14" s="350"/>
      <c r="AZ14" s="350"/>
      <c r="BA14" s="350"/>
      <c r="BB14" s="350"/>
      <c r="BC14" s="350"/>
      <c r="BD14" s="350"/>
      <c r="BE14" s="350"/>
      <c r="BF14" s="350"/>
      <c r="BG14" s="350"/>
      <c r="BH14" s="350"/>
      <c r="BI14" s="350"/>
    </row>
    <row r="15" customFormat="false" ht="12.75" hidden="false" customHeight="false" outlineLevel="0" collapsed="false">
      <c r="A15" s="366" t="s">
        <v>516</v>
      </c>
      <c r="B15" s="366"/>
      <c r="C15" s="366"/>
      <c r="D15" s="366"/>
      <c r="E15" s="366"/>
      <c r="F15" s="366"/>
      <c r="G15" s="366"/>
      <c r="H15" s="366"/>
      <c r="I15" s="366"/>
      <c r="J15" s="366"/>
      <c r="K15" s="366"/>
      <c r="L15" s="366"/>
      <c r="M15" s="350"/>
      <c r="N15" s="350"/>
      <c r="O15" s="350"/>
      <c r="P15" s="350"/>
      <c r="Q15" s="350"/>
      <c r="R15" s="350"/>
      <c r="S15" s="350"/>
      <c r="T15" s="350"/>
      <c r="U15" s="350"/>
      <c r="V15" s="350"/>
      <c r="W15" s="350"/>
      <c r="X15" s="350"/>
      <c r="Y15" s="350"/>
      <c r="Z15" s="350"/>
      <c r="AA15" s="350"/>
      <c r="AB15" s="350"/>
      <c r="AC15" s="350"/>
      <c r="AD15" s="350"/>
      <c r="AE15" s="350"/>
      <c r="AF15" s="350"/>
      <c r="AG15" s="350"/>
      <c r="AH15" s="350"/>
      <c r="AI15" s="350"/>
      <c r="AJ15" s="350"/>
      <c r="AK15" s="350"/>
      <c r="AL15" s="350"/>
      <c r="AM15" s="350"/>
      <c r="AN15" s="350"/>
      <c r="AO15" s="350"/>
      <c r="AP15" s="350"/>
      <c r="AQ15" s="350"/>
      <c r="AR15" s="350"/>
      <c r="AS15" s="350"/>
      <c r="AT15" s="350"/>
      <c r="AU15" s="350"/>
      <c r="AV15" s="350"/>
      <c r="AW15" s="350"/>
      <c r="AX15" s="350"/>
      <c r="AY15" s="350"/>
      <c r="AZ15" s="350"/>
      <c r="BA15" s="350"/>
      <c r="BB15" s="350"/>
      <c r="BC15" s="350"/>
      <c r="BD15" s="350"/>
      <c r="BE15" s="350"/>
      <c r="BF15" s="350"/>
      <c r="BG15" s="350"/>
      <c r="BH15" s="350"/>
      <c r="BI15" s="350"/>
    </row>
    <row r="16" customFormat="false" ht="13.5" hidden="false" customHeight="false" outlineLevel="0" collapsed="false">
      <c r="A16" s="367"/>
      <c r="B16" s="367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50"/>
      <c r="N16" s="350"/>
      <c r="O16" s="350"/>
      <c r="P16" s="350"/>
      <c r="Q16" s="350"/>
      <c r="R16" s="350"/>
      <c r="S16" s="350"/>
      <c r="T16" s="350"/>
      <c r="U16" s="350"/>
      <c r="V16" s="350"/>
      <c r="W16" s="350"/>
      <c r="X16" s="350"/>
      <c r="Y16" s="350"/>
      <c r="Z16" s="350"/>
      <c r="AA16" s="350"/>
      <c r="AB16" s="350"/>
      <c r="AC16" s="350"/>
      <c r="AD16" s="350"/>
      <c r="AE16" s="350"/>
      <c r="AF16" s="350"/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0"/>
      <c r="BC16" s="350"/>
      <c r="BD16" s="350"/>
      <c r="BE16" s="350"/>
      <c r="BF16" s="350"/>
      <c r="BG16" s="350"/>
      <c r="BH16" s="350"/>
      <c r="BI16" s="350"/>
    </row>
    <row r="17" customFormat="false" ht="16.5" hidden="false" customHeight="false" outlineLevel="0" collapsed="false">
      <c r="A17" s="368" t="s">
        <v>423</v>
      </c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50"/>
      <c r="N17" s="350"/>
      <c r="O17" s="350"/>
      <c r="P17" s="350"/>
      <c r="Q17" s="350"/>
      <c r="R17" s="350"/>
      <c r="S17" s="350"/>
      <c r="T17" s="350"/>
      <c r="U17" s="350"/>
      <c r="V17" s="350"/>
      <c r="W17" s="350"/>
      <c r="X17" s="350"/>
      <c r="Y17" s="350"/>
      <c r="Z17" s="350"/>
      <c r="AA17" s="350"/>
      <c r="AB17" s="350"/>
      <c r="AC17" s="350"/>
      <c r="AD17" s="350"/>
      <c r="AE17" s="350"/>
      <c r="AF17" s="350"/>
      <c r="AG17" s="350"/>
      <c r="AH17" s="350"/>
      <c r="AI17" s="350"/>
      <c r="AJ17" s="350"/>
      <c r="AK17" s="350"/>
      <c r="AL17" s="350"/>
      <c r="AM17" s="350"/>
      <c r="AN17" s="350"/>
      <c r="AO17" s="350"/>
      <c r="AP17" s="350"/>
      <c r="AQ17" s="350"/>
      <c r="AR17" s="350"/>
      <c r="AS17" s="350"/>
      <c r="AT17" s="350"/>
      <c r="AU17" s="350"/>
      <c r="AV17" s="350"/>
      <c r="AW17" s="350"/>
      <c r="AX17" s="350"/>
      <c r="AY17" s="350"/>
      <c r="AZ17" s="350"/>
      <c r="BA17" s="350"/>
      <c r="BB17" s="350"/>
      <c r="BC17" s="350"/>
      <c r="BD17" s="350"/>
      <c r="BE17" s="350"/>
      <c r="BF17" s="350"/>
      <c r="BG17" s="350"/>
      <c r="BH17" s="350"/>
      <c r="BI17" s="350"/>
    </row>
    <row r="18" customFormat="false" ht="13.5" hidden="false" customHeight="false" outlineLevel="0" collapsed="false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350"/>
      <c r="N18" s="350"/>
      <c r="O18" s="350"/>
      <c r="P18" s="350"/>
      <c r="Q18" s="350"/>
      <c r="R18" s="350"/>
      <c r="S18" s="350"/>
      <c r="T18" s="350"/>
      <c r="U18" s="350"/>
      <c r="V18" s="350"/>
      <c r="W18" s="350"/>
      <c r="X18" s="350"/>
      <c r="Y18" s="350"/>
      <c r="Z18" s="350"/>
      <c r="AA18" s="350"/>
      <c r="AB18" s="350"/>
      <c r="AC18" s="350"/>
      <c r="AD18" s="350"/>
      <c r="AE18" s="350"/>
      <c r="AF18" s="350"/>
      <c r="AG18" s="350"/>
      <c r="AH18" s="350"/>
      <c r="AI18" s="350"/>
      <c r="AJ18" s="350"/>
      <c r="AK18" s="350"/>
      <c r="AL18" s="350"/>
      <c r="AM18" s="350"/>
      <c r="AN18" s="350"/>
      <c r="AO18" s="350"/>
      <c r="AP18" s="350"/>
      <c r="AQ18" s="350"/>
      <c r="AR18" s="350"/>
      <c r="AS18" s="350"/>
      <c r="AT18" s="350"/>
      <c r="AU18" s="350"/>
      <c r="AV18" s="350"/>
      <c r="AW18" s="350"/>
      <c r="AX18" s="350"/>
      <c r="AY18" s="350"/>
      <c r="AZ18" s="350"/>
      <c r="BA18" s="350"/>
      <c r="BB18" s="350"/>
      <c r="BC18" s="350"/>
      <c r="BD18" s="350"/>
      <c r="BE18" s="350"/>
      <c r="BF18" s="350"/>
      <c r="BG18" s="350"/>
      <c r="BH18" s="350"/>
      <c r="BI18" s="350"/>
    </row>
    <row r="19" customFormat="false" ht="12.75" hidden="false" customHeight="false" outlineLevel="0" collapsed="false">
      <c r="A19" s="369" t="s">
        <v>432</v>
      </c>
      <c r="B19" s="369"/>
      <c r="C19" s="369"/>
      <c r="D19" s="370" t="n">
        <f aca="false">'conversion datos'!L5</f>
        <v>45268</v>
      </c>
      <c r="E19" s="370"/>
      <c r="F19" s="370"/>
      <c r="G19" s="370"/>
      <c r="H19" s="370"/>
      <c r="I19" s="370"/>
      <c r="J19" s="370"/>
      <c r="K19" s="370"/>
      <c r="L19" s="370"/>
      <c r="M19" s="350"/>
      <c r="N19" s="350"/>
      <c r="O19" s="350"/>
      <c r="P19" s="350"/>
      <c r="Q19" s="350"/>
      <c r="R19" s="350"/>
      <c r="S19" s="350"/>
      <c r="T19" s="350"/>
      <c r="U19" s="350"/>
      <c r="V19" s="350"/>
      <c r="W19" s="350"/>
      <c r="X19" s="350"/>
      <c r="Y19" s="350"/>
      <c r="Z19" s="350"/>
      <c r="AA19" s="350"/>
      <c r="AB19" s="350"/>
      <c r="AC19" s="350"/>
      <c r="AD19" s="350"/>
      <c r="AE19" s="350"/>
      <c r="AF19" s="350"/>
      <c r="AG19" s="350"/>
      <c r="AH19" s="350"/>
      <c r="AI19" s="350"/>
      <c r="AJ19" s="350"/>
      <c r="AK19" s="350"/>
      <c r="AL19" s="350"/>
      <c r="AM19" s="350"/>
      <c r="AN19" s="350"/>
      <c r="AO19" s="350"/>
      <c r="AP19" s="350"/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0"/>
      <c r="BC19" s="350"/>
      <c r="BD19" s="350"/>
      <c r="BE19" s="350"/>
      <c r="BF19" s="350"/>
      <c r="BG19" s="350"/>
      <c r="BH19" s="350"/>
      <c r="BI19" s="350"/>
    </row>
    <row r="20" customFormat="false" ht="12.75" hidden="false" customHeight="false" outlineLevel="0" collapsed="false">
      <c r="A20" s="290" t="s">
        <v>437</v>
      </c>
      <c r="B20" s="290"/>
      <c r="C20" s="290"/>
      <c r="D20" s="371" t="str">
        <f aca="false">'conversion datos'!L6</f>
        <v>03890122</v>
      </c>
      <c r="E20" s="371"/>
      <c r="F20" s="371"/>
      <c r="G20" s="371"/>
      <c r="H20" s="371"/>
      <c r="I20" s="371"/>
      <c r="J20" s="371"/>
      <c r="K20" s="371"/>
      <c r="L20" s="371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 s="350"/>
      <c r="X20" s="350"/>
      <c r="Y20" s="350"/>
      <c r="Z20" s="350"/>
      <c r="AA20" s="350"/>
      <c r="AB20" s="350"/>
      <c r="AC20" s="350"/>
      <c r="AD20" s="350"/>
      <c r="AE20" s="350"/>
      <c r="AF20" s="350"/>
      <c r="AG20" s="350"/>
      <c r="AH20" s="350"/>
      <c r="AI20" s="350"/>
      <c r="AJ20" s="350"/>
      <c r="AK20" s="350"/>
      <c r="AL20" s="350"/>
      <c r="AM20" s="350"/>
      <c r="AN20" s="350"/>
      <c r="AO20" s="350"/>
      <c r="AP20" s="350"/>
      <c r="AQ20" s="350"/>
      <c r="AR20" s="350"/>
      <c r="AS20" s="350"/>
      <c r="AT20" s="350"/>
      <c r="AU20" s="350"/>
      <c r="AV20" s="350"/>
      <c r="AW20" s="350"/>
      <c r="AX20" s="350"/>
      <c r="AY20" s="350"/>
      <c r="AZ20" s="350"/>
      <c r="BA20" s="350"/>
      <c r="BB20" s="350"/>
      <c r="BC20" s="350"/>
      <c r="BD20" s="350"/>
      <c r="BE20" s="350"/>
      <c r="BF20" s="350"/>
      <c r="BG20" s="350"/>
      <c r="BH20" s="350"/>
      <c r="BI20" s="350"/>
    </row>
    <row r="21" customFormat="false" ht="12.75" hidden="false" customHeight="false" outlineLevel="0" collapsed="false">
      <c r="A21" s="372" t="s">
        <v>439</v>
      </c>
      <c r="B21" s="372"/>
      <c r="C21" s="372"/>
      <c r="D21" s="373" t="str">
        <f aca="false">'conversion datos'!L7</f>
        <v>22 dias</v>
      </c>
      <c r="E21" s="373"/>
      <c r="F21" s="373"/>
      <c r="G21" s="373"/>
      <c r="H21" s="373"/>
      <c r="I21" s="373"/>
      <c r="J21" s="373"/>
      <c r="K21" s="373"/>
      <c r="L21" s="373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0"/>
      <c r="BC21" s="350"/>
      <c r="BD21" s="350"/>
      <c r="BE21" s="350"/>
      <c r="BF21" s="350"/>
      <c r="BG21" s="350"/>
      <c r="BH21" s="350"/>
      <c r="BI21" s="350"/>
    </row>
    <row r="22" customFormat="false" ht="12.75" hidden="false" customHeight="false" outlineLevel="0" collapsed="false">
      <c r="A22" s="290" t="s">
        <v>441</v>
      </c>
      <c r="B22" s="290"/>
      <c r="C22" s="290"/>
      <c r="D22" s="374" t="n">
        <f aca="false">'conversion datos'!L8</f>
        <v>0</v>
      </c>
      <c r="E22" s="374"/>
      <c r="F22" s="374"/>
      <c r="G22" s="374"/>
      <c r="H22" s="374"/>
      <c r="I22" s="374"/>
      <c r="J22" s="374"/>
      <c r="K22" s="374"/>
      <c r="L22" s="374"/>
      <c r="M22" s="350"/>
      <c r="N22" s="350"/>
      <c r="O22" s="350"/>
      <c r="P22" s="350"/>
      <c r="Q22" s="350"/>
      <c r="R22" s="350"/>
      <c r="S22" s="350"/>
      <c r="T22" s="350"/>
      <c r="U22" s="350"/>
      <c r="V22" s="350"/>
      <c r="W22" s="350"/>
      <c r="X22" s="350"/>
      <c r="Y22" s="350"/>
      <c r="Z22" s="350"/>
      <c r="AA22" s="350"/>
      <c r="AB22" s="350"/>
      <c r="AC22" s="350"/>
      <c r="AD22" s="350"/>
      <c r="AE22" s="350"/>
      <c r="AF22" s="350"/>
      <c r="AG22" s="350"/>
      <c r="AH22" s="350"/>
      <c r="AI22" s="350"/>
      <c r="AJ22" s="350"/>
      <c r="AK22" s="350"/>
      <c r="AL22" s="350"/>
      <c r="AM22" s="350"/>
      <c r="AN22" s="350"/>
      <c r="AO22" s="350"/>
      <c r="AP22" s="350"/>
      <c r="AQ22" s="350"/>
      <c r="AR22" s="350"/>
      <c r="AS22" s="350"/>
      <c r="AT22" s="350"/>
      <c r="AU22" s="350"/>
      <c r="AV22" s="350"/>
      <c r="AW22" s="350"/>
      <c r="AX22" s="350"/>
      <c r="AY22" s="350"/>
      <c r="AZ22" s="350"/>
      <c r="BA22" s="350"/>
      <c r="BB22" s="350"/>
      <c r="BC22" s="350"/>
      <c r="BD22" s="350"/>
      <c r="BE22" s="350"/>
      <c r="BF22" s="350"/>
      <c r="BG22" s="350"/>
      <c r="BH22" s="350"/>
      <c r="BI22" s="350"/>
    </row>
    <row r="23" customFormat="false" ht="12.75" hidden="false" customHeight="false" outlineLevel="0" collapsed="false">
      <c r="A23" s="372" t="s">
        <v>442</v>
      </c>
      <c r="B23" s="372"/>
      <c r="C23" s="372"/>
      <c r="D23" s="373" t="str">
        <f aca="false">'conversion datos'!L9</f>
        <v>Instituto Costarricense de Electricidad</v>
      </c>
      <c r="E23" s="373"/>
      <c r="F23" s="373"/>
      <c r="G23" s="373"/>
      <c r="H23" s="373"/>
      <c r="I23" s="373"/>
      <c r="J23" s="373"/>
      <c r="K23" s="373"/>
      <c r="L23" s="373"/>
      <c r="M23" s="350"/>
      <c r="N23" s="350"/>
      <c r="O23" s="350"/>
      <c r="P23" s="350"/>
      <c r="Q23" s="350"/>
      <c r="R23" s="350"/>
      <c r="S23" s="350"/>
      <c r="T23" s="350"/>
      <c r="U23" s="350"/>
      <c r="V23" s="350"/>
      <c r="W23" s="350"/>
      <c r="X23" s="350"/>
      <c r="Y23" s="350"/>
      <c r="Z23" s="350"/>
      <c r="AA23" s="350"/>
      <c r="AB23" s="350"/>
      <c r="AC23" s="350"/>
      <c r="AD23" s="350"/>
      <c r="AE23" s="350"/>
      <c r="AF23" s="350"/>
      <c r="AG23" s="350"/>
      <c r="AH23" s="350"/>
      <c r="AI23" s="350"/>
      <c r="AJ23" s="350"/>
      <c r="AK23" s="350"/>
      <c r="AL23" s="350"/>
      <c r="AM23" s="350"/>
      <c r="AN23" s="350"/>
      <c r="AO23" s="350"/>
      <c r="AP23" s="350"/>
      <c r="AQ23" s="350"/>
      <c r="AR23" s="350"/>
      <c r="AS23" s="350"/>
      <c r="AT23" s="350"/>
      <c r="AU23" s="350"/>
      <c r="AV23" s="350"/>
      <c r="AW23" s="350"/>
      <c r="AX23" s="350"/>
      <c r="AY23" s="350"/>
      <c r="AZ23" s="350"/>
      <c r="BA23" s="350"/>
      <c r="BB23" s="350"/>
      <c r="BC23" s="350"/>
      <c r="BD23" s="350"/>
      <c r="BE23" s="350"/>
      <c r="BF23" s="350"/>
      <c r="BG23" s="350"/>
      <c r="BH23" s="350"/>
      <c r="BI23" s="350"/>
    </row>
    <row r="24" customFormat="false" ht="12.75" hidden="false" customHeight="false" outlineLevel="0" collapsed="false">
      <c r="A24" s="290" t="s">
        <v>444</v>
      </c>
      <c r="B24" s="290"/>
      <c r="C24" s="290"/>
      <c r="D24" s="374" t="str">
        <f aca="false">'conversion datos'!L10</f>
        <v>LCM 03890122</v>
      </c>
      <c r="E24" s="374"/>
      <c r="F24" s="374"/>
      <c r="G24" s="374"/>
      <c r="H24" s="374"/>
      <c r="I24" s="374"/>
      <c r="J24" s="374"/>
      <c r="K24" s="374"/>
      <c r="L24" s="374"/>
      <c r="M24" s="350"/>
      <c r="N24" s="350"/>
      <c r="O24" s="350"/>
      <c r="P24" s="350"/>
      <c r="Q24" s="350"/>
      <c r="R24" s="350"/>
      <c r="S24" s="350"/>
      <c r="T24" s="350"/>
      <c r="U24" s="350"/>
      <c r="V24" s="350"/>
      <c r="W24" s="350"/>
      <c r="X24" s="350"/>
      <c r="Y24" s="350"/>
      <c r="Z24" s="350"/>
      <c r="AA24" s="350"/>
      <c r="AB24" s="350"/>
      <c r="AC24" s="350"/>
      <c r="AD24" s="350"/>
      <c r="AE24" s="350"/>
      <c r="AF24" s="350"/>
      <c r="AG24" s="350"/>
      <c r="AH24" s="350"/>
      <c r="AI24" s="350"/>
      <c r="AJ24" s="350"/>
      <c r="AK24" s="350"/>
      <c r="AL24" s="350"/>
      <c r="AM24" s="350"/>
      <c r="AN24" s="350"/>
      <c r="AO24" s="350"/>
      <c r="AP24" s="350"/>
      <c r="AQ24" s="350"/>
      <c r="AR24" s="350"/>
      <c r="AS24" s="350"/>
      <c r="AT24" s="350"/>
      <c r="AU24" s="350"/>
      <c r="AV24" s="350"/>
      <c r="AW24" s="350"/>
      <c r="AX24" s="350"/>
      <c r="AY24" s="350"/>
      <c r="AZ24" s="350"/>
      <c r="BA24" s="350"/>
      <c r="BB24" s="350"/>
      <c r="BC24" s="350"/>
      <c r="BD24" s="350"/>
      <c r="BE24" s="350"/>
      <c r="BF24" s="350"/>
      <c r="BG24" s="350"/>
      <c r="BH24" s="350"/>
      <c r="BI24" s="350"/>
    </row>
    <row r="25" customFormat="false" ht="12.75" hidden="false" customHeight="false" outlineLevel="0" collapsed="false">
      <c r="A25" s="372" t="s">
        <v>445</v>
      </c>
      <c r="B25" s="372"/>
      <c r="C25" s="372"/>
      <c r="D25" s="373" t="str">
        <f aca="false">'conversion datos'!L11</f>
        <v>194-22</v>
      </c>
      <c r="E25" s="373"/>
      <c r="F25" s="373"/>
      <c r="G25" s="373"/>
      <c r="H25" s="373"/>
      <c r="I25" s="373"/>
      <c r="J25" s="373"/>
      <c r="K25" s="373"/>
      <c r="L25" s="373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0"/>
      <c r="AB25" s="350"/>
      <c r="AC25" s="350"/>
      <c r="AD25" s="350"/>
      <c r="AE25" s="350"/>
      <c r="AF25" s="350"/>
      <c r="AG25" s="350"/>
      <c r="AH25" s="350"/>
      <c r="AI25" s="350"/>
      <c r="AJ25" s="350"/>
      <c r="AK25" s="350"/>
      <c r="AL25" s="350"/>
      <c r="AM25" s="350"/>
      <c r="AN25" s="350"/>
      <c r="AO25" s="350"/>
      <c r="AP25" s="350"/>
      <c r="AQ25" s="350"/>
      <c r="AR25" s="350"/>
      <c r="AS25" s="350"/>
      <c r="AT25" s="350"/>
      <c r="AU25" s="350"/>
      <c r="AV25" s="350"/>
      <c r="AW25" s="350"/>
      <c r="AX25" s="350"/>
      <c r="AY25" s="350"/>
      <c r="AZ25" s="350"/>
      <c r="BA25" s="350"/>
      <c r="BB25" s="350"/>
      <c r="BC25" s="350"/>
      <c r="BD25" s="350"/>
      <c r="BE25" s="350"/>
      <c r="BF25" s="350"/>
      <c r="BG25" s="350"/>
      <c r="BH25" s="350"/>
      <c r="BI25" s="350"/>
    </row>
    <row r="26" customFormat="false" ht="12.75" hidden="false" customHeight="false" outlineLevel="0" collapsed="false">
      <c r="A26" s="290" t="s">
        <v>447</v>
      </c>
      <c r="B26" s="290"/>
      <c r="C26" s="290"/>
      <c r="D26" s="374" t="str">
        <f aca="false">'conversion datos'!L12</f>
        <v>Laboratoro de Dimensional del ICE, Plantel ICE en Colima,             Tibás, San José, Costa Rica</v>
      </c>
      <c r="E26" s="374"/>
      <c r="F26" s="374"/>
      <c r="G26" s="374"/>
      <c r="H26" s="374"/>
      <c r="I26" s="374"/>
      <c r="J26" s="374"/>
      <c r="K26" s="374"/>
      <c r="L26" s="374"/>
      <c r="M26" s="350"/>
      <c r="N26" s="350"/>
      <c r="O26" s="350"/>
      <c r="P26" s="350"/>
      <c r="Q26" s="350"/>
      <c r="R26" s="350"/>
      <c r="S26" s="350"/>
      <c r="T26" s="350"/>
      <c r="U26" s="350"/>
      <c r="V26" s="350"/>
      <c r="W26" s="350"/>
      <c r="X26" s="350"/>
      <c r="Y26" s="350"/>
      <c r="Z26" s="350"/>
      <c r="AA26" s="350"/>
      <c r="AB26" s="350"/>
      <c r="AC26" s="350"/>
      <c r="AD26" s="350"/>
      <c r="AE26" s="350"/>
      <c r="AF26" s="350"/>
      <c r="AG26" s="350"/>
      <c r="AH26" s="350"/>
      <c r="AI26" s="350"/>
      <c r="AJ26" s="350"/>
      <c r="AK26" s="350"/>
      <c r="AL26" s="350"/>
      <c r="AM26" s="350"/>
      <c r="AN26" s="350"/>
      <c r="AO26" s="350"/>
      <c r="AP26" s="350"/>
      <c r="AQ26" s="350"/>
      <c r="AR26" s="350"/>
      <c r="AS26" s="350"/>
      <c r="AT26" s="350"/>
      <c r="AU26" s="350"/>
      <c r="AV26" s="350"/>
      <c r="AW26" s="350"/>
      <c r="AX26" s="350"/>
      <c r="AY26" s="350"/>
      <c r="AZ26" s="350"/>
      <c r="BA26" s="350"/>
      <c r="BB26" s="350"/>
      <c r="BC26" s="350"/>
      <c r="BD26" s="350"/>
      <c r="BE26" s="350"/>
      <c r="BF26" s="350"/>
      <c r="BG26" s="350"/>
      <c r="BH26" s="350"/>
      <c r="BI26" s="350"/>
    </row>
    <row r="27" customFormat="false" ht="13.5" hidden="false" customHeight="false" outlineLevel="0" collapsed="false">
      <c r="A27" s="375" t="s">
        <v>449</v>
      </c>
      <c r="B27" s="375"/>
      <c r="C27" s="375"/>
      <c r="D27" s="376" t="str">
        <f aca="false">'conversion datos'!L13</f>
        <v>Laboratorio de Metrología Dimensional - LACOMET</v>
      </c>
      <c r="E27" s="376"/>
      <c r="F27" s="376"/>
      <c r="G27" s="376"/>
      <c r="H27" s="376"/>
      <c r="I27" s="376"/>
      <c r="J27" s="376"/>
      <c r="K27" s="376"/>
      <c r="L27" s="376"/>
      <c r="M27" s="350"/>
      <c r="N27" s="350"/>
      <c r="O27" s="350"/>
      <c r="P27" s="350"/>
      <c r="Q27" s="350"/>
      <c r="R27" s="350"/>
      <c r="S27" s="350"/>
      <c r="T27" s="350"/>
      <c r="U27" s="350"/>
      <c r="V27" s="350"/>
      <c r="W27" s="350"/>
      <c r="X27" s="350"/>
      <c r="Y27" s="350"/>
      <c r="Z27" s="350"/>
      <c r="AA27" s="350"/>
      <c r="AB27" s="350"/>
      <c r="AC27" s="350"/>
      <c r="AD27" s="350"/>
      <c r="AE27" s="350"/>
      <c r="AF27" s="350"/>
      <c r="AG27" s="350"/>
      <c r="AH27" s="350"/>
      <c r="AI27" s="350"/>
      <c r="AJ27" s="350"/>
      <c r="AK27" s="350"/>
      <c r="AL27" s="350"/>
      <c r="AM27" s="350"/>
      <c r="AN27" s="350"/>
      <c r="AO27" s="350"/>
      <c r="AP27" s="350"/>
      <c r="AQ27" s="350"/>
      <c r="AR27" s="350"/>
      <c r="AS27" s="350"/>
      <c r="AT27" s="350"/>
      <c r="AU27" s="350"/>
      <c r="AV27" s="350"/>
      <c r="AW27" s="350"/>
      <c r="AX27" s="350"/>
      <c r="AY27" s="350"/>
      <c r="AZ27" s="350"/>
      <c r="BA27" s="350"/>
      <c r="BB27" s="350"/>
      <c r="BC27" s="350"/>
      <c r="BD27" s="350"/>
      <c r="BE27" s="350"/>
      <c r="BF27" s="350"/>
      <c r="BG27" s="350"/>
      <c r="BH27" s="350"/>
      <c r="BI27" s="350"/>
    </row>
    <row r="28" customFormat="false" ht="13.5" hidden="false" customHeight="false" outlineLevel="0" collapsed="false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350"/>
      <c r="N28" s="350"/>
      <c r="O28" s="350"/>
      <c r="P28" s="350"/>
      <c r="Q28" s="350"/>
      <c r="R28" s="350"/>
      <c r="S28" s="350"/>
      <c r="T28" s="350"/>
      <c r="U28" s="350"/>
      <c r="V28" s="350"/>
      <c r="W28" s="350"/>
      <c r="X28" s="350"/>
      <c r="Y28" s="350"/>
      <c r="Z28" s="350"/>
      <c r="AA28" s="350"/>
      <c r="AB28" s="350"/>
      <c r="AC28" s="350"/>
      <c r="AD28" s="350"/>
      <c r="AE28" s="350"/>
      <c r="AF28" s="350"/>
      <c r="AG28" s="350"/>
      <c r="AH28" s="350"/>
      <c r="AI28" s="350"/>
      <c r="AJ28" s="350"/>
      <c r="AK28" s="350"/>
      <c r="AL28" s="350"/>
      <c r="AM28" s="350"/>
      <c r="AN28" s="350"/>
      <c r="AO28" s="350"/>
      <c r="AP28" s="350"/>
      <c r="AQ28" s="350"/>
      <c r="AR28" s="350"/>
      <c r="AS28" s="350"/>
      <c r="AT28" s="350"/>
      <c r="AU28" s="350"/>
      <c r="AV28" s="350"/>
      <c r="AW28" s="350"/>
      <c r="AX28" s="350"/>
      <c r="AY28" s="350"/>
      <c r="AZ28" s="350"/>
      <c r="BA28" s="350"/>
      <c r="BB28" s="350"/>
      <c r="BC28" s="350"/>
      <c r="BD28" s="350"/>
      <c r="BE28" s="350"/>
      <c r="BF28" s="350"/>
      <c r="BG28" s="350"/>
      <c r="BH28" s="350"/>
      <c r="BI28" s="350"/>
    </row>
    <row r="29" customFormat="false" ht="16.5" hidden="false" customHeight="false" outlineLevel="0" collapsed="false">
      <c r="A29" s="368" t="s">
        <v>451</v>
      </c>
      <c r="B29" s="368"/>
      <c r="C29" s="368"/>
      <c r="D29" s="368"/>
      <c r="E29" s="368"/>
      <c r="F29" s="368"/>
      <c r="G29" s="368"/>
      <c r="H29" s="368"/>
      <c r="I29" s="368"/>
      <c r="J29" s="368"/>
      <c r="K29" s="368"/>
      <c r="L29" s="368"/>
      <c r="M29" s="350"/>
      <c r="N29" s="350"/>
      <c r="O29" s="350"/>
      <c r="P29" s="350"/>
      <c r="Q29" s="350"/>
      <c r="R29" s="350"/>
      <c r="S29" s="350"/>
      <c r="T29" s="350"/>
      <c r="U29" s="350"/>
      <c r="V29" s="350"/>
      <c r="W29" s="350"/>
      <c r="X29" s="350"/>
      <c r="Y29" s="350"/>
      <c r="Z29" s="350"/>
      <c r="AA29" s="350"/>
      <c r="AB29" s="350"/>
      <c r="AC29" s="350"/>
      <c r="AD29" s="350"/>
      <c r="AE29" s="350"/>
      <c r="AF29" s="350"/>
      <c r="AG29" s="350"/>
      <c r="AH29" s="350"/>
      <c r="AI29" s="350"/>
      <c r="AJ29" s="350"/>
      <c r="AK29" s="350"/>
      <c r="AL29" s="350"/>
      <c r="AM29" s="350"/>
      <c r="AN29" s="350"/>
      <c r="AO29" s="350"/>
      <c r="AP29" s="350"/>
      <c r="AQ29" s="350"/>
      <c r="AR29" s="350"/>
      <c r="AS29" s="350"/>
      <c r="AT29" s="350"/>
      <c r="AU29" s="350"/>
      <c r="AV29" s="350"/>
      <c r="AW29" s="350"/>
      <c r="AX29" s="350"/>
      <c r="AY29" s="350"/>
      <c r="AZ29" s="350"/>
      <c r="BA29" s="350"/>
      <c r="BB29" s="350"/>
      <c r="BC29" s="350"/>
      <c r="BD29" s="350"/>
      <c r="BE29" s="350"/>
      <c r="BF29" s="350"/>
      <c r="BG29" s="350"/>
      <c r="BH29" s="350"/>
      <c r="BI29" s="350"/>
    </row>
    <row r="30" customFormat="false" ht="16.5" hidden="false" customHeight="false" outlineLevel="0" collapsed="false">
      <c r="A30" s="377"/>
      <c r="B30" s="377"/>
      <c r="C30" s="377"/>
      <c r="D30" s="377"/>
      <c r="E30" s="377"/>
      <c r="F30" s="377"/>
      <c r="G30" s="377"/>
      <c r="H30" s="377"/>
      <c r="I30" s="377"/>
      <c r="J30" s="377"/>
      <c r="K30" s="377"/>
      <c r="L30" s="377"/>
      <c r="M30" s="350"/>
      <c r="N30" s="350"/>
      <c r="O30" s="350"/>
      <c r="P30" s="350"/>
      <c r="Q30" s="350"/>
      <c r="R30" s="350"/>
      <c r="S30" s="350"/>
      <c r="T30" s="350"/>
      <c r="U30" s="350"/>
      <c r="V30" s="350"/>
      <c r="W30" s="350"/>
      <c r="X30" s="350"/>
      <c r="Y30" s="350"/>
      <c r="Z30" s="350"/>
      <c r="AA30" s="350"/>
      <c r="AB30" s="350"/>
      <c r="AC30" s="350"/>
      <c r="AD30" s="350"/>
      <c r="AE30" s="350"/>
      <c r="AF30" s="350"/>
      <c r="AG30" s="350"/>
      <c r="AH30" s="350"/>
      <c r="AI30" s="350"/>
      <c r="AJ30" s="350"/>
      <c r="AK30" s="350"/>
      <c r="AL30" s="350"/>
      <c r="AM30" s="350"/>
      <c r="AN30" s="350"/>
      <c r="AO30" s="350"/>
      <c r="AP30" s="350"/>
      <c r="AQ30" s="350"/>
      <c r="AR30" s="350"/>
      <c r="AS30" s="350"/>
      <c r="AT30" s="350"/>
      <c r="AU30" s="350"/>
      <c r="AV30" s="350"/>
      <c r="AW30" s="350"/>
      <c r="AX30" s="350"/>
      <c r="AY30" s="350"/>
      <c r="AZ30" s="350"/>
      <c r="BA30" s="350"/>
      <c r="BB30" s="350"/>
      <c r="BC30" s="350"/>
      <c r="BD30" s="350"/>
      <c r="BE30" s="350"/>
      <c r="BF30" s="350"/>
      <c r="BG30" s="350"/>
      <c r="BH30" s="350"/>
      <c r="BI30" s="350"/>
    </row>
    <row r="31" customFormat="false" ht="12.75" hidden="false" customHeight="false" outlineLevel="0" collapsed="false">
      <c r="A31" s="369" t="s">
        <v>452</v>
      </c>
      <c r="B31" s="369"/>
      <c r="C31" s="369"/>
      <c r="D31" s="378" t="str">
        <f aca="false">'conversion datos'!L17</f>
        <v>Juego de bloques patrón</v>
      </c>
      <c r="E31" s="378"/>
      <c r="F31" s="378"/>
      <c r="G31" s="378"/>
      <c r="H31" s="378"/>
      <c r="I31" s="378"/>
      <c r="J31" s="378"/>
      <c r="K31" s="378"/>
      <c r="L31" s="378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350"/>
      <c r="AG31" s="350"/>
      <c r="AH31" s="350"/>
      <c r="AI31" s="350"/>
      <c r="AJ31" s="350"/>
      <c r="AK31" s="350"/>
      <c r="AL31" s="350"/>
      <c r="AM31" s="350"/>
      <c r="AN31" s="350"/>
      <c r="AO31" s="350"/>
      <c r="AP31" s="350"/>
      <c r="AQ31" s="350"/>
      <c r="AR31" s="350"/>
      <c r="AS31" s="350"/>
      <c r="AT31" s="350"/>
      <c r="AU31" s="350"/>
      <c r="AV31" s="350"/>
      <c r="AW31" s="350"/>
      <c r="AX31" s="350"/>
      <c r="AY31" s="350"/>
      <c r="AZ31" s="350"/>
      <c r="BA31" s="350"/>
      <c r="BB31" s="350"/>
      <c r="BC31" s="350"/>
      <c r="BD31" s="350"/>
      <c r="BE31" s="350"/>
      <c r="BF31" s="350"/>
      <c r="BG31" s="350"/>
      <c r="BH31" s="350"/>
      <c r="BI31" s="350"/>
    </row>
    <row r="32" customFormat="false" ht="12.75" hidden="false" customHeight="false" outlineLevel="0" collapsed="false">
      <c r="A32" s="290" t="s">
        <v>455</v>
      </c>
      <c r="B32" s="290"/>
      <c r="C32" s="290"/>
      <c r="D32" s="296" t="str">
        <f aca="false">'conversion datos'!L19</f>
        <v>Mitutoyo</v>
      </c>
      <c r="E32" s="296"/>
      <c r="F32" s="296"/>
      <c r="G32" s="296"/>
      <c r="H32" s="296"/>
      <c r="I32" s="296"/>
      <c r="J32" s="296"/>
      <c r="K32" s="296"/>
      <c r="L32" s="296"/>
      <c r="M32" s="350"/>
      <c r="N32" s="350"/>
      <c r="O32" s="350"/>
      <c r="P32" s="350"/>
      <c r="Q32" s="350"/>
      <c r="R32" s="350"/>
      <c r="S32" s="350"/>
      <c r="T32" s="350"/>
      <c r="U32" s="350"/>
      <c r="V32" s="350"/>
      <c r="W32" s="350"/>
      <c r="X32" s="350"/>
      <c r="Y32" s="350"/>
      <c r="Z32" s="350"/>
      <c r="AA32" s="350"/>
      <c r="AB32" s="350"/>
      <c r="AC32" s="350"/>
      <c r="AD32" s="350"/>
      <c r="AE32" s="350"/>
      <c r="AF32" s="350"/>
      <c r="AG32" s="350"/>
      <c r="AH32" s="350"/>
      <c r="AI32" s="350"/>
      <c r="AJ32" s="350"/>
      <c r="AK32" s="350"/>
      <c r="AL32" s="350"/>
      <c r="AM32" s="350"/>
      <c r="AN32" s="350"/>
      <c r="AO32" s="350"/>
      <c r="AP32" s="350"/>
      <c r="AQ32" s="350"/>
      <c r="AR32" s="350"/>
      <c r="AS32" s="350"/>
      <c r="AT32" s="350"/>
      <c r="AU32" s="350"/>
      <c r="AV32" s="350"/>
      <c r="AW32" s="350"/>
      <c r="AX32" s="350"/>
      <c r="AY32" s="350"/>
      <c r="AZ32" s="350"/>
      <c r="BA32" s="350"/>
      <c r="BB32" s="350"/>
      <c r="BC32" s="350"/>
      <c r="BD32" s="350"/>
      <c r="BE32" s="350"/>
      <c r="BF32" s="350"/>
      <c r="BG32" s="350"/>
      <c r="BH32" s="350"/>
      <c r="BI32" s="350"/>
    </row>
    <row r="33" customFormat="false" ht="12.75" hidden="false" customHeight="false" outlineLevel="0" collapsed="false">
      <c r="A33" s="372" t="s">
        <v>457</v>
      </c>
      <c r="B33" s="372"/>
      <c r="C33" s="372"/>
      <c r="D33" s="379" t="str">
        <f aca="false">'conversion datos'!L20</f>
        <v>Ver tabla de resultados de la calibración / MET-LMMET-001</v>
      </c>
      <c r="E33" s="379"/>
      <c r="F33" s="379"/>
      <c r="G33" s="379"/>
      <c r="H33" s="379"/>
      <c r="I33" s="379"/>
      <c r="J33" s="379"/>
      <c r="K33" s="379"/>
      <c r="L33" s="379"/>
      <c r="M33" s="350"/>
      <c r="N33" s="350"/>
      <c r="O33" s="350"/>
      <c r="P33" s="350"/>
      <c r="Q33" s="350"/>
      <c r="R33" s="350"/>
      <c r="S33" s="350"/>
      <c r="T33" s="350"/>
      <c r="U33" s="350"/>
      <c r="V33" s="350"/>
      <c r="W33" s="350"/>
      <c r="X33" s="350"/>
      <c r="Y33" s="350"/>
      <c r="Z33" s="350"/>
      <c r="AA33" s="350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  <c r="AO33" s="350"/>
      <c r="AP33" s="350"/>
      <c r="AQ33" s="350"/>
      <c r="AR33" s="350"/>
      <c r="AS33" s="350"/>
      <c r="AT33" s="350"/>
      <c r="AU33" s="350"/>
      <c r="AV33" s="350"/>
      <c r="AW33" s="350"/>
      <c r="AX33" s="350"/>
      <c r="AY33" s="350"/>
      <c r="AZ33" s="350"/>
      <c r="BA33" s="350"/>
      <c r="BB33" s="350"/>
      <c r="BC33" s="350"/>
      <c r="BD33" s="350"/>
      <c r="BE33" s="350"/>
      <c r="BF33" s="350"/>
      <c r="BG33" s="350"/>
      <c r="BH33" s="350"/>
      <c r="BI33" s="350"/>
    </row>
    <row r="34" customFormat="false" ht="12.75" hidden="false" customHeight="false" outlineLevel="0" collapsed="false">
      <c r="A34" s="290" t="s">
        <v>459</v>
      </c>
      <c r="B34" s="290"/>
      <c r="C34" s="290"/>
      <c r="D34" s="296" t="str">
        <f aca="false">'conversion datos'!L21</f>
        <v>Cerámica</v>
      </c>
      <c r="E34" s="296"/>
      <c r="F34" s="296"/>
      <c r="G34" s="296"/>
      <c r="H34" s="296"/>
      <c r="I34" s="296"/>
      <c r="J34" s="296"/>
      <c r="K34" s="296"/>
      <c r="L34" s="296"/>
      <c r="M34" s="350"/>
      <c r="N34" s="350"/>
      <c r="O34" s="350"/>
      <c r="P34" s="350"/>
      <c r="Q34" s="350"/>
      <c r="R34" s="350"/>
      <c r="S34" s="350"/>
      <c r="T34" s="350"/>
      <c r="U34" s="350"/>
      <c r="V34" s="350"/>
      <c r="W34" s="350"/>
      <c r="X34" s="350"/>
      <c r="Y34" s="350"/>
      <c r="Z34" s="350"/>
      <c r="AA34" s="350"/>
      <c r="AB34" s="350"/>
      <c r="AC34" s="350"/>
      <c r="AD34" s="350"/>
      <c r="AE34" s="350"/>
      <c r="AF34" s="350"/>
      <c r="AG34" s="350"/>
      <c r="AH34" s="350"/>
      <c r="AI34" s="350"/>
      <c r="AJ34" s="350"/>
      <c r="AK34" s="350"/>
      <c r="AL34" s="350"/>
      <c r="AM34" s="350"/>
      <c r="AN34" s="350"/>
      <c r="AO34" s="350"/>
      <c r="AP34" s="350"/>
      <c r="AQ34" s="350"/>
      <c r="AR34" s="350"/>
      <c r="AS34" s="350"/>
      <c r="AT34" s="350"/>
      <c r="AU34" s="350"/>
      <c r="AV34" s="350"/>
      <c r="AW34" s="350"/>
      <c r="AX34" s="350"/>
      <c r="AY34" s="350"/>
      <c r="AZ34" s="350"/>
      <c r="BA34" s="350"/>
      <c r="BB34" s="350"/>
      <c r="BC34" s="350"/>
      <c r="BD34" s="350"/>
      <c r="BE34" s="350"/>
      <c r="BF34" s="350"/>
      <c r="BG34" s="350"/>
      <c r="BH34" s="350"/>
      <c r="BI34" s="350"/>
    </row>
    <row r="35" customFormat="false" ht="12.75" hidden="false" customHeight="false" outlineLevel="0" collapsed="false">
      <c r="A35" s="372" t="s">
        <v>461</v>
      </c>
      <c r="B35" s="372"/>
      <c r="C35" s="372"/>
      <c r="D35" s="379" t="str">
        <f aca="false">'conversion datos'!L22</f>
        <v>No indica</v>
      </c>
      <c r="E35" s="379"/>
      <c r="F35" s="379"/>
      <c r="G35" s="379"/>
      <c r="H35" s="379"/>
      <c r="I35" s="379"/>
      <c r="J35" s="379"/>
      <c r="K35" s="379"/>
      <c r="L35" s="379"/>
      <c r="M35" s="350"/>
      <c r="N35" s="350"/>
      <c r="O35" s="350"/>
      <c r="P35" s="350"/>
      <c r="Q35" s="350"/>
      <c r="R35" s="350"/>
      <c r="S35" s="350"/>
      <c r="T35" s="350"/>
      <c r="U35" s="350"/>
      <c r="V35" s="350"/>
      <c r="W35" s="350"/>
      <c r="X35" s="350"/>
      <c r="Y35" s="350"/>
      <c r="Z35" s="350"/>
      <c r="AA35" s="350"/>
      <c r="AB35" s="350"/>
      <c r="AC35" s="350"/>
      <c r="AD35" s="350"/>
      <c r="AE35" s="350"/>
      <c r="AF35" s="350"/>
      <c r="AG35" s="350"/>
      <c r="AH35" s="350"/>
      <c r="AI35" s="350"/>
      <c r="AJ35" s="350"/>
      <c r="AK35" s="350"/>
      <c r="AL35" s="350"/>
      <c r="AM35" s="350"/>
      <c r="AN35" s="350"/>
      <c r="AO35" s="350"/>
      <c r="AP35" s="350"/>
      <c r="AQ35" s="350"/>
      <c r="AR35" s="350"/>
      <c r="AS35" s="350"/>
      <c r="AT35" s="350"/>
      <c r="AU35" s="350"/>
      <c r="AV35" s="350"/>
      <c r="AW35" s="350"/>
      <c r="AX35" s="350"/>
      <c r="AY35" s="350"/>
      <c r="AZ35" s="350"/>
      <c r="BA35" s="350"/>
      <c r="BB35" s="350"/>
      <c r="BC35" s="350"/>
      <c r="BD35" s="350"/>
      <c r="BE35" s="350"/>
      <c r="BF35" s="350"/>
      <c r="BG35" s="350"/>
      <c r="BH35" s="350"/>
      <c r="BI35" s="350"/>
    </row>
    <row r="36" customFormat="false" ht="12.75" hidden="false" customHeight="false" outlineLevel="0" collapsed="false">
      <c r="A36" s="290" t="s">
        <v>463</v>
      </c>
      <c r="B36" s="290"/>
      <c r="C36" s="290"/>
      <c r="D36" s="296" t="str">
        <f aca="false">'conversion datos'!L23</f>
        <v>No indica</v>
      </c>
      <c r="E36" s="296"/>
      <c r="F36" s="296"/>
      <c r="G36" s="296"/>
      <c r="H36" s="296"/>
      <c r="I36" s="296"/>
      <c r="J36" s="296"/>
      <c r="K36" s="296"/>
      <c r="L36" s="296"/>
      <c r="M36" s="350"/>
      <c r="N36" s="350"/>
      <c r="O36" s="350"/>
      <c r="P36" s="350"/>
      <c r="Q36" s="350"/>
      <c r="R36" s="350"/>
      <c r="S36" s="350"/>
      <c r="T36" s="350"/>
      <c r="U36" s="350"/>
      <c r="V36" s="350"/>
      <c r="W36" s="350"/>
      <c r="X36" s="350"/>
      <c r="Y36" s="350"/>
      <c r="Z36" s="350"/>
      <c r="AA36" s="350"/>
      <c r="AB36" s="350"/>
      <c r="AC36" s="350"/>
      <c r="AD36" s="350"/>
      <c r="AE36" s="350"/>
      <c r="AF36" s="350"/>
      <c r="AG36" s="350"/>
      <c r="AH36" s="350"/>
      <c r="AI36" s="350"/>
      <c r="AJ36" s="350"/>
      <c r="AK36" s="350"/>
      <c r="AL36" s="350"/>
      <c r="AM36" s="350"/>
      <c r="AN36" s="350"/>
      <c r="AO36" s="350"/>
      <c r="AP36" s="350"/>
      <c r="AQ36" s="350"/>
      <c r="AR36" s="350"/>
      <c r="AS36" s="350"/>
      <c r="AT36" s="350"/>
      <c r="AU36" s="350"/>
      <c r="AV36" s="350"/>
      <c r="AW36" s="350"/>
      <c r="AX36" s="350"/>
      <c r="AY36" s="350"/>
      <c r="AZ36" s="350"/>
      <c r="BA36" s="350"/>
      <c r="BB36" s="350"/>
      <c r="BC36" s="350"/>
      <c r="BD36" s="350"/>
      <c r="BE36" s="350"/>
      <c r="BF36" s="350"/>
      <c r="BG36" s="350"/>
      <c r="BH36" s="350"/>
      <c r="BI36" s="350"/>
    </row>
    <row r="37" customFormat="false" ht="12.75" hidden="false" customHeight="false" outlineLevel="0" collapsed="false">
      <c r="A37" s="372" t="s">
        <v>464</v>
      </c>
      <c r="B37" s="372"/>
      <c r="C37" s="372"/>
      <c r="D37" s="379" t="str">
        <f aca="false">'conversion datos'!L24</f>
        <v>194-22</v>
      </c>
      <c r="E37" s="379"/>
      <c r="F37" s="379"/>
      <c r="G37" s="379"/>
      <c r="H37" s="379"/>
      <c r="I37" s="379"/>
      <c r="J37" s="379"/>
      <c r="K37" s="379"/>
      <c r="L37" s="379"/>
      <c r="M37" s="350"/>
      <c r="N37" s="350"/>
      <c r="O37" s="350"/>
      <c r="P37" s="350"/>
      <c r="Q37" s="350"/>
      <c r="R37" s="350"/>
      <c r="S37" s="350"/>
      <c r="T37" s="350"/>
      <c r="U37" s="350"/>
      <c r="V37" s="350"/>
      <c r="W37" s="350"/>
      <c r="X37" s="350"/>
      <c r="Y37" s="350"/>
      <c r="Z37" s="350"/>
      <c r="AA37" s="350"/>
      <c r="AB37" s="350"/>
      <c r="AC37" s="350"/>
      <c r="AD37" s="350"/>
      <c r="AE37" s="350"/>
      <c r="AF37" s="350"/>
      <c r="AG37" s="350"/>
      <c r="AH37" s="350"/>
      <c r="AI37" s="350"/>
      <c r="AJ37" s="350"/>
      <c r="AK37" s="350"/>
      <c r="AL37" s="350"/>
      <c r="AM37" s="350"/>
      <c r="AN37" s="350"/>
      <c r="AO37" s="350"/>
      <c r="AP37" s="350"/>
      <c r="AQ37" s="350"/>
      <c r="AR37" s="350"/>
      <c r="AS37" s="350"/>
      <c r="AT37" s="350"/>
      <c r="AU37" s="350"/>
      <c r="AV37" s="350"/>
      <c r="AW37" s="350"/>
      <c r="AX37" s="350"/>
      <c r="AY37" s="350"/>
      <c r="AZ37" s="350"/>
      <c r="BA37" s="350"/>
      <c r="BB37" s="350"/>
      <c r="BC37" s="350"/>
      <c r="BD37" s="350"/>
      <c r="BE37" s="350"/>
      <c r="BF37" s="350"/>
      <c r="BG37" s="350"/>
      <c r="BH37" s="350"/>
      <c r="BI37" s="350"/>
    </row>
    <row r="38" customFormat="false" ht="13.5" hidden="false" customHeight="false" outlineLevel="0" collapsed="false">
      <c r="A38" s="299" t="s">
        <v>465</v>
      </c>
      <c r="B38" s="299"/>
      <c r="C38" s="299"/>
      <c r="D38" s="380" t="n">
        <f aca="false">'conversion datos'!L25</f>
        <v>9.3E-006</v>
      </c>
      <c r="E38" s="380"/>
      <c r="F38" s="380"/>
      <c r="G38" s="380"/>
      <c r="H38" s="380"/>
      <c r="I38" s="380"/>
      <c r="J38" s="380"/>
      <c r="K38" s="380"/>
      <c r="L38" s="380"/>
      <c r="M38" s="350"/>
      <c r="N38" s="381"/>
      <c r="O38" s="350"/>
      <c r="P38" s="350"/>
      <c r="Q38" s="350"/>
      <c r="R38" s="350"/>
      <c r="S38" s="350"/>
      <c r="T38" s="350"/>
      <c r="U38" s="350"/>
      <c r="V38" s="350"/>
      <c r="W38" s="350"/>
      <c r="X38" s="350"/>
      <c r="Y38" s="350"/>
      <c r="Z38" s="350"/>
      <c r="AA38" s="350"/>
      <c r="AB38" s="350"/>
      <c r="AC38" s="350"/>
      <c r="AD38" s="350"/>
      <c r="AE38" s="350"/>
      <c r="AF38" s="350"/>
      <c r="AG38" s="350"/>
      <c r="AH38" s="350"/>
      <c r="AI38" s="350"/>
      <c r="AJ38" s="350"/>
      <c r="AK38" s="350"/>
      <c r="AL38" s="350"/>
      <c r="AM38" s="350"/>
      <c r="AN38" s="350"/>
      <c r="AO38" s="350"/>
      <c r="AP38" s="350"/>
      <c r="AQ38" s="350"/>
      <c r="AR38" s="350"/>
      <c r="AS38" s="350"/>
      <c r="AT38" s="350"/>
      <c r="AU38" s="350"/>
      <c r="AV38" s="350"/>
      <c r="AW38" s="350"/>
      <c r="AX38" s="350"/>
      <c r="AY38" s="350"/>
      <c r="AZ38" s="350"/>
      <c r="BA38" s="350"/>
      <c r="BB38" s="350"/>
      <c r="BC38" s="350"/>
      <c r="BD38" s="350"/>
      <c r="BE38" s="350"/>
      <c r="BF38" s="350"/>
      <c r="BG38" s="350"/>
      <c r="BH38" s="350"/>
      <c r="BI38" s="350"/>
    </row>
    <row r="39" customFormat="false" ht="13.5" hidden="false" customHeight="false" outlineLevel="0" collapsed="false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350"/>
      <c r="O39" s="350"/>
      <c r="P39" s="350"/>
      <c r="Q39" s="350"/>
      <c r="R39" s="350"/>
      <c r="S39" s="350"/>
      <c r="T39" s="350"/>
      <c r="U39" s="350"/>
      <c r="V39" s="350"/>
      <c r="W39" s="350"/>
      <c r="X39" s="350"/>
      <c r="Y39" s="350"/>
      <c r="Z39" s="350"/>
      <c r="AA39" s="350"/>
      <c r="AB39" s="350"/>
      <c r="AC39" s="350"/>
      <c r="AD39" s="350"/>
      <c r="AE39" s="350"/>
      <c r="AF39" s="350"/>
      <c r="AG39" s="350"/>
      <c r="AH39" s="350"/>
      <c r="AI39" s="350"/>
      <c r="AJ39" s="350"/>
      <c r="AK39" s="350"/>
      <c r="AL39" s="350"/>
      <c r="AM39" s="350"/>
      <c r="AN39" s="350"/>
      <c r="AO39" s="350"/>
      <c r="AP39" s="350"/>
      <c r="AQ39" s="350"/>
      <c r="AR39" s="350"/>
      <c r="AS39" s="350"/>
      <c r="AT39" s="350"/>
      <c r="AU39" s="350"/>
      <c r="AV39" s="350"/>
      <c r="AW39" s="350"/>
      <c r="AX39" s="350"/>
      <c r="AY39" s="350"/>
      <c r="AZ39" s="350"/>
      <c r="BA39" s="350"/>
      <c r="BB39" s="350"/>
      <c r="BC39" s="350"/>
      <c r="BD39" s="350"/>
      <c r="BE39" s="350"/>
      <c r="BF39" s="350"/>
      <c r="BG39" s="350"/>
      <c r="BH39" s="350"/>
      <c r="BI39" s="350"/>
    </row>
    <row r="40" customFormat="false" ht="16.5" hidden="false" customHeight="false" outlineLevel="0" collapsed="false">
      <c r="A40" s="368" t="s">
        <v>517</v>
      </c>
      <c r="B40" s="368"/>
      <c r="C40" s="368"/>
      <c r="D40" s="368"/>
      <c r="E40" s="368"/>
      <c r="F40" s="368"/>
      <c r="G40" s="368"/>
      <c r="H40" s="368"/>
      <c r="I40" s="368"/>
      <c r="J40" s="368"/>
      <c r="K40" s="368"/>
      <c r="L40" s="368"/>
      <c r="M40" s="350"/>
      <c r="N40" s="350"/>
      <c r="O40" s="350"/>
      <c r="P40" s="350"/>
      <c r="Q40" s="350"/>
      <c r="R40" s="350"/>
      <c r="S40" s="350"/>
      <c r="T40" s="350"/>
      <c r="U40" s="350"/>
      <c r="V40" s="350"/>
      <c r="W40" s="350"/>
      <c r="X40" s="350"/>
      <c r="Y40" s="350"/>
      <c r="Z40" s="350"/>
      <c r="AA40" s="350"/>
      <c r="AB40" s="350"/>
      <c r="AC40" s="350"/>
      <c r="AD40" s="350"/>
      <c r="AE40" s="350"/>
      <c r="AF40" s="350"/>
      <c r="AG40" s="350"/>
      <c r="AH40" s="350"/>
      <c r="AI40" s="350"/>
      <c r="AJ40" s="350"/>
      <c r="AK40" s="350"/>
      <c r="AL40" s="350"/>
      <c r="AM40" s="350"/>
      <c r="AN40" s="350"/>
      <c r="AO40" s="350"/>
      <c r="AP40" s="350"/>
      <c r="AQ40" s="350"/>
      <c r="AR40" s="350"/>
      <c r="AS40" s="350"/>
      <c r="AT40" s="350"/>
      <c r="AU40" s="350"/>
      <c r="AV40" s="350"/>
      <c r="AW40" s="350"/>
      <c r="AX40" s="350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350"/>
    </row>
    <row r="41" customFormat="false" ht="13.5" hidden="false" customHeight="false" outlineLevel="0" collapsed="false">
      <c r="A41" s="382"/>
      <c r="B41" s="382"/>
      <c r="C41" s="382"/>
      <c r="D41" s="382"/>
      <c r="E41" s="382"/>
      <c r="F41" s="382"/>
      <c r="G41" s="382"/>
      <c r="H41" s="382"/>
      <c r="I41" s="382"/>
      <c r="J41" s="382"/>
      <c r="K41" s="382"/>
      <c r="L41" s="382"/>
      <c r="M41" s="350"/>
      <c r="N41" s="350"/>
      <c r="O41" s="350"/>
      <c r="P41" s="350"/>
      <c r="Q41" s="350"/>
      <c r="R41" s="350"/>
      <c r="S41" s="350"/>
      <c r="T41" s="350"/>
      <c r="U41" s="350"/>
      <c r="V41" s="350"/>
      <c r="W41" s="350"/>
      <c r="X41" s="350"/>
      <c r="Y41" s="350"/>
      <c r="Z41" s="350"/>
      <c r="AA41" s="350"/>
      <c r="AB41" s="350"/>
      <c r="AC41" s="350"/>
      <c r="AD41" s="350"/>
      <c r="AE41" s="350"/>
      <c r="AF41" s="350"/>
      <c r="AG41" s="350"/>
      <c r="AH41" s="350"/>
      <c r="AI41" s="350"/>
      <c r="AJ41" s="350"/>
      <c r="AK41" s="350"/>
      <c r="AL41" s="350"/>
      <c r="AM41" s="350"/>
      <c r="AN41" s="350"/>
      <c r="AO41" s="350"/>
      <c r="AP41" s="350"/>
      <c r="AQ41" s="350"/>
      <c r="AR41" s="350"/>
      <c r="AS41" s="350"/>
      <c r="AT41" s="350"/>
      <c r="AU41" s="350"/>
      <c r="AV41" s="350"/>
      <c r="AW41" s="350"/>
      <c r="AX41" s="350"/>
      <c r="AY41" s="350"/>
      <c r="AZ41" s="350"/>
      <c r="BA41" s="350"/>
      <c r="BB41" s="350"/>
      <c r="BC41" s="350"/>
      <c r="BD41" s="350"/>
      <c r="BE41" s="350"/>
      <c r="BF41" s="350"/>
      <c r="BG41" s="350"/>
      <c r="BH41" s="350"/>
      <c r="BI41" s="350"/>
    </row>
    <row r="42" customFormat="false" ht="12.75" hidden="false" customHeight="false" outlineLevel="0" collapsed="false">
      <c r="A42" s="383" t="s">
        <v>518</v>
      </c>
      <c r="B42" s="383"/>
      <c r="C42" s="383"/>
      <c r="D42" s="383"/>
      <c r="E42" s="384"/>
      <c r="F42" s="384"/>
      <c r="G42" s="385" t="e">
        <f aca="false">MIN('Datos de condiciones'!K4:M4)</f>
        <v>#VALUE!</v>
      </c>
      <c r="H42" s="386" t="s">
        <v>45</v>
      </c>
      <c r="I42" s="387"/>
      <c r="J42" s="387"/>
      <c r="K42" s="387"/>
      <c r="L42" s="387"/>
      <c r="M42" s="350"/>
      <c r="N42" s="350"/>
      <c r="O42" s="350"/>
      <c r="P42" s="350"/>
      <c r="Q42" s="350"/>
      <c r="R42" s="350"/>
      <c r="S42" s="350"/>
      <c r="T42" s="350"/>
      <c r="U42" s="350"/>
      <c r="V42" s="350"/>
      <c r="W42" s="350"/>
      <c r="X42" s="350"/>
      <c r="Y42" s="350"/>
      <c r="Z42" s="350"/>
      <c r="AA42" s="350"/>
      <c r="AB42" s="350"/>
      <c r="AC42" s="350"/>
      <c r="AD42" s="350"/>
      <c r="AE42" s="350"/>
      <c r="AF42" s="350"/>
      <c r="AG42" s="350"/>
      <c r="AH42" s="350"/>
      <c r="AI42" s="350"/>
      <c r="AJ42" s="350"/>
      <c r="AK42" s="350"/>
      <c r="AL42" s="350"/>
      <c r="AM42" s="350"/>
      <c r="AN42" s="350"/>
      <c r="AO42" s="350"/>
      <c r="AP42" s="350"/>
      <c r="AQ42" s="350"/>
      <c r="AR42" s="350"/>
      <c r="AS42" s="350"/>
      <c r="AT42" s="350"/>
      <c r="AU42" s="350"/>
      <c r="AV42" s="350"/>
      <c r="AW42" s="350"/>
      <c r="AX42" s="350"/>
      <c r="AY42" s="350"/>
      <c r="AZ42" s="350"/>
      <c r="BA42" s="350"/>
      <c r="BB42" s="350"/>
      <c r="BC42" s="350"/>
      <c r="BD42" s="350"/>
      <c r="BE42" s="350"/>
      <c r="BF42" s="350"/>
      <c r="BG42" s="350"/>
      <c r="BH42" s="350"/>
      <c r="BI42" s="350"/>
    </row>
    <row r="43" customFormat="false" ht="12.75" hidden="false" customHeight="false" outlineLevel="0" collapsed="false">
      <c r="A43" s="290" t="s">
        <v>519</v>
      </c>
      <c r="B43" s="290"/>
      <c r="C43" s="290"/>
      <c r="D43" s="290"/>
      <c r="E43" s="388"/>
      <c r="F43" s="388"/>
      <c r="G43" s="389" t="e">
        <f aca="false">MAX('Datos de condiciones'!K5:M5)</f>
        <v>#VALUE!</v>
      </c>
      <c r="H43" s="390" t="s">
        <v>45</v>
      </c>
      <c r="I43" s="350"/>
      <c r="J43" s="350"/>
      <c r="K43" s="350"/>
      <c r="L43" s="391"/>
      <c r="M43" s="350"/>
      <c r="N43" s="350"/>
      <c r="O43" s="350"/>
      <c r="P43" s="350"/>
      <c r="Q43" s="350"/>
      <c r="R43" s="350"/>
      <c r="S43" s="350"/>
      <c r="T43" s="350"/>
      <c r="U43" s="350"/>
      <c r="V43" s="350"/>
      <c r="W43" s="350"/>
      <c r="X43" s="350"/>
      <c r="Y43" s="350"/>
      <c r="Z43" s="350"/>
      <c r="AA43" s="350"/>
      <c r="AB43" s="350"/>
      <c r="AC43" s="350"/>
      <c r="AD43" s="350"/>
      <c r="AE43" s="350"/>
      <c r="AF43" s="350"/>
      <c r="AG43" s="350"/>
      <c r="AH43" s="350"/>
      <c r="AI43" s="350"/>
      <c r="AJ43" s="350"/>
      <c r="AK43" s="350"/>
      <c r="AL43" s="350"/>
      <c r="AM43" s="350"/>
      <c r="AN43" s="350"/>
      <c r="AO43" s="350"/>
      <c r="AP43" s="350"/>
      <c r="AQ43" s="350"/>
      <c r="AR43" s="350"/>
      <c r="AS43" s="350"/>
      <c r="AT43" s="350"/>
      <c r="AU43" s="350"/>
      <c r="AV43" s="350"/>
      <c r="AW43" s="350"/>
      <c r="AX43" s="350"/>
      <c r="AY43" s="350"/>
      <c r="AZ43" s="350"/>
      <c r="BA43" s="350"/>
      <c r="BB43" s="350"/>
      <c r="BC43" s="350"/>
      <c r="BD43" s="350"/>
      <c r="BE43" s="350"/>
      <c r="BF43" s="350"/>
      <c r="BG43" s="350"/>
      <c r="BH43" s="350"/>
      <c r="BI43" s="350"/>
    </row>
    <row r="44" customFormat="false" ht="12.75" hidden="false" customHeight="false" outlineLevel="0" collapsed="false">
      <c r="A44" s="392" t="s">
        <v>520</v>
      </c>
      <c r="B44" s="392"/>
      <c r="C44" s="392"/>
      <c r="D44" s="392"/>
      <c r="E44" s="393"/>
      <c r="F44" s="393"/>
      <c r="G44" s="394"/>
      <c r="H44" s="395"/>
      <c r="I44" s="396" t="e">
        <f aca="false">+(G42+G43)/2</f>
        <v>#VALUE!</v>
      </c>
      <c r="J44" s="396" t="s">
        <v>521</v>
      </c>
      <c r="K44" s="396" t="e">
        <f aca="false">ABS(G43-G42)</f>
        <v>#VALUE!</v>
      </c>
      <c r="L44" s="397" t="s">
        <v>45</v>
      </c>
      <c r="M44" s="350"/>
      <c r="N44" s="350"/>
      <c r="O44" s="350"/>
      <c r="P44" s="350"/>
      <c r="Q44" s="350"/>
      <c r="R44" s="350"/>
      <c r="S44" s="350"/>
      <c r="T44" s="350"/>
      <c r="U44" s="350"/>
      <c r="V44" s="350"/>
      <c r="W44" s="350"/>
      <c r="X44" s="350"/>
      <c r="Y44" s="350"/>
      <c r="Z44" s="350"/>
      <c r="AA44" s="350"/>
      <c r="AB44" s="350"/>
      <c r="AC44" s="350"/>
      <c r="AD44" s="350"/>
      <c r="AE44" s="350"/>
      <c r="AF44" s="350"/>
      <c r="AG44" s="350"/>
      <c r="AH44" s="350"/>
      <c r="AI44" s="350"/>
      <c r="AJ44" s="350"/>
      <c r="AK44" s="350"/>
      <c r="AL44" s="350"/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50"/>
      <c r="AX44" s="350"/>
      <c r="AY44" s="350"/>
      <c r="AZ44" s="350"/>
      <c r="BA44" s="350"/>
      <c r="BB44" s="350"/>
      <c r="BC44" s="350"/>
      <c r="BD44" s="350"/>
      <c r="BE44" s="350"/>
      <c r="BF44" s="350"/>
      <c r="BG44" s="350"/>
      <c r="BH44" s="350"/>
      <c r="BI44" s="350"/>
    </row>
    <row r="45" customFormat="false" ht="12.75" hidden="false" customHeight="false" outlineLevel="0" collapsed="false">
      <c r="A45" s="398" t="s">
        <v>522</v>
      </c>
      <c r="B45" s="398"/>
      <c r="C45" s="398"/>
      <c r="D45" s="398"/>
      <c r="E45" s="388"/>
      <c r="F45" s="388"/>
      <c r="G45" s="399" t="e">
        <f aca="false">'Datos de condiciones'!N4</f>
        <v>#VALUE!</v>
      </c>
      <c r="H45" s="400" t="s">
        <v>48</v>
      </c>
      <c r="I45" s="401"/>
      <c r="J45" s="401"/>
      <c r="K45" s="401"/>
      <c r="L45" s="391"/>
      <c r="M45" s="350"/>
      <c r="N45" s="350"/>
      <c r="O45" s="350"/>
      <c r="P45" s="350"/>
      <c r="Q45" s="350"/>
      <c r="R45" s="350"/>
      <c r="S45" s="350"/>
      <c r="T45" s="350"/>
      <c r="U45" s="350"/>
      <c r="V45" s="350"/>
      <c r="W45" s="350"/>
      <c r="X45" s="350"/>
      <c r="Y45" s="350"/>
      <c r="Z45" s="350"/>
      <c r="AA45" s="350"/>
      <c r="AB45" s="350"/>
      <c r="AC45" s="350"/>
      <c r="AD45" s="350"/>
      <c r="AE45" s="350"/>
      <c r="AF45" s="350"/>
      <c r="AG45" s="350"/>
      <c r="AH45" s="350"/>
      <c r="AI45" s="350"/>
      <c r="AJ45" s="350"/>
      <c r="AK45" s="350"/>
      <c r="AL45" s="350"/>
      <c r="AM45" s="350"/>
      <c r="AN45" s="350"/>
      <c r="AO45" s="350"/>
      <c r="AP45" s="350"/>
      <c r="AQ45" s="350"/>
      <c r="AR45" s="350"/>
      <c r="AS45" s="350"/>
      <c r="AT45" s="350"/>
      <c r="AU45" s="350"/>
      <c r="AV45" s="350"/>
      <c r="AW45" s="350"/>
      <c r="AX45" s="350"/>
      <c r="AY45" s="350"/>
      <c r="AZ45" s="350"/>
      <c r="BA45" s="350"/>
      <c r="BB45" s="350"/>
      <c r="BC45" s="350"/>
      <c r="BD45" s="350"/>
      <c r="BE45" s="350"/>
      <c r="BF45" s="350"/>
      <c r="BG45" s="350"/>
      <c r="BH45" s="350"/>
      <c r="BI45" s="350"/>
    </row>
    <row r="46" customFormat="false" ht="12.75" hidden="false" customHeight="false" outlineLevel="0" collapsed="false">
      <c r="A46" s="392" t="s">
        <v>523</v>
      </c>
      <c r="B46" s="392"/>
      <c r="C46" s="392"/>
      <c r="D46" s="392"/>
      <c r="E46" s="393"/>
      <c r="F46" s="393"/>
      <c r="G46" s="402" t="e">
        <f aca="false">'Datos de condiciones'!N5</f>
        <v>#VALUE!</v>
      </c>
      <c r="H46" s="403" t="s">
        <v>48</v>
      </c>
      <c r="I46" s="396"/>
      <c r="J46" s="396"/>
      <c r="K46" s="396"/>
      <c r="L46" s="397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50"/>
      <c r="X46" s="350"/>
      <c r="Y46" s="350"/>
      <c r="Z46" s="350"/>
      <c r="AA46" s="350"/>
      <c r="AB46" s="350"/>
      <c r="AC46" s="350"/>
      <c r="AD46" s="350"/>
      <c r="AE46" s="350"/>
      <c r="AF46" s="350"/>
      <c r="AG46" s="350"/>
      <c r="AH46" s="350"/>
      <c r="AI46" s="350"/>
      <c r="AJ46" s="350"/>
      <c r="AK46" s="350"/>
      <c r="AL46" s="350"/>
      <c r="AM46" s="350"/>
      <c r="AN46" s="350"/>
      <c r="AO46" s="350"/>
      <c r="AP46" s="350"/>
      <c r="AQ46" s="350"/>
      <c r="AR46" s="350"/>
      <c r="AS46" s="350"/>
      <c r="AT46" s="350"/>
      <c r="AU46" s="350"/>
      <c r="AV46" s="350"/>
      <c r="AW46" s="350"/>
      <c r="AX46" s="350"/>
      <c r="AY46" s="350"/>
      <c r="AZ46" s="350"/>
      <c r="BA46" s="350"/>
      <c r="BB46" s="350"/>
      <c r="BC46" s="350"/>
      <c r="BD46" s="350"/>
      <c r="BE46" s="350"/>
      <c r="BF46" s="350"/>
      <c r="BG46" s="350"/>
      <c r="BH46" s="350"/>
      <c r="BI46" s="350"/>
    </row>
    <row r="47" customFormat="false" ht="12.75" hidden="false" customHeight="false" outlineLevel="0" collapsed="false">
      <c r="A47" s="398" t="s">
        <v>524</v>
      </c>
      <c r="B47" s="398"/>
      <c r="C47" s="398"/>
      <c r="D47" s="398"/>
      <c r="E47" s="388"/>
      <c r="F47" s="388"/>
      <c r="G47" s="404"/>
      <c r="H47" s="400"/>
      <c r="I47" s="405" t="e">
        <f aca="false">+(G45+G46)/2</f>
        <v>#VALUE!</v>
      </c>
      <c r="J47" s="405" t="s">
        <v>521</v>
      </c>
      <c r="K47" s="405" t="e">
        <f aca="false">ABS(G46-G45)</f>
        <v>#VALUE!</v>
      </c>
      <c r="L47" s="406" t="s">
        <v>48</v>
      </c>
      <c r="M47" s="350"/>
      <c r="N47" s="350"/>
      <c r="O47" s="350"/>
      <c r="P47" s="350"/>
      <c r="Q47" s="350"/>
      <c r="R47" s="350"/>
      <c r="S47" s="350"/>
      <c r="T47" s="350"/>
      <c r="U47" s="350"/>
      <c r="V47" s="350"/>
      <c r="W47" s="350"/>
      <c r="X47" s="350"/>
      <c r="Y47" s="350"/>
      <c r="Z47" s="350"/>
      <c r="AA47" s="350"/>
      <c r="AB47" s="350"/>
      <c r="AC47" s="350"/>
      <c r="AD47" s="350"/>
      <c r="AE47" s="350"/>
      <c r="AF47" s="350"/>
      <c r="AG47" s="350"/>
      <c r="AH47" s="350"/>
      <c r="AI47" s="350"/>
      <c r="AJ47" s="350"/>
      <c r="AK47" s="350"/>
      <c r="AL47" s="350"/>
      <c r="AM47" s="350"/>
      <c r="AN47" s="350"/>
      <c r="AO47" s="350"/>
      <c r="AP47" s="350"/>
      <c r="AQ47" s="350"/>
      <c r="AR47" s="350"/>
      <c r="AS47" s="350"/>
      <c r="AT47" s="350"/>
      <c r="AU47" s="350"/>
      <c r="AV47" s="350"/>
      <c r="AW47" s="350"/>
      <c r="AX47" s="350"/>
      <c r="AY47" s="350"/>
      <c r="AZ47" s="350"/>
      <c r="BA47" s="350"/>
      <c r="BB47" s="350"/>
      <c r="BC47" s="350"/>
      <c r="BD47" s="350"/>
      <c r="BE47" s="350"/>
      <c r="BF47" s="350"/>
      <c r="BG47" s="350"/>
      <c r="BH47" s="350"/>
      <c r="BI47" s="350"/>
    </row>
    <row r="48" customFormat="false" ht="12.75" hidden="false" customHeight="false" outlineLevel="0" collapsed="false">
      <c r="A48" s="392" t="s">
        <v>525</v>
      </c>
      <c r="B48" s="392"/>
      <c r="C48" s="392"/>
      <c r="D48" s="392"/>
      <c r="E48" s="393"/>
      <c r="F48" s="393"/>
      <c r="G48" s="407" t="n">
        <v>0.018</v>
      </c>
      <c r="H48" s="408" t="s">
        <v>45</v>
      </c>
      <c r="I48" s="409"/>
      <c r="J48" s="409"/>
      <c r="K48" s="409"/>
      <c r="L48" s="409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 s="350"/>
      <c r="X48" s="350"/>
      <c r="Y48" s="350"/>
      <c r="Z48" s="350"/>
      <c r="AA48" s="350"/>
      <c r="AB48" s="350"/>
      <c r="AC48" s="350"/>
      <c r="AD48" s="350"/>
      <c r="AE48" s="350"/>
      <c r="AF48" s="350"/>
      <c r="AG48" s="350"/>
      <c r="AH48" s="350"/>
      <c r="AI48" s="350"/>
      <c r="AJ48" s="350"/>
      <c r="AK48" s="350"/>
      <c r="AL48" s="350"/>
      <c r="AM48" s="350"/>
      <c r="AN48" s="350"/>
      <c r="AO48" s="350"/>
      <c r="AP48" s="350"/>
      <c r="AQ48" s="350"/>
      <c r="AR48" s="350"/>
      <c r="AS48" s="350"/>
      <c r="AT48" s="350"/>
      <c r="AU48" s="350"/>
      <c r="AV48" s="350"/>
      <c r="AW48" s="350"/>
      <c r="AX48" s="350"/>
      <c r="AY48" s="350"/>
      <c r="AZ48" s="350"/>
      <c r="BA48" s="350"/>
      <c r="BB48" s="350"/>
      <c r="BC48" s="350"/>
      <c r="BD48" s="350"/>
      <c r="BE48" s="350"/>
      <c r="BF48" s="350"/>
      <c r="BG48" s="350"/>
      <c r="BH48" s="350"/>
      <c r="BI48" s="350"/>
    </row>
    <row r="49" customFormat="false" ht="13.5" hidden="false" customHeight="false" outlineLevel="0" collapsed="false">
      <c r="A49" s="410" t="s">
        <v>526</v>
      </c>
      <c r="B49" s="410"/>
      <c r="C49" s="410"/>
      <c r="D49" s="410"/>
      <c r="E49" s="411"/>
      <c r="F49" s="411"/>
      <c r="G49" s="412" t="n">
        <v>0.001</v>
      </c>
      <c r="H49" s="413" t="s">
        <v>45</v>
      </c>
      <c r="I49" s="414"/>
      <c r="J49" s="414"/>
      <c r="K49" s="414"/>
      <c r="L49" s="414"/>
      <c r="M49" s="350"/>
      <c r="N49" s="350"/>
      <c r="O49" s="350"/>
      <c r="P49" s="350"/>
      <c r="Q49" s="350"/>
      <c r="R49" s="350"/>
      <c r="S49" s="350"/>
      <c r="T49" s="350"/>
      <c r="U49" s="350"/>
      <c r="V49" s="350"/>
      <c r="W49" s="350"/>
      <c r="X49" s="350"/>
      <c r="Y49" s="350"/>
      <c r="Z49" s="350"/>
      <c r="AA49" s="350"/>
      <c r="AB49" s="350"/>
      <c r="AC49" s="350"/>
      <c r="AD49" s="350"/>
      <c r="AE49" s="350"/>
      <c r="AF49" s="350"/>
      <c r="AG49" s="350"/>
      <c r="AH49" s="350"/>
      <c r="AI49" s="350"/>
      <c r="AJ49" s="350"/>
      <c r="AK49" s="350"/>
      <c r="AL49" s="350"/>
      <c r="AM49" s="350"/>
      <c r="AN49" s="350"/>
      <c r="AO49" s="350"/>
      <c r="AP49" s="350"/>
      <c r="AQ49" s="350"/>
      <c r="AR49" s="350"/>
      <c r="AS49" s="350"/>
      <c r="AT49" s="350"/>
      <c r="AU49" s="350"/>
      <c r="AV49" s="350"/>
      <c r="AW49" s="350"/>
      <c r="AX49" s="350"/>
      <c r="AY49" s="350"/>
      <c r="AZ49" s="350"/>
      <c r="BA49" s="350"/>
      <c r="BB49" s="350"/>
      <c r="BC49" s="350"/>
      <c r="BD49" s="350"/>
      <c r="BE49" s="350"/>
      <c r="BF49" s="350"/>
      <c r="BG49" s="350"/>
      <c r="BH49" s="350"/>
      <c r="BI49" s="350"/>
    </row>
    <row r="50" customFormat="false" ht="13.5" hidden="false" customHeight="false" outlineLevel="0" collapsed="false">
      <c r="A50" s="400"/>
      <c r="B50" s="400"/>
      <c r="C50" s="400"/>
      <c r="D50" s="400"/>
      <c r="E50" s="400"/>
      <c r="F50" s="400"/>
      <c r="G50" s="400"/>
      <c r="H50" s="400"/>
      <c r="I50" s="400"/>
      <c r="J50" s="400"/>
      <c r="K50" s="400"/>
      <c r="L50" s="400"/>
      <c r="M50" s="350"/>
      <c r="N50" s="350"/>
      <c r="O50" s="350"/>
      <c r="P50" s="350"/>
      <c r="Q50" s="350"/>
      <c r="R50" s="350"/>
      <c r="S50" s="350"/>
      <c r="T50" s="350"/>
      <c r="U50" s="350"/>
      <c r="V50" s="350"/>
      <c r="W50" s="350"/>
      <c r="X50" s="350"/>
      <c r="Y50" s="350"/>
      <c r="Z50" s="350"/>
      <c r="AA50" s="350"/>
      <c r="AB50" s="350"/>
      <c r="AC50" s="350"/>
      <c r="AD50" s="350"/>
      <c r="AE50" s="350"/>
      <c r="AF50" s="350"/>
      <c r="AG50" s="350"/>
      <c r="AH50" s="350"/>
      <c r="AI50" s="350"/>
      <c r="AJ50" s="350"/>
      <c r="AK50" s="350"/>
      <c r="AL50" s="350"/>
      <c r="AM50" s="350"/>
      <c r="AN50" s="350"/>
      <c r="AO50" s="350"/>
      <c r="AP50" s="350"/>
      <c r="AQ50" s="350"/>
      <c r="AR50" s="350"/>
      <c r="AS50" s="350"/>
      <c r="AT50" s="350"/>
      <c r="AU50" s="350"/>
      <c r="AV50" s="350"/>
      <c r="AW50" s="350"/>
      <c r="AX50" s="350"/>
      <c r="AY50" s="350"/>
      <c r="AZ50" s="350"/>
      <c r="BA50" s="350"/>
      <c r="BB50" s="350"/>
      <c r="BC50" s="350"/>
      <c r="BD50" s="350"/>
      <c r="BE50" s="350"/>
      <c r="BF50" s="350"/>
      <c r="BG50" s="350"/>
      <c r="BH50" s="350"/>
      <c r="BI50" s="350"/>
    </row>
    <row r="51" customFormat="false" ht="16.5" hidden="false" customHeight="false" outlineLevel="0" collapsed="false">
      <c r="A51" s="368" t="s">
        <v>527</v>
      </c>
      <c r="B51" s="368"/>
      <c r="C51" s="368"/>
      <c r="D51" s="368"/>
      <c r="E51" s="368"/>
      <c r="F51" s="368"/>
      <c r="G51" s="368"/>
      <c r="H51" s="368"/>
      <c r="I51" s="368"/>
      <c r="J51" s="368"/>
      <c r="K51" s="368"/>
      <c r="L51" s="368"/>
      <c r="M51" s="350"/>
      <c r="N51" s="350"/>
      <c r="O51" s="350"/>
      <c r="P51" s="350"/>
      <c r="Q51" s="350"/>
      <c r="R51" s="350"/>
      <c r="S51" s="350"/>
      <c r="T51" s="350"/>
      <c r="U51" s="350"/>
      <c r="V51" s="350"/>
      <c r="W51" s="350"/>
      <c r="X51" s="350"/>
      <c r="Y51" s="350"/>
      <c r="Z51" s="350"/>
      <c r="AA51" s="350"/>
      <c r="AB51" s="350"/>
      <c r="AC51" s="350"/>
      <c r="AD51" s="350"/>
      <c r="AE51" s="350"/>
      <c r="AF51" s="350"/>
      <c r="AG51" s="350"/>
      <c r="AH51" s="350"/>
      <c r="AI51" s="350"/>
      <c r="AJ51" s="350"/>
      <c r="AK51" s="350"/>
      <c r="AL51" s="350"/>
      <c r="AM51" s="350"/>
      <c r="AN51" s="350"/>
      <c r="AO51" s="350"/>
      <c r="AP51" s="350"/>
      <c r="AQ51" s="350"/>
      <c r="AR51" s="350"/>
      <c r="AS51" s="350"/>
      <c r="AT51" s="350"/>
      <c r="AU51" s="350"/>
      <c r="AV51" s="350"/>
      <c r="AW51" s="350"/>
      <c r="AX51" s="350"/>
      <c r="AY51" s="350"/>
      <c r="AZ51" s="350"/>
      <c r="BA51" s="350"/>
      <c r="BB51" s="350"/>
      <c r="BC51" s="350"/>
      <c r="BD51" s="350"/>
      <c r="BE51" s="350"/>
      <c r="BF51" s="350"/>
      <c r="BG51" s="350"/>
      <c r="BH51" s="350"/>
      <c r="BI51" s="350"/>
    </row>
    <row r="52" customFormat="false" ht="16.5" hidden="false" customHeight="false" outlineLevel="0" collapsed="false">
      <c r="A52" s="301"/>
      <c r="B52" s="301"/>
      <c r="C52" s="301"/>
      <c r="D52" s="301"/>
      <c r="E52" s="301"/>
      <c r="F52" s="301"/>
      <c r="G52" s="301"/>
      <c r="H52" s="301"/>
      <c r="I52" s="301"/>
      <c r="J52" s="301"/>
      <c r="K52" s="301"/>
      <c r="L52" s="301"/>
      <c r="M52" s="350"/>
      <c r="N52" s="350"/>
      <c r="O52" s="350"/>
      <c r="P52" s="350"/>
      <c r="Q52" s="350"/>
      <c r="R52" s="350"/>
      <c r="S52" s="350"/>
      <c r="T52" s="350"/>
      <c r="U52" s="350"/>
      <c r="V52" s="350"/>
      <c r="W52" s="350"/>
      <c r="X52" s="350"/>
      <c r="Y52" s="350"/>
      <c r="Z52" s="350"/>
      <c r="AA52" s="350"/>
      <c r="AB52" s="350"/>
      <c r="AC52" s="350"/>
      <c r="AD52" s="350"/>
      <c r="AE52" s="350"/>
      <c r="AF52" s="350"/>
      <c r="AG52" s="350"/>
      <c r="AH52" s="350"/>
      <c r="AI52" s="350"/>
      <c r="AJ52" s="350"/>
      <c r="AK52" s="350"/>
      <c r="AL52" s="350"/>
      <c r="AM52" s="350"/>
      <c r="AN52" s="350"/>
      <c r="AO52" s="350"/>
      <c r="AP52" s="350"/>
      <c r="AQ52" s="350"/>
      <c r="AR52" s="350"/>
      <c r="AS52" s="350"/>
      <c r="AT52" s="350"/>
      <c r="AU52" s="350"/>
      <c r="AV52" s="350"/>
      <c r="AW52" s="350"/>
      <c r="AX52" s="350"/>
      <c r="AY52" s="350"/>
      <c r="AZ52" s="350"/>
      <c r="BA52" s="350"/>
      <c r="BB52" s="350"/>
      <c r="BC52" s="350"/>
      <c r="BD52" s="350"/>
      <c r="BE52" s="350"/>
      <c r="BF52" s="350"/>
      <c r="BG52" s="350"/>
      <c r="BH52" s="350"/>
      <c r="BI52" s="350"/>
    </row>
    <row r="53" customFormat="false" ht="13.5" hidden="false" customHeight="false" outlineLevel="0" collapsed="false">
      <c r="A53" s="415" t="s">
        <v>528</v>
      </c>
      <c r="B53" s="415"/>
      <c r="C53" s="415"/>
      <c r="D53" s="415"/>
      <c r="E53" s="415"/>
      <c r="F53" s="415"/>
      <c r="G53" s="415"/>
      <c r="H53" s="415"/>
      <c r="I53" s="415"/>
      <c r="J53" s="415"/>
      <c r="K53" s="415"/>
      <c r="L53" s="415"/>
      <c r="M53" s="350"/>
      <c r="N53" s="350"/>
      <c r="O53" s="350"/>
      <c r="P53" s="350"/>
      <c r="Q53" s="350"/>
      <c r="R53" s="350"/>
      <c r="S53" s="350"/>
      <c r="T53" s="350"/>
      <c r="U53" s="350"/>
      <c r="V53" s="350"/>
      <c r="W53" s="350"/>
      <c r="X53" s="350"/>
      <c r="Y53" s="350"/>
      <c r="Z53" s="350"/>
      <c r="AA53" s="350"/>
      <c r="AB53" s="350"/>
      <c r="AC53" s="350"/>
      <c r="AD53" s="350"/>
      <c r="AE53" s="350"/>
      <c r="AF53" s="350"/>
      <c r="AG53" s="350"/>
      <c r="AH53" s="350"/>
      <c r="AI53" s="350"/>
      <c r="AJ53" s="350"/>
      <c r="AK53" s="350"/>
      <c r="AL53" s="350"/>
      <c r="AM53" s="350"/>
      <c r="AN53" s="350"/>
      <c r="AO53" s="350"/>
      <c r="AP53" s="350"/>
      <c r="AQ53" s="350"/>
      <c r="AR53" s="350"/>
      <c r="AS53" s="350"/>
      <c r="AT53" s="350"/>
      <c r="AU53" s="350"/>
      <c r="AV53" s="350"/>
      <c r="AW53" s="350"/>
      <c r="AX53" s="350"/>
      <c r="AY53" s="350"/>
      <c r="AZ53" s="350"/>
      <c r="BA53" s="350"/>
      <c r="BB53" s="350"/>
      <c r="BC53" s="350"/>
      <c r="BD53" s="350"/>
      <c r="BE53" s="350"/>
      <c r="BF53" s="350"/>
      <c r="BG53" s="350"/>
      <c r="BH53" s="350"/>
      <c r="BI53" s="350"/>
    </row>
    <row r="54" customFormat="false" ht="12.75" hidden="false" customHeight="false" outlineLevel="0" collapsed="false">
      <c r="A54" s="290" t="s">
        <v>529</v>
      </c>
      <c r="B54" s="290"/>
      <c r="C54" s="290"/>
      <c r="D54" s="290"/>
      <c r="E54" s="290"/>
      <c r="F54" s="290"/>
      <c r="G54" s="290"/>
      <c r="H54" s="416" t="str">
        <f aca="false">IF($H$59='Patrones LACOMET'!$D$3,'Patrones LACOMET'!B14,(IF($H$59='Patrones LACOMET'!$D$4,'Patrones LACOMET'!B28,"No existe el patrón")))</f>
        <v>LCM</v>
      </c>
      <c r="I54" s="416"/>
      <c r="J54" s="416"/>
      <c r="K54" s="416"/>
      <c r="L54" s="416"/>
      <c r="M54" s="350"/>
      <c r="N54" s="350"/>
      <c r="O54" s="350"/>
      <c r="P54" s="350"/>
      <c r="Q54" s="350"/>
      <c r="R54" s="350"/>
      <c r="S54" s="350"/>
      <c r="T54" s="350"/>
      <c r="U54" s="350"/>
      <c r="V54" s="350"/>
      <c r="W54" s="350"/>
      <c r="X54" s="350"/>
      <c r="Y54" s="350"/>
      <c r="Z54" s="350"/>
      <c r="AA54" s="350"/>
      <c r="AB54" s="350"/>
      <c r="AC54" s="350"/>
      <c r="AD54" s="350"/>
      <c r="AE54" s="350"/>
      <c r="AF54" s="350"/>
      <c r="AG54" s="350"/>
      <c r="AH54" s="350"/>
      <c r="AI54" s="350"/>
      <c r="AJ54" s="350"/>
      <c r="AK54" s="350"/>
      <c r="AL54" s="350"/>
      <c r="AM54" s="350"/>
      <c r="AN54" s="350"/>
      <c r="AO54" s="350"/>
      <c r="AP54" s="350"/>
      <c r="AQ54" s="350"/>
      <c r="AR54" s="350"/>
      <c r="AS54" s="350"/>
      <c r="AT54" s="350"/>
      <c r="AU54" s="350"/>
      <c r="AV54" s="350"/>
      <c r="AW54" s="350"/>
      <c r="AX54" s="350"/>
      <c r="AY54" s="350"/>
      <c r="AZ54" s="350"/>
      <c r="BA54" s="350"/>
      <c r="BB54" s="350"/>
      <c r="BC54" s="350"/>
      <c r="BD54" s="350"/>
      <c r="BE54" s="350"/>
      <c r="BF54" s="350"/>
      <c r="BG54" s="350"/>
      <c r="BH54" s="350"/>
      <c r="BI54" s="350"/>
    </row>
    <row r="55" customFormat="false" ht="12.75" hidden="false" customHeight="false" outlineLevel="0" collapsed="false">
      <c r="A55" s="290" t="s">
        <v>530</v>
      </c>
      <c r="B55" s="290"/>
      <c r="C55" s="290"/>
      <c r="D55" s="290"/>
      <c r="E55" s="290"/>
      <c r="F55" s="290"/>
      <c r="G55" s="290"/>
      <c r="H55" s="416" t="str">
        <f aca="false">IF($H$59='Patrones LACOMET'!$D$3,'Patrones LACOMET'!B15,(IF($H$59='Patrones LACOMET'!$D$4,'Patrones LACOMET'!B29,"No existe el patrón")))</f>
        <v>CNM-CC-740-579/2015</v>
      </c>
      <c r="I55" s="416"/>
      <c r="J55" s="416"/>
      <c r="K55" s="416"/>
      <c r="L55" s="416"/>
      <c r="M55" s="350"/>
      <c r="N55" s="350"/>
      <c r="O55" s="350"/>
      <c r="P55" s="350"/>
      <c r="Q55" s="350"/>
      <c r="R55" s="350"/>
      <c r="S55" s="350"/>
      <c r="T55" s="350"/>
      <c r="U55" s="350"/>
      <c r="V55" s="350"/>
      <c r="W55" s="350"/>
      <c r="X55" s="350"/>
      <c r="Y55" s="350"/>
      <c r="Z55" s="350"/>
      <c r="AA55" s="350"/>
      <c r="AB55" s="350"/>
      <c r="AC55" s="350"/>
      <c r="AD55" s="350"/>
      <c r="AE55" s="350"/>
      <c r="AF55" s="350"/>
      <c r="AG55" s="350"/>
      <c r="AH55" s="350"/>
      <c r="AI55" s="350"/>
      <c r="AJ55" s="350"/>
      <c r="AK55" s="350"/>
      <c r="AL55" s="350"/>
      <c r="AM55" s="350"/>
      <c r="AN55" s="350"/>
      <c r="AO55" s="350"/>
      <c r="AP55" s="350"/>
      <c r="AQ55" s="350"/>
      <c r="AR55" s="350"/>
      <c r="AS55" s="350"/>
      <c r="AT55" s="350"/>
      <c r="AU55" s="350"/>
      <c r="AV55" s="350"/>
      <c r="AW55" s="350"/>
      <c r="AX55" s="350"/>
      <c r="AY55" s="350"/>
      <c r="AZ55" s="350"/>
      <c r="BA55" s="350"/>
      <c r="BB55" s="350"/>
      <c r="BC55" s="350"/>
      <c r="BD55" s="350"/>
      <c r="BE55" s="350"/>
      <c r="BF55" s="350"/>
      <c r="BG55" s="350"/>
      <c r="BH55" s="350"/>
      <c r="BI55" s="350"/>
    </row>
    <row r="56" customFormat="false" ht="12.75" hidden="false" customHeight="false" outlineLevel="0" collapsed="false">
      <c r="A56" s="290" t="s">
        <v>531</v>
      </c>
      <c r="B56" s="290"/>
      <c r="C56" s="290"/>
      <c r="D56" s="290"/>
      <c r="E56" s="290"/>
      <c r="F56" s="290"/>
      <c r="G56" s="290"/>
      <c r="H56" s="417" t="n">
        <f aca="false">IF($H$59='Patrones LACOMET'!$D$3,'Patrones LACOMET'!B16,(IF($H$59='Patrones LACOMET'!$D$4,'Patrones LACOMET'!B30,"No existe el patrón")))</f>
        <v>42339</v>
      </c>
      <c r="I56" s="417"/>
      <c r="J56" s="417"/>
      <c r="K56" s="417"/>
      <c r="L56" s="417"/>
      <c r="M56" s="350"/>
      <c r="N56" s="350"/>
      <c r="O56" s="350"/>
      <c r="P56" s="350"/>
      <c r="Q56" s="350"/>
      <c r="R56" s="350"/>
      <c r="S56" s="350"/>
      <c r="T56" s="350"/>
      <c r="U56" s="350"/>
      <c r="V56" s="350"/>
      <c r="W56" s="350"/>
      <c r="X56" s="350"/>
      <c r="Y56" s="350"/>
      <c r="Z56" s="350"/>
      <c r="AA56" s="350"/>
      <c r="AB56" s="350"/>
      <c r="AC56" s="350"/>
      <c r="AD56" s="350"/>
      <c r="AE56" s="350"/>
      <c r="AF56" s="350"/>
      <c r="AG56" s="350"/>
      <c r="AH56" s="350"/>
      <c r="AI56" s="350"/>
      <c r="AJ56" s="350"/>
      <c r="AK56" s="350"/>
      <c r="AL56" s="350"/>
      <c r="AM56" s="350"/>
      <c r="AN56" s="350"/>
      <c r="AO56" s="350"/>
      <c r="AP56" s="350"/>
      <c r="AQ56" s="350"/>
      <c r="AR56" s="350"/>
      <c r="AS56" s="350"/>
      <c r="AT56" s="350"/>
      <c r="AU56" s="350"/>
      <c r="AV56" s="350"/>
      <c r="AW56" s="350"/>
      <c r="AX56" s="350"/>
      <c r="AY56" s="350"/>
      <c r="AZ56" s="350"/>
      <c r="BA56" s="350"/>
      <c r="BB56" s="350"/>
      <c r="BC56" s="350"/>
      <c r="BD56" s="350"/>
      <c r="BE56" s="350"/>
      <c r="BF56" s="350"/>
      <c r="BG56" s="350"/>
      <c r="BH56" s="350"/>
      <c r="BI56" s="350"/>
    </row>
    <row r="57" customFormat="false" ht="12.75" hidden="false" customHeight="false" outlineLevel="0" collapsed="false">
      <c r="A57" s="290" t="s">
        <v>532</v>
      </c>
      <c r="B57" s="290"/>
      <c r="C57" s="290"/>
      <c r="D57" s="290"/>
      <c r="E57" s="290"/>
      <c r="F57" s="290"/>
      <c r="G57" s="290"/>
      <c r="H57" s="417" t="n">
        <f aca="false">IF($H$59='Patrones LACOMET'!$D$3,'Patrones LACOMET'!B17,(IF($H$59='Patrones LACOMET'!$D$4,'Patrones LACOMET'!B31,"No existe el patrón")))</f>
        <v>44166</v>
      </c>
      <c r="I57" s="417"/>
      <c r="J57" s="417"/>
      <c r="K57" s="417"/>
      <c r="L57" s="417"/>
      <c r="M57" s="350"/>
      <c r="N57" s="350"/>
      <c r="O57" s="350"/>
      <c r="P57" s="350"/>
      <c r="Q57" s="350"/>
      <c r="R57" s="350"/>
      <c r="S57" s="350"/>
      <c r="T57" s="350"/>
      <c r="U57" s="350"/>
      <c r="V57" s="350"/>
      <c r="W57" s="350"/>
      <c r="X57" s="350"/>
      <c r="Y57" s="350"/>
      <c r="Z57" s="350"/>
      <c r="AA57" s="350"/>
      <c r="AB57" s="350"/>
      <c r="AC57" s="350"/>
      <c r="AD57" s="350"/>
      <c r="AE57" s="350"/>
      <c r="AF57" s="350"/>
      <c r="AG57" s="350"/>
      <c r="AH57" s="350"/>
      <c r="AI57" s="350"/>
      <c r="AJ57" s="350"/>
      <c r="AK57" s="350"/>
      <c r="AL57" s="350"/>
      <c r="AM57" s="350"/>
      <c r="AN57" s="350"/>
      <c r="AO57" s="350"/>
      <c r="AP57" s="350"/>
      <c r="AQ57" s="350"/>
      <c r="AR57" s="350"/>
      <c r="AS57" s="350"/>
      <c r="AT57" s="350"/>
      <c r="AU57" s="350"/>
      <c r="AV57" s="350"/>
      <c r="AW57" s="350"/>
      <c r="AX57" s="350"/>
      <c r="AY57" s="350"/>
      <c r="AZ57" s="350"/>
      <c r="BA57" s="350"/>
      <c r="BB57" s="350"/>
      <c r="BC57" s="350"/>
      <c r="BD57" s="350"/>
      <c r="BE57" s="350"/>
      <c r="BF57" s="350"/>
      <c r="BG57" s="350"/>
      <c r="BH57" s="350"/>
      <c r="BI57" s="350"/>
    </row>
    <row r="58" customFormat="false" ht="12.75" hidden="false" customHeight="false" outlineLevel="0" collapsed="false">
      <c r="A58" s="290" t="s">
        <v>533</v>
      </c>
      <c r="B58" s="290"/>
      <c r="C58" s="290"/>
      <c r="D58" s="290"/>
      <c r="E58" s="290"/>
      <c r="F58" s="290"/>
      <c r="G58" s="290"/>
      <c r="H58" s="416" t="str">
        <f aca="false">IF($H$59='Patrones LACOMET'!$D$3,'Patrones LACOMET'!B18,(IF($H$59='Patrones LACOMET'!$D$4,'Patrones LACOMET'!B32,"No existe el patrón")))</f>
        <v>TESA</v>
      </c>
      <c r="I58" s="416"/>
      <c r="J58" s="416"/>
      <c r="K58" s="416"/>
      <c r="L58" s="416"/>
      <c r="M58" s="350"/>
      <c r="N58" s="350"/>
      <c r="O58" s="350"/>
      <c r="P58" s="350"/>
      <c r="Q58" s="350"/>
      <c r="R58" s="350"/>
      <c r="S58" s="350"/>
      <c r="T58" s="350"/>
      <c r="U58" s="350"/>
      <c r="V58" s="350"/>
      <c r="W58" s="350"/>
      <c r="X58" s="350"/>
      <c r="Y58" s="350"/>
      <c r="Z58" s="350"/>
      <c r="AA58" s="350"/>
      <c r="AB58" s="350"/>
      <c r="AC58" s="350"/>
      <c r="AD58" s="350"/>
      <c r="AE58" s="350"/>
      <c r="AF58" s="350"/>
      <c r="AG58" s="350"/>
      <c r="AH58" s="350"/>
      <c r="AI58" s="350"/>
      <c r="AJ58" s="350"/>
      <c r="AK58" s="350"/>
      <c r="AL58" s="350"/>
      <c r="AM58" s="350"/>
      <c r="AN58" s="350"/>
      <c r="AO58" s="350"/>
      <c r="AP58" s="350"/>
      <c r="AQ58" s="350"/>
      <c r="AR58" s="350"/>
      <c r="AS58" s="350"/>
      <c r="AT58" s="350"/>
      <c r="AU58" s="350"/>
      <c r="AV58" s="350"/>
      <c r="AW58" s="350"/>
      <c r="AX58" s="350"/>
      <c r="AY58" s="350"/>
      <c r="AZ58" s="350"/>
      <c r="BA58" s="350"/>
      <c r="BB58" s="350"/>
      <c r="BC58" s="350"/>
      <c r="BD58" s="350"/>
      <c r="BE58" s="350"/>
      <c r="BF58" s="350"/>
      <c r="BG58" s="350"/>
      <c r="BH58" s="350"/>
      <c r="BI58" s="350"/>
    </row>
    <row r="59" customFormat="false" ht="12.75" hidden="false" customHeight="false" outlineLevel="0" collapsed="false">
      <c r="A59" s="290" t="s">
        <v>534</v>
      </c>
      <c r="B59" s="290"/>
      <c r="C59" s="290"/>
      <c r="D59" s="290"/>
      <c r="E59" s="290"/>
      <c r="F59" s="290"/>
      <c r="G59" s="290"/>
      <c r="H59" s="296" t="str">
        <f aca="false">'conversion datos'!L30</f>
        <v>Bloques Patrón de Cerámica de 0,5 mm a 100 mm</v>
      </c>
      <c r="I59" s="296"/>
      <c r="J59" s="296"/>
      <c r="K59" s="296"/>
      <c r="L59" s="296"/>
      <c r="M59" s="350"/>
      <c r="N59" s="350"/>
      <c r="O59" s="350"/>
      <c r="P59" s="350"/>
      <c r="Q59" s="350"/>
      <c r="R59" s="350"/>
      <c r="S59" s="350"/>
      <c r="T59" s="350"/>
      <c r="U59" s="350"/>
      <c r="V59" s="350"/>
      <c r="W59" s="350"/>
      <c r="X59" s="350"/>
      <c r="Y59" s="350"/>
      <c r="Z59" s="350"/>
      <c r="AA59" s="350"/>
      <c r="AB59" s="350"/>
      <c r="AC59" s="350"/>
      <c r="AD59" s="350"/>
      <c r="AE59" s="350"/>
      <c r="AF59" s="350"/>
      <c r="AG59" s="350"/>
      <c r="AH59" s="350"/>
      <c r="AI59" s="350"/>
      <c r="AJ59" s="350"/>
      <c r="AK59" s="350"/>
      <c r="AL59" s="350"/>
      <c r="AM59" s="350"/>
      <c r="AN59" s="350"/>
      <c r="AO59" s="350"/>
      <c r="AP59" s="350"/>
      <c r="AQ59" s="350"/>
      <c r="AR59" s="350"/>
      <c r="AS59" s="350"/>
      <c r="AT59" s="350"/>
      <c r="AU59" s="350"/>
      <c r="AV59" s="350"/>
      <c r="AW59" s="350"/>
      <c r="AX59" s="350"/>
      <c r="AY59" s="350"/>
      <c r="AZ59" s="350"/>
      <c r="BA59" s="350"/>
      <c r="BB59" s="350"/>
      <c r="BC59" s="350"/>
      <c r="BD59" s="350"/>
      <c r="BE59" s="350"/>
      <c r="BF59" s="350"/>
      <c r="BG59" s="350"/>
      <c r="BH59" s="350"/>
      <c r="BI59" s="350"/>
    </row>
    <row r="60" customFormat="false" ht="12.75" hidden="false" customHeight="false" outlineLevel="0" collapsed="false">
      <c r="A60" s="290" t="s">
        <v>535</v>
      </c>
      <c r="B60" s="290"/>
      <c r="C60" s="290"/>
      <c r="D60" s="290"/>
      <c r="E60" s="290"/>
      <c r="F60" s="290"/>
      <c r="G60" s="290"/>
      <c r="H60" s="416" t="str">
        <f aca="false">IF($H$59='Patrones LACOMET'!$D$3,'Patrones LACOMET'!B20,(IF($H$59='Patrones LACOMET'!$D$4,'Patrones LACOMET'!B34,"No existe el patrón")))</f>
        <v>00 ó K</v>
      </c>
      <c r="I60" s="416"/>
      <c r="J60" s="416"/>
      <c r="K60" s="416"/>
      <c r="L60" s="416"/>
      <c r="M60" s="350"/>
      <c r="N60" s="350"/>
      <c r="O60" s="350"/>
      <c r="P60" s="350"/>
      <c r="Q60" s="350"/>
      <c r="R60" s="350"/>
      <c r="S60" s="350"/>
      <c r="T60" s="350"/>
      <c r="U60" s="350"/>
      <c r="V60" s="350"/>
      <c r="W60" s="350"/>
      <c r="X60" s="350"/>
      <c r="Y60" s="350"/>
      <c r="Z60" s="350"/>
      <c r="AA60" s="350"/>
      <c r="AB60" s="350"/>
      <c r="AC60" s="350"/>
      <c r="AD60" s="350"/>
      <c r="AE60" s="350"/>
      <c r="AF60" s="350"/>
      <c r="AG60" s="350"/>
      <c r="AH60" s="350"/>
      <c r="AI60" s="350"/>
      <c r="AJ60" s="350"/>
      <c r="AK60" s="350"/>
      <c r="AL60" s="350"/>
      <c r="AM60" s="350"/>
      <c r="AN60" s="350"/>
      <c r="AO60" s="350"/>
      <c r="AP60" s="350"/>
      <c r="AQ60" s="350"/>
      <c r="AR60" s="350"/>
      <c r="AS60" s="350"/>
      <c r="AT60" s="350"/>
      <c r="AU60" s="350"/>
      <c r="AV60" s="350"/>
      <c r="AW60" s="350"/>
      <c r="AX60" s="350"/>
      <c r="AY60" s="350"/>
      <c r="AZ60" s="350"/>
      <c r="BA60" s="350"/>
      <c r="BB60" s="350"/>
      <c r="BC60" s="350"/>
      <c r="BD60" s="350"/>
      <c r="BE60" s="350"/>
      <c r="BF60" s="350"/>
      <c r="BG60" s="350"/>
      <c r="BH60" s="350"/>
      <c r="BI60" s="350"/>
    </row>
    <row r="61" customFormat="false" ht="12.75" hidden="false" customHeight="false" outlineLevel="0" collapsed="false">
      <c r="A61" s="290" t="s">
        <v>536</v>
      </c>
      <c r="B61" s="290"/>
      <c r="C61" s="290"/>
      <c r="D61" s="290"/>
      <c r="E61" s="290"/>
      <c r="F61" s="290"/>
      <c r="G61" s="290"/>
      <c r="H61" s="416" t="n">
        <f aca="false">IF($H$59='Patrones LACOMET'!$D$3,'Patrones LACOMET'!B21,(IF($H$59='Patrones LACOMET'!$D$4,'Patrones LACOMET'!B35,"No existe el patrón")))</f>
        <v>9.7E-006</v>
      </c>
      <c r="I61" s="416"/>
      <c r="J61" s="416"/>
      <c r="K61" s="416"/>
      <c r="L61" s="416"/>
      <c r="M61" s="350"/>
      <c r="N61" s="350"/>
      <c r="O61" s="350"/>
      <c r="P61" s="350"/>
      <c r="Q61" s="350"/>
      <c r="R61" s="350"/>
      <c r="S61" s="350"/>
      <c r="T61" s="350"/>
      <c r="U61" s="350"/>
      <c r="V61" s="350"/>
      <c r="W61" s="350"/>
      <c r="X61" s="350"/>
      <c r="Y61" s="350"/>
      <c r="Z61" s="350"/>
      <c r="AA61" s="350"/>
      <c r="AB61" s="350"/>
      <c r="AC61" s="350"/>
      <c r="AD61" s="350"/>
      <c r="AE61" s="350"/>
      <c r="AF61" s="350"/>
      <c r="AG61" s="350"/>
      <c r="AH61" s="350"/>
      <c r="AI61" s="350"/>
      <c r="AJ61" s="350"/>
      <c r="AK61" s="350"/>
      <c r="AL61" s="350"/>
      <c r="AM61" s="350"/>
      <c r="AN61" s="350"/>
      <c r="AO61" s="350"/>
      <c r="AP61" s="350"/>
      <c r="AQ61" s="350"/>
      <c r="AR61" s="350"/>
      <c r="AS61" s="350"/>
      <c r="AT61" s="350"/>
      <c r="AU61" s="350"/>
      <c r="AV61" s="350"/>
      <c r="AW61" s="350"/>
      <c r="AX61" s="350"/>
      <c r="AY61" s="350"/>
      <c r="AZ61" s="350"/>
      <c r="BA61" s="350"/>
      <c r="BB61" s="350"/>
      <c r="BC61" s="350"/>
      <c r="BD61" s="350"/>
      <c r="BE61" s="350"/>
      <c r="BF61" s="350"/>
      <c r="BG61" s="350"/>
      <c r="BH61" s="350"/>
      <c r="BI61" s="350"/>
    </row>
    <row r="62" customFormat="false" ht="12.75" hidden="false" customHeight="false" outlineLevel="0" collapsed="false">
      <c r="A62" s="290" t="s">
        <v>537</v>
      </c>
      <c r="B62" s="290"/>
      <c r="C62" s="290"/>
      <c r="D62" s="290"/>
      <c r="E62" s="290"/>
      <c r="F62" s="290"/>
      <c r="G62" s="290"/>
      <c r="H62" s="416" t="str">
        <f aca="false">IF($H$59='Patrones LACOMET'!$D$3,'Patrones LACOMET'!B22,(IF($H$59='Patrones LACOMET'!$D$4,'Patrones LACOMET'!B36,"No existe el patrón")))</f>
        <v>0.5 mm a 100 mm</v>
      </c>
      <c r="I62" s="416"/>
      <c r="J62" s="416"/>
      <c r="K62" s="416"/>
      <c r="L62" s="416"/>
      <c r="M62" s="350"/>
      <c r="N62" s="350"/>
      <c r="O62" s="350"/>
      <c r="P62" s="350"/>
      <c r="Q62" s="350"/>
      <c r="R62" s="350"/>
      <c r="S62" s="350"/>
      <c r="T62" s="350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350"/>
      <c r="AV62" s="350"/>
      <c r="AW62" s="350"/>
      <c r="AX62" s="350"/>
      <c r="AY62" s="350"/>
      <c r="AZ62" s="350"/>
      <c r="BA62" s="350"/>
      <c r="BB62" s="350"/>
      <c r="BC62" s="350"/>
      <c r="BD62" s="350"/>
      <c r="BE62" s="350"/>
      <c r="BF62" s="350"/>
      <c r="BG62" s="350"/>
      <c r="BH62" s="350"/>
      <c r="BI62" s="350"/>
    </row>
    <row r="63" customFormat="false" ht="12.75" hidden="false" customHeight="false" outlineLevel="0" collapsed="false">
      <c r="A63" s="290" t="s">
        <v>538</v>
      </c>
      <c r="B63" s="290"/>
      <c r="C63" s="290"/>
      <c r="D63" s="290"/>
      <c r="E63" s="290"/>
      <c r="F63" s="290"/>
      <c r="G63" s="290"/>
      <c r="H63" s="416" t="str">
        <f aca="false">IF($H$59='Patrones LACOMET'!$D$3,'Patrones LACOMET'!B23,(IF($H$59='Patrones LACOMET'!$D$4,'Patrones LACOMET'!B37,"No existe el patrón")))</f>
        <v>CENAM</v>
      </c>
      <c r="I63" s="416"/>
      <c r="J63" s="416"/>
      <c r="K63" s="416"/>
      <c r="L63" s="416"/>
      <c r="M63" s="350"/>
      <c r="N63" s="350"/>
      <c r="O63" s="350"/>
      <c r="P63" s="350"/>
      <c r="Q63" s="350"/>
      <c r="R63" s="350"/>
      <c r="S63" s="350"/>
      <c r="T63" s="350"/>
      <c r="U63" s="350"/>
      <c r="V63" s="350"/>
      <c r="W63" s="350"/>
      <c r="X63" s="350"/>
      <c r="Y63" s="350"/>
      <c r="Z63" s="350"/>
      <c r="AA63" s="350"/>
      <c r="AB63" s="350"/>
      <c r="AC63" s="350"/>
      <c r="AD63" s="350"/>
      <c r="AE63" s="350"/>
      <c r="AF63" s="350"/>
      <c r="AG63" s="350"/>
      <c r="AH63" s="350"/>
      <c r="AI63" s="350"/>
      <c r="AJ63" s="350"/>
      <c r="AK63" s="350"/>
      <c r="AL63" s="350"/>
      <c r="AM63" s="350"/>
      <c r="AN63" s="350"/>
      <c r="AO63" s="350"/>
      <c r="AP63" s="350"/>
      <c r="AQ63" s="350"/>
      <c r="AR63" s="350"/>
      <c r="AS63" s="350"/>
      <c r="AT63" s="350"/>
      <c r="AU63" s="350"/>
      <c r="AV63" s="350"/>
      <c r="AW63" s="350"/>
      <c r="AX63" s="350"/>
      <c r="AY63" s="350"/>
      <c r="AZ63" s="350"/>
      <c r="BA63" s="350"/>
      <c r="BB63" s="350"/>
      <c r="BC63" s="350"/>
      <c r="BD63" s="350"/>
      <c r="BE63" s="350"/>
      <c r="BF63" s="350"/>
      <c r="BG63" s="350"/>
      <c r="BH63" s="350"/>
      <c r="BI63" s="350"/>
    </row>
    <row r="64" customFormat="false" ht="12.75" hidden="false" customHeight="false" outlineLevel="0" collapsed="false">
      <c r="A64" s="290" t="s">
        <v>539</v>
      </c>
      <c r="B64" s="290"/>
      <c r="C64" s="290"/>
      <c r="D64" s="290"/>
      <c r="E64" s="290"/>
      <c r="F64" s="290"/>
      <c r="G64" s="290"/>
      <c r="H64" s="416" t="str">
        <f aca="false">IF($H$59='Patrones LACOMET'!$D$3,'Patrones LACOMET'!B24,(IF($H$59='Patrones LACOMET'!$D$4,'Patrones LACOMET'!B38,"No existe el patrón")))</f>
        <v>70057T</v>
      </c>
      <c r="I64" s="416"/>
      <c r="J64" s="416"/>
      <c r="K64" s="416"/>
      <c r="L64" s="416"/>
      <c r="M64" s="350"/>
      <c r="N64" s="350"/>
      <c r="O64" s="350"/>
      <c r="P64" s="350"/>
      <c r="Q64" s="350"/>
      <c r="R64" s="350"/>
      <c r="S64" s="350"/>
      <c r="T64" s="350"/>
      <c r="U64" s="350"/>
      <c r="V64" s="350"/>
      <c r="W64" s="350"/>
      <c r="X64" s="350"/>
      <c r="Y64" s="350"/>
      <c r="Z64" s="350"/>
      <c r="AA64" s="350"/>
      <c r="AB64" s="350"/>
      <c r="AC64" s="350"/>
      <c r="AD64" s="350"/>
      <c r="AE64" s="350"/>
      <c r="AF64" s="350"/>
      <c r="AG64" s="350"/>
      <c r="AH64" s="350"/>
      <c r="AI64" s="350"/>
      <c r="AJ64" s="350"/>
      <c r="AK64" s="350"/>
      <c r="AL64" s="350"/>
      <c r="AM64" s="350"/>
      <c r="AN64" s="350"/>
      <c r="AO64" s="350"/>
      <c r="AP64" s="350"/>
      <c r="AQ64" s="350"/>
      <c r="AR64" s="350"/>
      <c r="AS64" s="350"/>
      <c r="AT64" s="350"/>
      <c r="AU64" s="350"/>
      <c r="AV64" s="350"/>
      <c r="AW64" s="350"/>
      <c r="AX64" s="350"/>
      <c r="AY64" s="350"/>
      <c r="AZ64" s="350"/>
      <c r="BA64" s="350"/>
      <c r="BB64" s="350"/>
      <c r="BC64" s="350"/>
      <c r="BD64" s="350"/>
      <c r="BE64" s="350"/>
      <c r="BF64" s="350"/>
      <c r="BG64" s="350"/>
      <c r="BH64" s="350"/>
      <c r="BI64" s="350"/>
    </row>
    <row r="65" customFormat="false" ht="13.5" hidden="false" customHeight="false" outlineLevel="0" collapsed="false">
      <c r="A65" s="290" t="s">
        <v>540</v>
      </c>
      <c r="B65" s="290"/>
      <c r="C65" s="290"/>
      <c r="D65" s="290"/>
      <c r="E65" s="290"/>
      <c r="F65" s="290"/>
      <c r="G65" s="290"/>
      <c r="H65" s="416" t="n">
        <f aca="false">IF($H$59='Patrones LACOMET'!$D$3,'Patrones LACOMET'!B25,(IF($H$59='Patrones LACOMET'!$D$4,'Patrones LACOMET'!B39,"No existe el patrón")))</f>
        <v>707014</v>
      </c>
      <c r="I65" s="416"/>
      <c r="J65" s="416"/>
      <c r="K65" s="416"/>
      <c r="L65" s="416"/>
      <c r="M65" s="350"/>
      <c r="N65" s="350"/>
      <c r="O65" s="350"/>
      <c r="P65" s="350"/>
      <c r="Q65" s="350"/>
      <c r="R65" s="350"/>
      <c r="S65" s="350"/>
      <c r="T65" s="350"/>
      <c r="U65" s="350"/>
      <c r="V65" s="350"/>
      <c r="W65" s="350"/>
      <c r="X65" s="350"/>
      <c r="Y65" s="350"/>
      <c r="Z65" s="350"/>
      <c r="AA65" s="350"/>
      <c r="AB65" s="350"/>
      <c r="AC65" s="350"/>
      <c r="AD65" s="350"/>
      <c r="AE65" s="350"/>
      <c r="AF65" s="350"/>
      <c r="AG65" s="350"/>
      <c r="AH65" s="350"/>
      <c r="AI65" s="350"/>
      <c r="AJ65" s="350"/>
      <c r="AK65" s="350"/>
      <c r="AL65" s="350"/>
      <c r="AM65" s="350"/>
      <c r="AN65" s="350"/>
      <c r="AO65" s="350"/>
      <c r="AP65" s="350"/>
      <c r="AQ65" s="350"/>
      <c r="AR65" s="350"/>
      <c r="AS65" s="350"/>
      <c r="AT65" s="350"/>
      <c r="AU65" s="350"/>
      <c r="AV65" s="350"/>
      <c r="AW65" s="350"/>
      <c r="AX65" s="350"/>
      <c r="AY65" s="350"/>
      <c r="AZ65" s="350"/>
      <c r="BA65" s="350"/>
      <c r="BB65" s="350"/>
      <c r="BC65" s="350"/>
      <c r="BD65" s="350"/>
      <c r="BE65" s="350"/>
      <c r="BF65" s="350"/>
      <c r="BG65" s="350"/>
      <c r="BH65" s="350"/>
      <c r="BI65" s="350"/>
    </row>
    <row r="66" customFormat="false" ht="13.5" hidden="false" customHeight="false" outlineLevel="0" collapsed="false">
      <c r="A66" s="418" t="s">
        <v>541</v>
      </c>
      <c r="B66" s="418"/>
      <c r="C66" s="418"/>
      <c r="D66" s="418"/>
      <c r="E66" s="418"/>
      <c r="F66" s="418"/>
      <c r="G66" s="418"/>
      <c r="H66" s="418"/>
      <c r="I66" s="418"/>
      <c r="J66" s="418"/>
      <c r="K66" s="418"/>
      <c r="L66" s="418"/>
      <c r="M66" s="350"/>
      <c r="N66" s="350"/>
      <c r="O66" s="350"/>
      <c r="P66" s="350"/>
      <c r="Q66" s="350"/>
      <c r="R66" s="350"/>
      <c r="S66" s="350"/>
      <c r="T66" s="350"/>
      <c r="U66" s="350"/>
      <c r="V66" s="350"/>
      <c r="W66" s="350"/>
      <c r="X66" s="350"/>
      <c r="Y66" s="350"/>
      <c r="Z66" s="350"/>
      <c r="AA66" s="350"/>
      <c r="AB66" s="350"/>
      <c r="AC66" s="350"/>
      <c r="AD66" s="350"/>
      <c r="AE66" s="350"/>
      <c r="AF66" s="350"/>
      <c r="AG66" s="350"/>
      <c r="AH66" s="350"/>
      <c r="AI66" s="350"/>
      <c r="AJ66" s="350"/>
      <c r="AK66" s="350"/>
      <c r="AL66" s="350"/>
      <c r="AM66" s="350"/>
      <c r="AN66" s="350"/>
      <c r="AO66" s="350"/>
      <c r="AP66" s="350"/>
      <c r="AQ66" s="350"/>
      <c r="AR66" s="350"/>
      <c r="AS66" s="350"/>
      <c r="AT66" s="350"/>
      <c r="AU66" s="350"/>
      <c r="AV66" s="350"/>
      <c r="AW66" s="350"/>
      <c r="AX66" s="350"/>
      <c r="AY66" s="350"/>
      <c r="AZ66" s="350"/>
      <c r="BA66" s="350"/>
      <c r="BB66" s="350"/>
      <c r="BC66" s="350"/>
      <c r="BD66" s="350"/>
      <c r="BE66" s="350"/>
      <c r="BF66" s="350"/>
      <c r="BG66" s="350"/>
      <c r="BH66" s="350"/>
      <c r="BI66" s="350"/>
    </row>
    <row r="67" customFormat="false" ht="15" hidden="false" customHeight="true" outlineLevel="0" collapsed="false">
      <c r="A67" s="288" t="s">
        <v>529</v>
      </c>
      <c r="B67" s="288"/>
      <c r="C67" s="288"/>
      <c r="D67" s="288"/>
      <c r="E67" s="288"/>
      <c r="F67" s="288"/>
      <c r="G67" s="288"/>
      <c r="H67" s="419" t="str">
        <f aca="false">'Patrones LACOMET'!B2</f>
        <v>LCM</v>
      </c>
      <c r="I67" s="419"/>
      <c r="J67" s="419"/>
      <c r="K67" s="419"/>
      <c r="L67" s="419"/>
      <c r="M67" s="350"/>
      <c r="N67" s="350"/>
      <c r="O67" s="350"/>
      <c r="P67" s="350"/>
      <c r="Q67" s="350"/>
      <c r="R67" s="350"/>
      <c r="S67" s="350"/>
      <c r="T67" s="350"/>
      <c r="U67" s="350"/>
      <c r="V67" s="350"/>
      <c r="W67" s="350"/>
      <c r="X67" s="350"/>
      <c r="Y67" s="350"/>
      <c r="Z67" s="350"/>
      <c r="AA67" s="350"/>
      <c r="AB67" s="350"/>
      <c r="AC67" s="350"/>
      <c r="AD67" s="350"/>
      <c r="AE67" s="350"/>
      <c r="AF67" s="350"/>
      <c r="AG67" s="350"/>
      <c r="AH67" s="350"/>
      <c r="AI67" s="350"/>
      <c r="AJ67" s="350"/>
      <c r="AK67" s="350"/>
      <c r="AL67" s="350"/>
      <c r="AM67" s="350"/>
      <c r="AN67" s="350"/>
      <c r="AO67" s="350"/>
      <c r="AP67" s="350"/>
      <c r="AQ67" s="350"/>
      <c r="AR67" s="350"/>
      <c r="AS67" s="350"/>
      <c r="AT67" s="350"/>
      <c r="AU67" s="350"/>
      <c r="AV67" s="350"/>
      <c r="AW67" s="350"/>
      <c r="AX67" s="350"/>
      <c r="AY67" s="350"/>
      <c r="AZ67" s="350"/>
      <c r="BA67" s="350"/>
      <c r="BB67" s="350"/>
      <c r="BC67" s="350"/>
      <c r="BD67" s="350"/>
      <c r="BE67" s="350"/>
      <c r="BF67" s="350"/>
      <c r="BG67" s="350"/>
      <c r="BH67" s="350"/>
      <c r="BI67" s="350"/>
    </row>
    <row r="68" customFormat="false" ht="12.75" hidden="false" customHeight="false" outlineLevel="0" collapsed="false">
      <c r="A68" s="290" t="s">
        <v>530</v>
      </c>
      <c r="B68" s="290"/>
      <c r="C68" s="290"/>
      <c r="D68" s="290"/>
      <c r="E68" s="290"/>
      <c r="F68" s="290"/>
      <c r="G68" s="290"/>
      <c r="H68" s="416" t="str">
        <f aca="false">'Patrones LACOMET'!B3</f>
        <v>LACOMET 800116</v>
      </c>
      <c r="I68" s="416"/>
      <c r="J68" s="416"/>
      <c r="K68" s="416"/>
      <c r="L68" s="416"/>
      <c r="M68" s="350"/>
      <c r="N68" s="350"/>
      <c r="O68" s="350"/>
      <c r="P68" s="350"/>
      <c r="Q68" s="350"/>
      <c r="R68" s="350"/>
      <c r="S68" s="350"/>
      <c r="T68" s="350"/>
      <c r="U68" s="350"/>
      <c r="V68" s="350"/>
      <c r="W68" s="350"/>
      <c r="X68" s="350"/>
      <c r="Y68" s="350"/>
      <c r="Z68" s="350"/>
      <c r="AA68" s="350"/>
      <c r="AB68" s="350"/>
      <c r="AC68" s="350"/>
      <c r="AD68" s="350"/>
      <c r="AE68" s="350"/>
      <c r="AF68" s="350"/>
      <c r="AG68" s="350"/>
      <c r="AH68" s="350"/>
      <c r="AI68" s="350"/>
      <c r="AJ68" s="350"/>
      <c r="AK68" s="350"/>
      <c r="AL68" s="350"/>
      <c r="AM68" s="350"/>
      <c r="AN68" s="350"/>
      <c r="AO68" s="350"/>
      <c r="AP68" s="350"/>
      <c r="AQ68" s="350"/>
      <c r="AR68" s="350"/>
      <c r="AS68" s="350"/>
      <c r="AT68" s="350"/>
      <c r="AU68" s="350"/>
      <c r="AV68" s="350"/>
      <c r="AW68" s="350"/>
      <c r="AX68" s="350"/>
      <c r="AY68" s="350"/>
      <c r="AZ68" s="350"/>
      <c r="BA68" s="350"/>
      <c r="BB68" s="350"/>
      <c r="BC68" s="350"/>
      <c r="BD68" s="350"/>
      <c r="BE68" s="350"/>
      <c r="BF68" s="350"/>
      <c r="BG68" s="350"/>
      <c r="BH68" s="350"/>
      <c r="BI68" s="350"/>
    </row>
    <row r="69" customFormat="false" ht="12.75" hidden="false" customHeight="false" outlineLevel="0" collapsed="false">
      <c r="A69" s="290" t="s">
        <v>531</v>
      </c>
      <c r="B69" s="290"/>
      <c r="C69" s="290"/>
      <c r="D69" s="290"/>
      <c r="E69" s="290"/>
      <c r="F69" s="290"/>
      <c r="G69" s="290"/>
      <c r="H69" s="420" t="n">
        <f aca="false">'Patrones LACOMET'!B4</f>
        <v>42584</v>
      </c>
      <c r="I69" s="420"/>
      <c r="J69" s="420"/>
      <c r="K69" s="420"/>
      <c r="L69" s="420"/>
      <c r="M69" s="350"/>
      <c r="N69" s="350"/>
      <c r="O69" s="350"/>
      <c r="P69" s="350"/>
      <c r="Q69" s="350"/>
      <c r="R69" s="350"/>
      <c r="S69" s="350"/>
      <c r="T69" s="350"/>
      <c r="U69" s="350"/>
      <c r="V69" s="350"/>
      <c r="W69" s="350"/>
      <c r="X69" s="350"/>
      <c r="Y69" s="350"/>
      <c r="Z69" s="350"/>
      <c r="AA69" s="350"/>
      <c r="AB69" s="350"/>
      <c r="AC69" s="350"/>
      <c r="AD69" s="350"/>
      <c r="AE69" s="350"/>
      <c r="AF69" s="350"/>
      <c r="AG69" s="350"/>
      <c r="AH69" s="350"/>
      <c r="AI69" s="350"/>
      <c r="AJ69" s="350"/>
      <c r="AK69" s="350"/>
      <c r="AL69" s="350"/>
      <c r="AM69" s="350"/>
      <c r="AN69" s="350"/>
      <c r="AO69" s="350"/>
      <c r="AP69" s="350"/>
      <c r="AQ69" s="350"/>
      <c r="AR69" s="350"/>
      <c r="AS69" s="350"/>
      <c r="AT69" s="350"/>
      <c r="AU69" s="350"/>
      <c r="AV69" s="350"/>
      <c r="AW69" s="350"/>
      <c r="AX69" s="350"/>
      <c r="AY69" s="350"/>
      <c r="AZ69" s="350"/>
      <c r="BA69" s="350"/>
      <c r="BB69" s="350"/>
      <c r="BC69" s="350"/>
      <c r="BD69" s="350"/>
      <c r="BE69" s="350"/>
      <c r="BF69" s="350"/>
      <c r="BG69" s="350"/>
      <c r="BH69" s="350"/>
      <c r="BI69" s="350"/>
    </row>
    <row r="70" customFormat="false" ht="12.75" hidden="false" customHeight="false" outlineLevel="0" collapsed="false">
      <c r="A70" s="290" t="s">
        <v>532</v>
      </c>
      <c r="B70" s="290"/>
      <c r="C70" s="290"/>
      <c r="D70" s="290"/>
      <c r="E70" s="290"/>
      <c r="F70" s="290"/>
      <c r="G70" s="290"/>
      <c r="H70" s="420" t="n">
        <f aca="false">'Patrones LACOMET'!B5</f>
        <v>42950</v>
      </c>
      <c r="I70" s="420"/>
      <c r="J70" s="420"/>
      <c r="K70" s="420"/>
      <c r="L70" s="420"/>
      <c r="M70" s="350"/>
      <c r="N70" s="350"/>
      <c r="O70" s="350"/>
      <c r="P70" s="350"/>
      <c r="Q70" s="350"/>
      <c r="R70" s="350"/>
      <c r="S70" s="350"/>
      <c r="T70" s="350"/>
      <c r="U70" s="350"/>
      <c r="V70" s="350"/>
      <c r="W70" s="350"/>
      <c r="X70" s="350"/>
      <c r="Y70" s="350"/>
      <c r="Z70" s="350"/>
      <c r="AA70" s="350"/>
      <c r="AB70" s="350"/>
      <c r="AC70" s="350"/>
      <c r="AD70" s="350"/>
      <c r="AE70" s="350"/>
      <c r="AF70" s="350"/>
      <c r="AG70" s="350"/>
      <c r="AH70" s="350"/>
      <c r="AI70" s="350"/>
      <c r="AJ70" s="350"/>
      <c r="AK70" s="350"/>
      <c r="AL70" s="350"/>
      <c r="AM70" s="350"/>
      <c r="AN70" s="350"/>
      <c r="AO70" s="350"/>
      <c r="AP70" s="350"/>
      <c r="AQ70" s="350"/>
      <c r="AR70" s="350"/>
      <c r="AS70" s="350"/>
      <c r="AT70" s="350"/>
      <c r="AU70" s="350"/>
      <c r="AV70" s="350"/>
      <c r="AW70" s="350"/>
      <c r="AX70" s="350"/>
      <c r="AY70" s="350"/>
      <c r="AZ70" s="350"/>
      <c r="BA70" s="350"/>
      <c r="BB70" s="350"/>
      <c r="BC70" s="350"/>
      <c r="BD70" s="350"/>
      <c r="BE70" s="350"/>
      <c r="BF70" s="350"/>
      <c r="BG70" s="350"/>
      <c r="BH70" s="350"/>
      <c r="BI70" s="350"/>
    </row>
    <row r="71" customFormat="false" ht="12.75" hidden="false" customHeight="false" outlineLevel="0" collapsed="false">
      <c r="A71" s="290" t="s">
        <v>533</v>
      </c>
      <c r="B71" s="290"/>
      <c r="C71" s="290"/>
      <c r="D71" s="290"/>
      <c r="E71" s="290"/>
      <c r="F71" s="290"/>
      <c r="G71" s="290"/>
      <c r="H71" s="416" t="str">
        <f aca="false">'Patrones LACOMET'!B6</f>
        <v>TESA</v>
      </c>
      <c r="I71" s="416"/>
      <c r="J71" s="416"/>
      <c r="K71" s="416"/>
      <c r="L71" s="416"/>
      <c r="M71" s="350"/>
      <c r="N71" s="350"/>
      <c r="O71" s="350"/>
      <c r="P71" s="350"/>
      <c r="Q71" s="350"/>
      <c r="R71" s="350"/>
      <c r="S71" s="350"/>
      <c r="T71" s="350"/>
      <c r="U71" s="350"/>
      <c r="V71" s="350"/>
      <c r="W71" s="350"/>
      <c r="X71" s="350"/>
      <c r="Y71" s="350"/>
      <c r="Z71" s="350"/>
      <c r="AA71" s="350"/>
      <c r="AB71" s="350"/>
      <c r="AC71" s="350"/>
      <c r="AD71" s="350"/>
      <c r="AE71" s="350"/>
      <c r="AF71" s="350"/>
      <c r="AG71" s="350"/>
      <c r="AH71" s="350"/>
      <c r="AI71" s="350"/>
      <c r="AJ71" s="350"/>
      <c r="AK71" s="350"/>
      <c r="AL71" s="350"/>
      <c r="AM71" s="350"/>
      <c r="AN71" s="350"/>
      <c r="AO71" s="350"/>
      <c r="AP71" s="350"/>
      <c r="AQ71" s="350"/>
      <c r="AR71" s="350"/>
      <c r="AS71" s="350"/>
      <c r="AT71" s="350"/>
      <c r="AU71" s="350"/>
      <c r="AV71" s="350"/>
      <c r="AW71" s="350"/>
      <c r="AX71" s="350"/>
      <c r="AY71" s="350"/>
      <c r="AZ71" s="350"/>
      <c r="BA71" s="350"/>
      <c r="BB71" s="350"/>
      <c r="BC71" s="350"/>
      <c r="BD71" s="350"/>
      <c r="BE71" s="350"/>
      <c r="BF71" s="350"/>
      <c r="BG71" s="350"/>
      <c r="BH71" s="350"/>
      <c r="BI71" s="350"/>
    </row>
    <row r="72" customFormat="false" ht="12.75" hidden="false" customHeight="false" outlineLevel="0" collapsed="false">
      <c r="A72" s="290" t="s">
        <v>542</v>
      </c>
      <c r="B72" s="290"/>
      <c r="C72" s="290"/>
      <c r="D72" s="290"/>
      <c r="E72" s="290"/>
      <c r="F72" s="290"/>
      <c r="G72" s="290"/>
      <c r="H72" s="416" t="n">
        <f aca="false">'Patrones LACOMET'!B7</f>
        <v>0.035</v>
      </c>
      <c r="I72" s="416"/>
      <c r="J72" s="416"/>
      <c r="K72" s="416"/>
      <c r="L72" s="416"/>
      <c r="M72" s="350"/>
      <c r="N72" s="350"/>
      <c r="O72" s="350"/>
      <c r="P72" s="350"/>
      <c r="Q72" s="350"/>
      <c r="R72" s="350"/>
      <c r="S72" s="350"/>
      <c r="T72" s="350"/>
      <c r="U72" s="350"/>
      <c r="V72" s="350"/>
      <c r="W72" s="350"/>
      <c r="X72" s="350"/>
      <c r="Y72" s="350"/>
      <c r="Z72" s="350"/>
      <c r="AA72" s="350"/>
      <c r="AB72" s="350"/>
      <c r="AC72" s="350"/>
      <c r="AD72" s="350"/>
      <c r="AE72" s="350"/>
      <c r="AF72" s="350"/>
      <c r="AG72" s="350"/>
      <c r="AH72" s="350"/>
      <c r="AI72" s="350"/>
      <c r="AJ72" s="350"/>
      <c r="AK72" s="350"/>
      <c r="AL72" s="350"/>
      <c r="AM72" s="350"/>
      <c r="AN72" s="350"/>
      <c r="AO72" s="350"/>
      <c r="AP72" s="350"/>
      <c r="AQ72" s="350"/>
      <c r="AR72" s="350"/>
      <c r="AS72" s="350"/>
      <c r="AT72" s="350"/>
      <c r="AU72" s="350"/>
      <c r="AV72" s="350"/>
      <c r="AW72" s="350"/>
      <c r="AX72" s="350"/>
      <c r="AY72" s="350"/>
      <c r="AZ72" s="350"/>
      <c r="BA72" s="350"/>
      <c r="BB72" s="350"/>
      <c r="BC72" s="350"/>
      <c r="BD72" s="350"/>
      <c r="BE72" s="350"/>
      <c r="BF72" s="350"/>
      <c r="BG72" s="350"/>
      <c r="BH72" s="350"/>
      <c r="BI72" s="350"/>
    </row>
    <row r="73" customFormat="false" ht="12.75" hidden="false" customHeight="false" outlineLevel="0" collapsed="false">
      <c r="A73" s="290" t="s">
        <v>537</v>
      </c>
      <c r="B73" s="290"/>
      <c r="C73" s="290"/>
      <c r="D73" s="290"/>
      <c r="E73" s="290"/>
      <c r="F73" s="290"/>
      <c r="G73" s="290"/>
      <c r="H73" s="416" t="str">
        <f aca="false">'Patrones LACOMET'!B8</f>
        <v>0,5 mm - 100 mm</v>
      </c>
      <c r="I73" s="416"/>
      <c r="J73" s="416"/>
      <c r="K73" s="416"/>
      <c r="L73" s="416"/>
      <c r="M73" s="350"/>
      <c r="N73" s="350"/>
      <c r="O73" s="350"/>
      <c r="P73" s="350"/>
      <c r="Q73" s="350"/>
      <c r="R73" s="350"/>
      <c r="S73" s="350"/>
      <c r="T73" s="350"/>
      <c r="U73" s="350"/>
      <c r="V73" s="350"/>
      <c r="W73" s="350"/>
      <c r="X73" s="350"/>
      <c r="Y73" s="350"/>
      <c r="Z73" s="350"/>
      <c r="AA73" s="350"/>
      <c r="AB73" s="350"/>
      <c r="AC73" s="350"/>
      <c r="AD73" s="350"/>
      <c r="AE73" s="350"/>
      <c r="AF73" s="350"/>
      <c r="AG73" s="350"/>
      <c r="AH73" s="350"/>
      <c r="AI73" s="350"/>
      <c r="AJ73" s="350"/>
      <c r="AK73" s="350"/>
      <c r="AL73" s="350"/>
      <c r="AM73" s="350"/>
      <c r="AN73" s="350"/>
      <c r="AO73" s="350"/>
      <c r="AP73" s="350"/>
      <c r="AQ73" s="350"/>
      <c r="AR73" s="350"/>
      <c r="AS73" s="350"/>
      <c r="AT73" s="350"/>
      <c r="AU73" s="350"/>
      <c r="AV73" s="350"/>
      <c r="AW73" s="350"/>
      <c r="AX73" s="350"/>
      <c r="AY73" s="350"/>
      <c r="AZ73" s="350"/>
      <c r="BA73" s="350"/>
      <c r="BB73" s="350"/>
      <c r="BC73" s="350"/>
      <c r="BD73" s="350"/>
      <c r="BE73" s="350"/>
      <c r="BF73" s="350"/>
      <c r="BG73" s="350"/>
      <c r="BH73" s="350"/>
      <c r="BI73" s="350"/>
    </row>
    <row r="74" customFormat="false" ht="12.75" hidden="false" customHeight="false" outlineLevel="0" collapsed="false">
      <c r="A74" s="290" t="s">
        <v>538</v>
      </c>
      <c r="B74" s="290"/>
      <c r="C74" s="290"/>
      <c r="D74" s="290"/>
      <c r="E74" s="290"/>
      <c r="F74" s="290"/>
      <c r="G74" s="290"/>
      <c r="H74" s="416" t="str">
        <f aca="false">'Patrones LACOMET'!B9</f>
        <v>LCM</v>
      </c>
      <c r="I74" s="416"/>
      <c r="J74" s="416"/>
      <c r="K74" s="416"/>
      <c r="L74" s="416"/>
      <c r="M74" s="350"/>
      <c r="N74" s="350"/>
      <c r="O74" s="350"/>
      <c r="P74" s="350"/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0"/>
      <c r="AC74" s="350"/>
      <c r="AD74" s="350"/>
      <c r="AE74" s="350"/>
      <c r="AF74" s="350"/>
      <c r="AG74" s="350"/>
      <c r="AH74" s="350"/>
      <c r="AI74" s="350"/>
      <c r="AJ74" s="350"/>
      <c r="AK74" s="350"/>
      <c r="AL74" s="350"/>
      <c r="AM74" s="350"/>
      <c r="AN74" s="350"/>
      <c r="AO74" s="350"/>
      <c r="AP74" s="350"/>
      <c r="AQ74" s="350"/>
      <c r="AR74" s="350"/>
      <c r="AS74" s="350"/>
      <c r="AT74" s="350"/>
      <c r="AU74" s="350"/>
      <c r="AV74" s="350"/>
      <c r="AW74" s="350"/>
      <c r="AX74" s="350"/>
      <c r="AY74" s="350"/>
      <c r="AZ74" s="350"/>
      <c r="BA74" s="350"/>
      <c r="BB74" s="350"/>
      <c r="BC74" s="350"/>
      <c r="BD74" s="350"/>
      <c r="BE74" s="350"/>
      <c r="BF74" s="350"/>
      <c r="BG74" s="350"/>
      <c r="BH74" s="350"/>
      <c r="BI74" s="350"/>
    </row>
    <row r="75" customFormat="false" ht="12.75" hidden="false" customHeight="false" outlineLevel="0" collapsed="false">
      <c r="A75" s="290" t="s">
        <v>539</v>
      </c>
      <c r="B75" s="290"/>
      <c r="C75" s="290"/>
      <c r="D75" s="290"/>
      <c r="E75" s="290"/>
      <c r="F75" s="290"/>
      <c r="G75" s="290"/>
      <c r="H75" s="416" t="n">
        <f aca="false">'Patrones LACOMET'!B10</f>
        <v>181100</v>
      </c>
      <c r="I75" s="416"/>
      <c r="J75" s="416"/>
      <c r="K75" s="416"/>
      <c r="L75" s="416"/>
      <c r="M75" s="350"/>
      <c r="N75" s="350"/>
      <c r="O75" s="350"/>
      <c r="P75" s="350"/>
      <c r="Q75" s="350"/>
      <c r="R75" s="350"/>
      <c r="S75" s="350"/>
      <c r="T75" s="350"/>
      <c r="U75" s="350"/>
      <c r="V75" s="350"/>
      <c r="W75" s="350"/>
      <c r="X75" s="350"/>
      <c r="Y75" s="350"/>
      <c r="Z75" s="350"/>
      <c r="AA75" s="350"/>
      <c r="AB75" s="350"/>
      <c r="AC75" s="350"/>
      <c r="AD75" s="350"/>
      <c r="AE75" s="350"/>
      <c r="AF75" s="350"/>
      <c r="AG75" s="350"/>
      <c r="AH75" s="350"/>
      <c r="AI75" s="350"/>
      <c r="AJ75" s="350"/>
      <c r="AK75" s="350"/>
      <c r="AL75" s="350"/>
      <c r="AM75" s="350"/>
      <c r="AN75" s="350"/>
      <c r="AO75" s="350"/>
      <c r="AP75" s="350"/>
      <c r="AQ75" s="350"/>
      <c r="AR75" s="350"/>
      <c r="AS75" s="350"/>
      <c r="AT75" s="350"/>
      <c r="AU75" s="350"/>
      <c r="AV75" s="350"/>
      <c r="AW75" s="350"/>
      <c r="AX75" s="350"/>
      <c r="AY75" s="350"/>
      <c r="AZ75" s="350"/>
      <c r="BA75" s="350"/>
      <c r="BB75" s="350"/>
      <c r="BC75" s="350"/>
      <c r="BD75" s="350"/>
      <c r="BE75" s="350"/>
      <c r="BF75" s="350"/>
      <c r="BG75" s="350"/>
      <c r="BH75" s="350"/>
      <c r="BI75" s="350"/>
    </row>
    <row r="76" customFormat="false" ht="13.5" hidden="false" customHeight="false" outlineLevel="0" collapsed="false">
      <c r="A76" s="299" t="s">
        <v>540</v>
      </c>
      <c r="B76" s="299"/>
      <c r="C76" s="299"/>
      <c r="D76" s="299"/>
      <c r="E76" s="299"/>
      <c r="F76" s="299"/>
      <c r="G76" s="299"/>
      <c r="H76" s="421" t="n">
        <f aca="false">'Patrones LACOMET'!B11</f>
        <v>706755</v>
      </c>
      <c r="I76" s="421"/>
      <c r="J76" s="421"/>
      <c r="K76" s="421"/>
      <c r="L76" s="421"/>
      <c r="M76" s="350"/>
      <c r="N76" s="350"/>
      <c r="O76" s="350"/>
      <c r="P76" s="350"/>
      <c r="Q76" s="350"/>
      <c r="R76" s="350"/>
      <c r="S76" s="350"/>
      <c r="T76" s="350"/>
      <c r="U76" s="350"/>
      <c r="V76" s="350"/>
      <c r="W76" s="350"/>
      <c r="X76" s="350"/>
      <c r="Y76" s="350"/>
      <c r="Z76" s="350"/>
      <c r="AA76" s="350"/>
      <c r="AB76" s="350"/>
      <c r="AC76" s="350"/>
      <c r="AD76" s="350"/>
      <c r="AE76" s="350"/>
      <c r="AF76" s="350"/>
      <c r="AG76" s="350"/>
      <c r="AH76" s="350"/>
      <c r="AI76" s="350"/>
      <c r="AJ76" s="350"/>
      <c r="AK76" s="350"/>
      <c r="AL76" s="350"/>
      <c r="AM76" s="350"/>
      <c r="AN76" s="350"/>
      <c r="AO76" s="350"/>
      <c r="AP76" s="350"/>
      <c r="AQ76" s="350"/>
      <c r="AR76" s="350"/>
      <c r="AS76" s="350"/>
      <c r="AT76" s="350"/>
      <c r="AU76" s="350"/>
      <c r="AV76" s="350"/>
      <c r="AW76" s="350"/>
      <c r="AX76" s="350"/>
      <c r="AY76" s="350"/>
      <c r="AZ76" s="350"/>
      <c r="BA76" s="350"/>
      <c r="BB76" s="350"/>
      <c r="BC76" s="350"/>
      <c r="BD76" s="350"/>
      <c r="BE76" s="350"/>
      <c r="BF76" s="350"/>
      <c r="BG76" s="350"/>
      <c r="BH76" s="350"/>
      <c r="BI76" s="350"/>
    </row>
    <row r="77" customFormat="false" ht="12.75" hidden="false" customHeight="false" outlineLevel="0" collapsed="false">
      <c r="A77" s="350"/>
      <c r="B77" s="350"/>
      <c r="C77" s="350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0"/>
      <c r="U77" s="350"/>
      <c r="V77" s="350"/>
      <c r="W77" s="350"/>
      <c r="X77" s="350"/>
      <c r="Y77" s="350"/>
      <c r="Z77" s="350"/>
      <c r="AA77" s="350"/>
      <c r="AB77" s="350"/>
      <c r="AC77" s="350"/>
      <c r="AD77" s="350"/>
      <c r="AE77" s="350"/>
      <c r="AF77" s="350"/>
      <c r="AG77" s="350"/>
      <c r="AH77" s="350"/>
      <c r="AI77" s="350"/>
      <c r="AJ77" s="350"/>
      <c r="AK77" s="350"/>
      <c r="AL77" s="350"/>
      <c r="AM77" s="350"/>
      <c r="AN77" s="350"/>
      <c r="AO77" s="350"/>
      <c r="AP77" s="350"/>
      <c r="AQ77" s="350"/>
      <c r="AR77" s="350"/>
      <c r="AS77" s="350"/>
      <c r="AT77" s="350"/>
      <c r="AU77" s="350"/>
      <c r="AV77" s="350"/>
      <c r="AW77" s="350"/>
      <c r="AX77" s="350"/>
      <c r="AY77" s="350"/>
      <c r="AZ77" s="350"/>
      <c r="BA77" s="350"/>
      <c r="BB77" s="350"/>
      <c r="BC77" s="350"/>
      <c r="BD77" s="350"/>
      <c r="BE77" s="350"/>
      <c r="BF77" s="350"/>
      <c r="BG77" s="350"/>
      <c r="BH77" s="350"/>
      <c r="BI77" s="350"/>
    </row>
    <row r="78" customFormat="false" ht="12.75" hidden="false" customHeight="false" outlineLevel="0" collapsed="false">
      <c r="A78" s="350"/>
      <c r="B78" s="350"/>
      <c r="C78" s="350"/>
      <c r="D78" s="350"/>
      <c r="E78" s="350"/>
      <c r="F78" s="350"/>
      <c r="G78" s="350"/>
      <c r="H78" s="350"/>
      <c r="I78" s="350"/>
      <c r="J78" s="350"/>
      <c r="K78" s="350"/>
      <c r="L78" s="350"/>
      <c r="M78" s="350"/>
      <c r="N78" s="350"/>
      <c r="O78" s="350"/>
      <c r="P78" s="350"/>
      <c r="Q78" s="350"/>
      <c r="R78" s="350"/>
      <c r="S78" s="350"/>
      <c r="T78" s="350"/>
      <c r="U78" s="350"/>
      <c r="V78" s="350"/>
      <c r="W78" s="350"/>
      <c r="X78" s="350"/>
      <c r="Y78" s="350"/>
      <c r="Z78" s="350"/>
      <c r="AA78" s="350"/>
      <c r="AB78" s="350"/>
      <c r="AC78" s="350"/>
      <c r="AD78" s="350"/>
      <c r="AE78" s="350"/>
      <c r="AF78" s="350"/>
      <c r="AG78" s="350"/>
      <c r="AH78" s="350"/>
      <c r="AI78" s="350"/>
      <c r="AJ78" s="350"/>
      <c r="AK78" s="350"/>
      <c r="AL78" s="350"/>
      <c r="AM78" s="350"/>
      <c r="AN78" s="350"/>
      <c r="AO78" s="350"/>
      <c r="AP78" s="350"/>
      <c r="AQ78" s="350"/>
      <c r="AR78" s="350"/>
      <c r="AS78" s="350"/>
      <c r="AT78" s="350"/>
      <c r="AU78" s="350"/>
      <c r="AV78" s="350"/>
      <c r="AW78" s="350"/>
      <c r="AX78" s="350"/>
      <c r="AY78" s="350"/>
      <c r="AZ78" s="350"/>
      <c r="BA78" s="350"/>
      <c r="BB78" s="350"/>
      <c r="BC78" s="350"/>
      <c r="BD78" s="350"/>
      <c r="BE78" s="350"/>
      <c r="BF78" s="350"/>
      <c r="BG78" s="350"/>
      <c r="BH78" s="350"/>
      <c r="BI78" s="350"/>
    </row>
    <row r="79" customFormat="false" ht="12.75" hidden="false" customHeight="false" outlineLevel="0" collapsed="false">
      <c r="A79" s="350"/>
      <c r="B79" s="350"/>
      <c r="C79" s="350"/>
      <c r="D79" s="350"/>
      <c r="E79" s="350"/>
      <c r="F79" s="350"/>
      <c r="G79" s="350"/>
      <c r="H79" s="350"/>
      <c r="I79" s="350"/>
      <c r="J79" s="350"/>
      <c r="K79" s="350"/>
      <c r="L79" s="350"/>
      <c r="M79" s="350"/>
      <c r="N79" s="350"/>
      <c r="O79" s="350"/>
      <c r="P79" s="350"/>
      <c r="Q79" s="350"/>
      <c r="R79" s="350"/>
      <c r="S79" s="350"/>
      <c r="T79" s="350"/>
      <c r="U79" s="350"/>
      <c r="V79" s="350"/>
      <c r="W79" s="350"/>
      <c r="X79" s="350"/>
      <c r="Y79" s="350"/>
      <c r="Z79" s="350"/>
      <c r="AA79" s="350"/>
      <c r="AB79" s="350"/>
      <c r="AC79" s="350"/>
      <c r="AD79" s="350"/>
      <c r="AE79" s="350"/>
      <c r="AF79" s="350"/>
      <c r="AG79" s="350"/>
      <c r="AH79" s="350"/>
      <c r="AI79" s="350"/>
      <c r="AJ79" s="350"/>
      <c r="AK79" s="350"/>
      <c r="AL79" s="350"/>
      <c r="AM79" s="350"/>
      <c r="AN79" s="350"/>
      <c r="AO79" s="350"/>
      <c r="AP79" s="350"/>
      <c r="AQ79" s="350"/>
      <c r="AR79" s="350"/>
      <c r="AS79" s="350"/>
      <c r="AT79" s="350"/>
      <c r="AU79" s="350"/>
      <c r="AV79" s="350"/>
      <c r="AW79" s="350"/>
      <c r="AX79" s="350"/>
      <c r="AY79" s="350"/>
      <c r="AZ79" s="350"/>
      <c r="BA79" s="350"/>
      <c r="BB79" s="350"/>
      <c r="BC79" s="350"/>
      <c r="BD79" s="350"/>
      <c r="BE79" s="350"/>
      <c r="BF79" s="350"/>
      <c r="BG79" s="350"/>
      <c r="BH79" s="350"/>
      <c r="BI79" s="350"/>
    </row>
    <row r="80" customFormat="false" ht="12.75" hidden="false" customHeight="false" outlineLevel="0" collapsed="false">
      <c r="A80" s="350"/>
      <c r="B80" s="350"/>
      <c r="C80" s="350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350"/>
      <c r="AA80" s="350"/>
      <c r="AB80" s="350"/>
      <c r="AC80" s="350"/>
      <c r="AD80" s="350"/>
      <c r="AE80" s="350"/>
      <c r="AF80" s="350"/>
      <c r="AG80" s="350"/>
      <c r="AH80" s="350"/>
      <c r="AI80" s="350"/>
      <c r="AJ80" s="350"/>
      <c r="AK80" s="350"/>
      <c r="AL80" s="350"/>
      <c r="AM80" s="350"/>
      <c r="AN80" s="350"/>
      <c r="AO80" s="350"/>
      <c r="AP80" s="350"/>
      <c r="AQ80" s="350"/>
      <c r="AR80" s="350"/>
      <c r="AS80" s="350"/>
      <c r="AT80" s="350"/>
      <c r="AU80" s="350"/>
      <c r="AV80" s="350"/>
      <c r="AW80" s="350"/>
      <c r="AX80" s="350"/>
      <c r="AY80" s="350"/>
      <c r="AZ80" s="350"/>
      <c r="BA80" s="350"/>
      <c r="BB80" s="350"/>
      <c r="BC80" s="350"/>
      <c r="BD80" s="350"/>
      <c r="BE80" s="350"/>
      <c r="BF80" s="350"/>
      <c r="BG80" s="350"/>
      <c r="BH80" s="350"/>
      <c r="BI80" s="350"/>
    </row>
    <row r="81" customFormat="false" ht="12.75" hidden="false" customHeight="false" outlineLevel="0" collapsed="false">
      <c r="A81" s="350"/>
      <c r="B81" s="350"/>
      <c r="C81" s="350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350"/>
      <c r="AA81" s="350"/>
      <c r="AB81" s="350"/>
      <c r="AC81" s="350"/>
      <c r="AD81" s="350"/>
      <c r="AE81" s="350"/>
      <c r="AF81" s="350"/>
      <c r="AG81" s="350"/>
      <c r="AH81" s="350"/>
      <c r="AI81" s="350"/>
      <c r="AJ81" s="350"/>
      <c r="AK81" s="350"/>
      <c r="AL81" s="350"/>
      <c r="AM81" s="350"/>
      <c r="AN81" s="350"/>
      <c r="AO81" s="350"/>
      <c r="AP81" s="350"/>
      <c r="AQ81" s="350"/>
      <c r="AR81" s="350"/>
      <c r="AS81" s="350"/>
      <c r="AT81" s="350"/>
      <c r="AU81" s="350"/>
      <c r="AV81" s="350"/>
      <c r="AW81" s="350"/>
      <c r="AX81" s="350"/>
      <c r="AY81" s="350"/>
      <c r="AZ81" s="350"/>
      <c r="BA81" s="350"/>
      <c r="BB81" s="350"/>
      <c r="BC81" s="350"/>
      <c r="BD81" s="350"/>
      <c r="BE81" s="350"/>
      <c r="BF81" s="350"/>
      <c r="BG81" s="350"/>
      <c r="BH81" s="350"/>
      <c r="BI81" s="350"/>
    </row>
    <row r="82" customFormat="false" ht="12.75" hidden="false" customHeight="false" outlineLevel="0" collapsed="false">
      <c r="A82" s="350"/>
      <c r="B82" s="350"/>
      <c r="C82" s="350"/>
      <c r="D82" s="350"/>
      <c r="E82" s="350"/>
      <c r="F82" s="350"/>
      <c r="G82" s="350"/>
      <c r="H82" s="350"/>
      <c r="I82" s="350"/>
      <c r="J82" s="350"/>
      <c r="K82" s="350"/>
      <c r="L82" s="350"/>
      <c r="M82" s="350"/>
      <c r="N82" s="350"/>
      <c r="O82" s="350"/>
      <c r="P82" s="350"/>
      <c r="Q82" s="350"/>
      <c r="R82" s="350"/>
      <c r="S82" s="350"/>
      <c r="T82" s="350"/>
      <c r="U82" s="350"/>
      <c r="V82" s="350"/>
      <c r="W82" s="350"/>
      <c r="X82" s="350"/>
      <c r="Y82" s="350"/>
      <c r="Z82" s="350"/>
      <c r="AA82" s="350"/>
      <c r="AB82" s="350"/>
      <c r="AC82" s="350"/>
      <c r="AD82" s="350"/>
      <c r="AE82" s="350"/>
      <c r="AF82" s="350"/>
      <c r="AG82" s="350"/>
      <c r="AH82" s="350"/>
      <c r="AI82" s="350"/>
      <c r="AJ82" s="350"/>
      <c r="AK82" s="350"/>
      <c r="AL82" s="350"/>
      <c r="AM82" s="350"/>
      <c r="AN82" s="350"/>
      <c r="AO82" s="350"/>
      <c r="AP82" s="350"/>
      <c r="AQ82" s="350"/>
      <c r="AR82" s="350"/>
      <c r="AS82" s="350"/>
      <c r="AT82" s="350"/>
      <c r="AU82" s="350"/>
      <c r="AV82" s="350"/>
      <c r="AW82" s="350"/>
      <c r="AX82" s="350"/>
      <c r="AY82" s="350"/>
      <c r="AZ82" s="350"/>
      <c r="BA82" s="350"/>
      <c r="BB82" s="350"/>
      <c r="BC82" s="350"/>
      <c r="BD82" s="350"/>
      <c r="BE82" s="350"/>
      <c r="BF82" s="350"/>
      <c r="BG82" s="350"/>
      <c r="BH82" s="350"/>
      <c r="BI82" s="350"/>
    </row>
    <row r="83" customFormat="false" ht="12.75" hidden="false" customHeight="false" outlineLevel="0" collapsed="false">
      <c r="A83" s="350"/>
      <c r="B83" s="350"/>
      <c r="C83" s="350"/>
      <c r="D83" s="350"/>
      <c r="E83" s="350"/>
      <c r="F83" s="350"/>
      <c r="G83" s="350"/>
      <c r="H83" s="350"/>
      <c r="I83" s="350"/>
      <c r="J83" s="350"/>
      <c r="K83" s="350"/>
      <c r="L83" s="350"/>
      <c r="M83" s="350"/>
      <c r="N83" s="350"/>
      <c r="O83" s="350"/>
      <c r="P83" s="350"/>
      <c r="Q83" s="350"/>
      <c r="R83" s="350"/>
      <c r="S83" s="350"/>
      <c r="T83" s="350"/>
      <c r="U83" s="350"/>
      <c r="V83" s="350"/>
      <c r="W83" s="350"/>
      <c r="X83" s="350"/>
      <c r="Y83" s="350"/>
      <c r="Z83" s="350"/>
      <c r="AA83" s="350"/>
      <c r="AB83" s="350"/>
      <c r="AC83" s="350"/>
      <c r="AD83" s="350"/>
      <c r="AE83" s="350"/>
      <c r="AF83" s="350"/>
      <c r="AG83" s="350"/>
      <c r="AH83" s="350"/>
      <c r="AI83" s="350"/>
      <c r="AJ83" s="350"/>
      <c r="AK83" s="350"/>
      <c r="AL83" s="350"/>
      <c r="AM83" s="350"/>
      <c r="AN83" s="350"/>
      <c r="AO83" s="350"/>
      <c r="AP83" s="350"/>
      <c r="AQ83" s="350"/>
      <c r="AR83" s="350"/>
      <c r="AS83" s="350"/>
      <c r="AT83" s="350"/>
      <c r="AU83" s="350"/>
      <c r="AV83" s="350"/>
      <c r="AW83" s="350"/>
      <c r="AX83" s="350"/>
      <c r="AY83" s="350"/>
      <c r="AZ83" s="350"/>
      <c r="BA83" s="350"/>
      <c r="BB83" s="350"/>
      <c r="BC83" s="350"/>
      <c r="BD83" s="350"/>
      <c r="BE83" s="350"/>
      <c r="BF83" s="350"/>
      <c r="BG83" s="350"/>
      <c r="BH83" s="350"/>
      <c r="BI83" s="350"/>
    </row>
    <row r="84" customFormat="false" ht="12.75" hidden="false" customHeight="false" outlineLevel="0" collapsed="false">
      <c r="A84" s="350"/>
      <c r="B84" s="350"/>
      <c r="C84" s="350"/>
      <c r="D84" s="350"/>
      <c r="E84" s="350"/>
      <c r="F84" s="350"/>
      <c r="G84" s="350"/>
      <c r="H84" s="350"/>
      <c r="I84" s="350"/>
      <c r="J84" s="350"/>
      <c r="K84" s="350"/>
      <c r="L84" s="350"/>
      <c r="M84" s="350"/>
      <c r="N84" s="350"/>
      <c r="O84" s="350"/>
      <c r="P84" s="350"/>
      <c r="Q84" s="350"/>
      <c r="R84" s="350"/>
      <c r="S84" s="350"/>
      <c r="T84" s="350"/>
      <c r="U84" s="350"/>
      <c r="V84" s="350"/>
      <c r="W84" s="350"/>
      <c r="X84" s="350"/>
      <c r="Y84" s="350"/>
      <c r="Z84" s="350"/>
      <c r="AA84" s="350"/>
      <c r="AB84" s="350"/>
      <c r="AC84" s="350"/>
      <c r="AD84" s="350"/>
      <c r="AE84" s="350"/>
      <c r="AF84" s="350"/>
      <c r="AG84" s="350"/>
      <c r="AH84" s="350"/>
      <c r="AI84" s="350"/>
      <c r="AJ84" s="350"/>
      <c r="AK84" s="350"/>
      <c r="AL84" s="350"/>
      <c r="AM84" s="350"/>
      <c r="AN84" s="350"/>
      <c r="AO84" s="350"/>
      <c r="AP84" s="350"/>
      <c r="AQ84" s="350"/>
      <c r="AR84" s="350"/>
      <c r="AS84" s="350"/>
      <c r="AT84" s="350"/>
      <c r="AU84" s="350"/>
      <c r="AV84" s="350"/>
      <c r="AW84" s="350"/>
      <c r="AX84" s="350"/>
      <c r="AY84" s="350"/>
      <c r="AZ84" s="350"/>
      <c r="BA84" s="350"/>
      <c r="BB84" s="350"/>
      <c r="BC84" s="350"/>
      <c r="BD84" s="350"/>
      <c r="BE84" s="350"/>
      <c r="BF84" s="350"/>
      <c r="BG84" s="350"/>
      <c r="BH84" s="350"/>
      <c r="BI84" s="350"/>
    </row>
    <row r="85" customFormat="false" ht="12.75" hidden="false" customHeight="false" outlineLevel="0" collapsed="false">
      <c r="A85" s="350"/>
      <c r="B85" s="350"/>
      <c r="C85" s="350"/>
      <c r="D85" s="350"/>
      <c r="E85" s="350"/>
      <c r="F85" s="350"/>
      <c r="G85" s="350"/>
      <c r="H85" s="350"/>
      <c r="I85" s="350"/>
      <c r="J85" s="350"/>
      <c r="K85" s="350"/>
      <c r="L85" s="350"/>
      <c r="M85" s="350"/>
      <c r="N85" s="350"/>
      <c r="O85" s="350"/>
      <c r="P85" s="350"/>
      <c r="Q85" s="350"/>
      <c r="R85" s="350"/>
      <c r="S85" s="350"/>
      <c r="T85" s="350"/>
      <c r="U85" s="350"/>
      <c r="V85" s="350"/>
      <c r="W85" s="350"/>
      <c r="X85" s="350"/>
      <c r="Y85" s="350"/>
      <c r="Z85" s="350"/>
      <c r="AA85" s="350"/>
      <c r="AB85" s="350"/>
      <c r="AC85" s="350"/>
      <c r="AD85" s="350"/>
      <c r="AE85" s="350"/>
      <c r="AF85" s="350"/>
      <c r="AG85" s="350"/>
      <c r="AH85" s="350"/>
      <c r="AI85" s="350"/>
      <c r="AJ85" s="350"/>
      <c r="AK85" s="350"/>
      <c r="AL85" s="350"/>
      <c r="AM85" s="350"/>
      <c r="AN85" s="350"/>
      <c r="AO85" s="350"/>
      <c r="AP85" s="350"/>
      <c r="AQ85" s="350"/>
      <c r="AR85" s="350"/>
      <c r="AS85" s="350"/>
      <c r="AT85" s="350"/>
      <c r="AU85" s="350"/>
      <c r="AV85" s="350"/>
      <c r="AW85" s="350"/>
      <c r="AX85" s="350"/>
      <c r="AY85" s="350"/>
      <c r="AZ85" s="350"/>
      <c r="BA85" s="350"/>
      <c r="BB85" s="350"/>
      <c r="BC85" s="350"/>
      <c r="BD85" s="350"/>
      <c r="BE85" s="350"/>
      <c r="BF85" s="350"/>
      <c r="BG85" s="350"/>
      <c r="BH85" s="350"/>
      <c r="BI85" s="350"/>
    </row>
    <row r="86" customFormat="false" ht="12.75" hidden="false" customHeight="false" outlineLevel="0" collapsed="false">
      <c r="A86" s="350"/>
      <c r="B86" s="350"/>
      <c r="C86" s="350"/>
      <c r="D86" s="350"/>
      <c r="E86" s="350"/>
      <c r="F86" s="350"/>
      <c r="G86" s="350"/>
      <c r="H86" s="350"/>
      <c r="I86" s="350"/>
      <c r="J86" s="350"/>
      <c r="K86" s="350"/>
      <c r="L86" s="350"/>
      <c r="M86" s="350"/>
      <c r="N86" s="350"/>
      <c r="O86" s="350"/>
      <c r="P86" s="350"/>
      <c r="Q86" s="350"/>
      <c r="R86" s="350"/>
      <c r="S86" s="350"/>
      <c r="T86" s="350"/>
      <c r="U86" s="350"/>
      <c r="V86" s="350"/>
      <c r="W86" s="350"/>
      <c r="X86" s="350"/>
      <c r="Y86" s="350"/>
      <c r="Z86" s="350"/>
      <c r="AA86" s="350"/>
      <c r="AB86" s="350"/>
      <c r="AC86" s="350"/>
      <c r="AD86" s="350"/>
      <c r="AE86" s="350"/>
      <c r="AF86" s="350"/>
      <c r="AG86" s="350"/>
      <c r="AH86" s="350"/>
      <c r="AI86" s="350"/>
      <c r="AJ86" s="350"/>
      <c r="AK86" s="350"/>
      <c r="AL86" s="350"/>
      <c r="AM86" s="350"/>
      <c r="AN86" s="350"/>
      <c r="AO86" s="350"/>
      <c r="AP86" s="350"/>
      <c r="AQ86" s="350"/>
      <c r="AR86" s="350"/>
      <c r="AS86" s="350"/>
      <c r="AT86" s="350"/>
      <c r="AU86" s="350"/>
      <c r="AV86" s="350"/>
      <c r="AW86" s="350"/>
      <c r="AX86" s="350"/>
      <c r="AY86" s="350"/>
      <c r="AZ86" s="350"/>
      <c r="BA86" s="350"/>
      <c r="BB86" s="350"/>
      <c r="BC86" s="350"/>
      <c r="BD86" s="350"/>
      <c r="BE86" s="350"/>
      <c r="BF86" s="350"/>
      <c r="BG86" s="350"/>
      <c r="BH86" s="350"/>
      <c r="BI86" s="350"/>
    </row>
    <row r="87" customFormat="false" ht="12.75" hidden="false" customHeight="false" outlineLevel="0" collapsed="false">
      <c r="A87" s="350"/>
      <c r="B87" s="350"/>
      <c r="C87" s="350"/>
      <c r="D87" s="350"/>
      <c r="E87" s="350"/>
      <c r="F87" s="350"/>
      <c r="G87" s="350"/>
      <c r="H87" s="350"/>
      <c r="I87" s="350"/>
      <c r="J87" s="350"/>
      <c r="K87" s="350"/>
      <c r="L87" s="350"/>
      <c r="M87" s="350"/>
      <c r="N87" s="350"/>
      <c r="O87" s="350"/>
      <c r="P87" s="350"/>
      <c r="Q87" s="350"/>
      <c r="R87" s="350"/>
      <c r="S87" s="350"/>
      <c r="T87" s="350"/>
      <c r="U87" s="350"/>
      <c r="V87" s="350"/>
      <c r="W87" s="350"/>
      <c r="X87" s="350"/>
      <c r="Y87" s="350"/>
      <c r="Z87" s="350"/>
      <c r="AA87" s="350"/>
      <c r="AB87" s="350"/>
      <c r="AC87" s="350"/>
      <c r="AD87" s="350"/>
      <c r="AE87" s="350"/>
      <c r="AF87" s="350"/>
      <c r="AG87" s="350"/>
      <c r="AH87" s="350"/>
      <c r="AI87" s="350"/>
      <c r="AJ87" s="350"/>
      <c r="AK87" s="350"/>
      <c r="AL87" s="350"/>
      <c r="AM87" s="350"/>
      <c r="AN87" s="350"/>
      <c r="AO87" s="350"/>
      <c r="AP87" s="350"/>
      <c r="AQ87" s="350"/>
      <c r="AR87" s="350"/>
      <c r="AS87" s="350"/>
      <c r="AT87" s="350"/>
      <c r="AU87" s="350"/>
      <c r="AV87" s="350"/>
      <c r="AW87" s="350"/>
      <c r="AX87" s="350"/>
      <c r="AY87" s="350"/>
      <c r="AZ87" s="350"/>
      <c r="BA87" s="350"/>
      <c r="BB87" s="350"/>
      <c r="BC87" s="350"/>
      <c r="BD87" s="350"/>
      <c r="BE87" s="350"/>
      <c r="BF87" s="350"/>
      <c r="BG87" s="350"/>
      <c r="BH87" s="350"/>
      <c r="BI87" s="350"/>
    </row>
    <row r="88" customFormat="false" ht="12.75" hidden="false" customHeight="false" outlineLevel="0" collapsed="false">
      <c r="A88" s="350"/>
      <c r="B88" s="350"/>
      <c r="C88" s="350"/>
      <c r="D88" s="350"/>
      <c r="E88" s="350"/>
      <c r="F88" s="350"/>
      <c r="G88" s="350"/>
      <c r="H88" s="350"/>
      <c r="I88" s="350"/>
      <c r="J88" s="350"/>
      <c r="K88" s="350"/>
      <c r="L88" s="350"/>
      <c r="M88" s="350"/>
      <c r="N88" s="350"/>
      <c r="O88" s="350"/>
      <c r="P88" s="350"/>
      <c r="Q88" s="350"/>
      <c r="R88" s="350"/>
      <c r="S88" s="350"/>
      <c r="T88" s="350"/>
      <c r="U88" s="350"/>
      <c r="V88" s="350"/>
      <c r="W88" s="350"/>
      <c r="X88" s="350"/>
      <c r="Y88" s="350"/>
      <c r="Z88" s="350"/>
      <c r="AA88" s="350"/>
      <c r="AB88" s="350"/>
      <c r="AC88" s="350"/>
      <c r="AD88" s="350"/>
      <c r="AE88" s="350"/>
      <c r="AF88" s="350"/>
      <c r="AG88" s="350"/>
      <c r="AH88" s="350"/>
      <c r="AI88" s="350"/>
      <c r="AJ88" s="350"/>
      <c r="AK88" s="350"/>
      <c r="AL88" s="350"/>
      <c r="AM88" s="350"/>
      <c r="AN88" s="350"/>
      <c r="AO88" s="350"/>
      <c r="AP88" s="350"/>
      <c r="AQ88" s="350"/>
      <c r="AR88" s="350"/>
      <c r="AS88" s="350"/>
      <c r="AT88" s="350"/>
      <c r="AU88" s="350"/>
      <c r="AV88" s="350"/>
      <c r="AW88" s="350"/>
      <c r="AX88" s="350"/>
      <c r="AY88" s="350"/>
      <c r="AZ88" s="350"/>
      <c r="BA88" s="350"/>
      <c r="BB88" s="350"/>
      <c r="BC88" s="350"/>
      <c r="BD88" s="350"/>
      <c r="BE88" s="350"/>
      <c r="BF88" s="350"/>
      <c r="BG88" s="350"/>
      <c r="BH88" s="350"/>
      <c r="BI88" s="350"/>
    </row>
    <row r="89" customFormat="false" ht="12.75" hidden="false" customHeight="false" outlineLevel="0" collapsed="false">
      <c r="A89" s="350"/>
      <c r="B89" s="350"/>
      <c r="C89" s="350"/>
      <c r="D89" s="350"/>
      <c r="E89" s="350"/>
      <c r="F89" s="350"/>
      <c r="G89" s="350"/>
      <c r="H89" s="350"/>
      <c r="I89" s="350"/>
      <c r="J89" s="350"/>
      <c r="K89" s="350"/>
      <c r="L89" s="350"/>
      <c r="M89" s="350"/>
      <c r="N89" s="350"/>
      <c r="O89" s="350"/>
      <c r="P89" s="350"/>
      <c r="Q89" s="350"/>
      <c r="R89" s="350"/>
      <c r="S89" s="350"/>
      <c r="T89" s="350"/>
      <c r="U89" s="350"/>
      <c r="V89" s="350"/>
      <c r="W89" s="350"/>
      <c r="X89" s="350"/>
      <c r="Y89" s="350"/>
      <c r="Z89" s="350"/>
      <c r="AA89" s="350"/>
      <c r="AB89" s="350"/>
      <c r="AC89" s="350"/>
      <c r="AD89" s="350"/>
      <c r="AE89" s="350"/>
      <c r="AF89" s="350"/>
      <c r="AG89" s="350"/>
      <c r="AH89" s="350"/>
      <c r="AI89" s="350"/>
      <c r="AJ89" s="350"/>
      <c r="AK89" s="350"/>
      <c r="AL89" s="350"/>
      <c r="AM89" s="350"/>
      <c r="AN89" s="350"/>
      <c r="AO89" s="350"/>
      <c r="AP89" s="350"/>
      <c r="AQ89" s="350"/>
      <c r="AR89" s="350"/>
      <c r="AS89" s="350"/>
      <c r="AT89" s="350"/>
      <c r="AU89" s="350"/>
      <c r="AV89" s="350"/>
      <c r="AW89" s="350"/>
      <c r="AX89" s="350"/>
      <c r="AY89" s="350"/>
      <c r="AZ89" s="350"/>
      <c r="BA89" s="350"/>
      <c r="BB89" s="350"/>
      <c r="BC89" s="350"/>
      <c r="BD89" s="350"/>
      <c r="BE89" s="350"/>
      <c r="BF89" s="350"/>
      <c r="BG89" s="350"/>
      <c r="BH89" s="350"/>
      <c r="BI89" s="350"/>
    </row>
    <row r="90" customFormat="false" ht="12.75" hidden="false" customHeight="false" outlineLevel="0" collapsed="false">
      <c r="A90" s="350"/>
      <c r="B90" s="350"/>
      <c r="C90" s="350"/>
      <c r="D90" s="350"/>
      <c r="E90" s="350"/>
      <c r="F90" s="350"/>
      <c r="G90" s="350"/>
      <c r="H90" s="350"/>
      <c r="I90" s="350"/>
      <c r="J90" s="350"/>
      <c r="K90" s="350"/>
      <c r="L90" s="350"/>
      <c r="M90" s="350"/>
      <c r="N90" s="350"/>
      <c r="O90" s="350"/>
      <c r="P90" s="350"/>
      <c r="Q90" s="350"/>
      <c r="R90" s="350"/>
      <c r="S90" s="350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350"/>
      <c r="BI90" s="350"/>
    </row>
    <row r="91" customFormat="false" ht="12.75" hidden="false" customHeight="false" outlineLevel="0" collapsed="false">
      <c r="A91" s="350"/>
      <c r="B91" s="350"/>
      <c r="C91" s="350"/>
      <c r="D91" s="350"/>
      <c r="E91" s="350"/>
      <c r="F91" s="350"/>
      <c r="G91" s="350"/>
      <c r="H91" s="350"/>
      <c r="I91" s="350"/>
      <c r="J91" s="350"/>
      <c r="K91" s="350"/>
      <c r="L91" s="350"/>
      <c r="M91" s="350"/>
      <c r="N91" s="350"/>
      <c r="O91" s="350"/>
      <c r="P91" s="350"/>
      <c r="Q91" s="350"/>
      <c r="R91" s="350"/>
      <c r="S91" s="350"/>
      <c r="T91" s="350"/>
      <c r="U91" s="350"/>
      <c r="V91" s="350"/>
      <c r="W91" s="350"/>
      <c r="X91" s="350"/>
      <c r="Y91" s="350"/>
      <c r="Z91" s="350"/>
      <c r="AA91" s="350"/>
      <c r="AB91" s="350"/>
      <c r="AC91" s="350"/>
      <c r="AD91" s="350"/>
      <c r="AE91" s="350"/>
      <c r="AF91" s="350"/>
      <c r="AG91" s="350"/>
      <c r="AH91" s="350"/>
      <c r="AI91" s="350"/>
      <c r="AJ91" s="350"/>
      <c r="AK91" s="350"/>
      <c r="AL91" s="350"/>
      <c r="AM91" s="350"/>
      <c r="AN91" s="350"/>
      <c r="AO91" s="350"/>
      <c r="AP91" s="350"/>
      <c r="AQ91" s="350"/>
      <c r="AR91" s="350"/>
      <c r="AS91" s="350"/>
      <c r="AT91" s="350"/>
      <c r="AU91" s="350"/>
      <c r="AV91" s="350"/>
      <c r="AW91" s="350"/>
      <c r="AX91" s="350"/>
      <c r="AY91" s="350"/>
      <c r="AZ91" s="350"/>
      <c r="BA91" s="350"/>
      <c r="BB91" s="350"/>
      <c r="BC91" s="350"/>
      <c r="BD91" s="350"/>
      <c r="BE91" s="350"/>
      <c r="BF91" s="350"/>
      <c r="BG91" s="350"/>
      <c r="BH91" s="350"/>
      <c r="BI91" s="350"/>
    </row>
    <row r="92" customFormat="false" ht="12.75" hidden="false" customHeight="false" outlineLevel="0" collapsed="false">
      <c r="A92" s="350"/>
      <c r="B92" s="350"/>
      <c r="C92" s="350"/>
      <c r="D92" s="350"/>
      <c r="E92" s="350"/>
      <c r="F92" s="350"/>
      <c r="G92" s="350"/>
      <c r="H92" s="350"/>
      <c r="I92" s="350"/>
      <c r="J92" s="350"/>
      <c r="K92" s="350"/>
      <c r="L92" s="350"/>
      <c r="M92" s="350"/>
      <c r="N92" s="350"/>
      <c r="O92" s="350"/>
      <c r="P92" s="350"/>
      <c r="Q92" s="350"/>
      <c r="R92" s="350"/>
      <c r="S92" s="350"/>
      <c r="T92" s="350"/>
      <c r="U92" s="350"/>
      <c r="V92" s="350"/>
      <c r="W92" s="350"/>
      <c r="X92" s="350"/>
      <c r="Y92" s="350"/>
      <c r="Z92" s="350"/>
      <c r="AA92" s="350"/>
      <c r="AB92" s="350"/>
      <c r="AC92" s="350"/>
      <c r="AD92" s="350"/>
      <c r="AE92" s="350"/>
      <c r="AF92" s="350"/>
      <c r="AG92" s="350"/>
      <c r="AH92" s="350"/>
      <c r="AI92" s="350"/>
      <c r="AJ92" s="350"/>
      <c r="AK92" s="350"/>
      <c r="AL92" s="350"/>
      <c r="AM92" s="350"/>
      <c r="AN92" s="350"/>
      <c r="AO92" s="350"/>
      <c r="AP92" s="350"/>
      <c r="AQ92" s="350"/>
      <c r="AR92" s="350"/>
      <c r="AS92" s="350"/>
      <c r="AT92" s="350"/>
      <c r="AU92" s="350"/>
      <c r="AV92" s="350"/>
      <c r="AW92" s="350"/>
      <c r="AX92" s="350"/>
      <c r="AY92" s="350"/>
      <c r="AZ92" s="350"/>
      <c r="BA92" s="350"/>
      <c r="BB92" s="350"/>
      <c r="BC92" s="350"/>
      <c r="BD92" s="350"/>
      <c r="BE92" s="350"/>
      <c r="BF92" s="350"/>
      <c r="BG92" s="350"/>
      <c r="BH92" s="350"/>
      <c r="BI92" s="350"/>
    </row>
    <row r="93" customFormat="false" ht="12.75" hidden="false" customHeight="false" outlineLevel="0" collapsed="false">
      <c r="A93" s="350"/>
      <c r="B93" s="350"/>
      <c r="C93" s="350"/>
      <c r="D93" s="350"/>
      <c r="E93" s="350"/>
      <c r="F93" s="350"/>
      <c r="G93" s="350"/>
      <c r="H93" s="350"/>
      <c r="I93" s="350"/>
      <c r="J93" s="350"/>
      <c r="K93" s="350"/>
      <c r="L93" s="350"/>
      <c r="M93" s="350"/>
      <c r="N93" s="350"/>
      <c r="O93" s="350"/>
      <c r="P93" s="350"/>
      <c r="Q93" s="350"/>
      <c r="R93" s="350"/>
      <c r="S93" s="350"/>
      <c r="T93" s="350"/>
      <c r="U93" s="350"/>
      <c r="V93" s="350"/>
      <c r="W93" s="350"/>
      <c r="X93" s="350"/>
      <c r="Y93" s="350"/>
      <c r="Z93" s="350"/>
      <c r="AA93" s="350"/>
      <c r="AB93" s="350"/>
      <c r="AC93" s="350"/>
      <c r="AD93" s="350"/>
      <c r="AE93" s="350"/>
      <c r="AF93" s="350"/>
      <c r="AG93" s="350"/>
      <c r="AH93" s="350"/>
      <c r="AI93" s="350"/>
      <c r="AJ93" s="350"/>
      <c r="AK93" s="350"/>
      <c r="AL93" s="350"/>
      <c r="AM93" s="350"/>
      <c r="AN93" s="350"/>
      <c r="AO93" s="350"/>
      <c r="AP93" s="350"/>
      <c r="AQ93" s="350"/>
      <c r="AR93" s="350"/>
      <c r="AS93" s="350"/>
      <c r="AT93" s="350"/>
      <c r="AU93" s="350"/>
      <c r="AV93" s="350"/>
      <c r="AW93" s="350"/>
      <c r="AX93" s="350"/>
      <c r="AY93" s="350"/>
      <c r="AZ93" s="350"/>
      <c r="BA93" s="350"/>
      <c r="BB93" s="350"/>
      <c r="BC93" s="350"/>
      <c r="BD93" s="350"/>
      <c r="BE93" s="350"/>
      <c r="BF93" s="350"/>
      <c r="BG93" s="350"/>
      <c r="BH93" s="350"/>
      <c r="BI93" s="350"/>
    </row>
    <row r="94" customFormat="false" ht="12.75" hidden="false" customHeight="false" outlineLevel="0" collapsed="false">
      <c r="A94" s="350"/>
      <c r="B94" s="350"/>
      <c r="C94" s="350"/>
      <c r="D94" s="350"/>
      <c r="E94" s="350"/>
      <c r="F94" s="350"/>
      <c r="G94" s="350"/>
      <c r="H94" s="350"/>
      <c r="I94" s="350"/>
      <c r="J94" s="350"/>
      <c r="K94" s="350"/>
      <c r="L94" s="350"/>
      <c r="M94" s="350"/>
      <c r="N94" s="350"/>
      <c r="O94" s="350"/>
      <c r="P94" s="350"/>
      <c r="Q94" s="350"/>
      <c r="R94" s="350"/>
      <c r="S94" s="350"/>
      <c r="T94" s="350"/>
      <c r="U94" s="350"/>
      <c r="V94" s="350"/>
      <c r="W94" s="350"/>
      <c r="X94" s="350"/>
      <c r="Y94" s="350"/>
      <c r="Z94" s="350"/>
      <c r="AA94" s="350"/>
      <c r="AB94" s="350"/>
      <c r="AC94" s="350"/>
      <c r="AD94" s="350"/>
      <c r="AE94" s="350"/>
      <c r="AF94" s="350"/>
      <c r="AG94" s="350"/>
      <c r="AH94" s="350"/>
      <c r="AI94" s="350"/>
      <c r="AJ94" s="350"/>
      <c r="AK94" s="350"/>
      <c r="AL94" s="350"/>
      <c r="AM94" s="350"/>
      <c r="AN94" s="350"/>
      <c r="AO94" s="350"/>
      <c r="AP94" s="350"/>
      <c r="AQ94" s="350"/>
      <c r="AR94" s="350"/>
      <c r="AS94" s="350"/>
      <c r="AT94" s="350"/>
      <c r="AU94" s="350"/>
      <c r="AV94" s="350"/>
      <c r="AW94" s="350"/>
      <c r="AX94" s="350"/>
      <c r="AY94" s="350"/>
      <c r="AZ94" s="350"/>
      <c r="BA94" s="350"/>
      <c r="BB94" s="350"/>
      <c r="BC94" s="350"/>
      <c r="BD94" s="350"/>
      <c r="BE94" s="350"/>
      <c r="BF94" s="350"/>
      <c r="BG94" s="350"/>
      <c r="BH94" s="350"/>
      <c r="BI94" s="350"/>
    </row>
    <row r="95" customFormat="false" ht="12.75" hidden="false" customHeight="false" outlineLevel="0" collapsed="false">
      <c r="A95" s="350"/>
      <c r="B95" s="350"/>
      <c r="C95" s="350"/>
      <c r="D95" s="350"/>
      <c r="E95" s="350"/>
      <c r="F95" s="350"/>
      <c r="G95" s="350"/>
      <c r="H95" s="350"/>
      <c r="I95" s="350"/>
      <c r="J95" s="350"/>
      <c r="K95" s="350"/>
      <c r="L95" s="350"/>
      <c r="M95" s="350"/>
      <c r="N95" s="350"/>
      <c r="O95" s="350"/>
      <c r="P95" s="350"/>
      <c r="Q95" s="350"/>
      <c r="R95" s="350"/>
      <c r="S95" s="350"/>
      <c r="T95" s="350"/>
      <c r="U95" s="350"/>
      <c r="V95" s="350"/>
      <c r="W95" s="350"/>
      <c r="X95" s="350"/>
      <c r="Y95" s="350"/>
      <c r="Z95" s="350"/>
      <c r="AA95" s="350"/>
      <c r="AB95" s="350"/>
      <c r="AC95" s="350"/>
      <c r="AD95" s="350"/>
      <c r="AE95" s="350"/>
      <c r="AF95" s="350"/>
      <c r="AG95" s="350"/>
      <c r="AH95" s="350"/>
      <c r="AI95" s="350"/>
      <c r="AJ95" s="350"/>
      <c r="AK95" s="350"/>
      <c r="AL95" s="350"/>
      <c r="AM95" s="350"/>
      <c r="AN95" s="350"/>
      <c r="AO95" s="350"/>
      <c r="AP95" s="350"/>
      <c r="AQ95" s="350"/>
      <c r="AR95" s="350"/>
      <c r="AS95" s="350"/>
      <c r="AT95" s="350"/>
      <c r="AU95" s="350"/>
      <c r="AV95" s="350"/>
      <c r="AW95" s="350"/>
      <c r="AX95" s="350"/>
      <c r="AY95" s="350"/>
      <c r="AZ95" s="350"/>
      <c r="BA95" s="350"/>
      <c r="BB95" s="350"/>
      <c r="BC95" s="350"/>
      <c r="BD95" s="350"/>
      <c r="BE95" s="350"/>
      <c r="BF95" s="350"/>
      <c r="BG95" s="350"/>
      <c r="BH95" s="350"/>
      <c r="BI95" s="350"/>
    </row>
    <row r="96" customFormat="false" ht="12.75" hidden="false" customHeight="false" outlineLevel="0" collapsed="false">
      <c r="A96" s="350"/>
      <c r="B96" s="350"/>
      <c r="C96" s="350"/>
      <c r="D96" s="350"/>
      <c r="E96" s="350"/>
      <c r="F96" s="350"/>
      <c r="G96" s="350"/>
      <c r="H96" s="350"/>
      <c r="I96" s="350"/>
      <c r="J96" s="350"/>
      <c r="K96" s="350"/>
      <c r="L96" s="350"/>
      <c r="M96" s="350"/>
      <c r="N96" s="350"/>
      <c r="O96" s="350"/>
      <c r="P96" s="350"/>
      <c r="Q96" s="350"/>
      <c r="R96" s="350"/>
      <c r="S96" s="350"/>
      <c r="T96" s="350"/>
      <c r="U96" s="350"/>
      <c r="V96" s="350"/>
      <c r="W96" s="350"/>
      <c r="X96" s="350"/>
      <c r="Y96" s="350"/>
      <c r="Z96" s="350"/>
      <c r="AA96" s="350"/>
      <c r="AB96" s="350"/>
      <c r="AC96" s="350"/>
      <c r="AD96" s="350"/>
      <c r="AE96" s="350"/>
      <c r="AF96" s="350"/>
      <c r="AG96" s="350"/>
      <c r="AH96" s="350"/>
      <c r="AI96" s="350"/>
      <c r="AJ96" s="350"/>
      <c r="AK96" s="350"/>
      <c r="AL96" s="350"/>
      <c r="AM96" s="350"/>
      <c r="AN96" s="350"/>
      <c r="AO96" s="350"/>
      <c r="AP96" s="350"/>
      <c r="AQ96" s="350"/>
      <c r="AR96" s="350"/>
      <c r="AS96" s="350"/>
      <c r="AT96" s="350"/>
      <c r="AU96" s="350"/>
      <c r="AV96" s="350"/>
      <c r="AW96" s="350"/>
      <c r="AX96" s="350"/>
      <c r="AY96" s="350"/>
      <c r="AZ96" s="350"/>
      <c r="BA96" s="350"/>
      <c r="BB96" s="350"/>
      <c r="BC96" s="350"/>
      <c r="BD96" s="350"/>
      <c r="BE96" s="350"/>
      <c r="BF96" s="350"/>
      <c r="BG96" s="350"/>
      <c r="BH96" s="350"/>
      <c r="BI96" s="350"/>
    </row>
    <row r="97" customFormat="false" ht="12.75" hidden="false" customHeight="false" outlineLevel="0" collapsed="false">
      <c r="A97" s="350"/>
      <c r="B97" s="350"/>
      <c r="C97" s="350"/>
      <c r="D97" s="350"/>
      <c r="E97" s="350"/>
      <c r="F97" s="350"/>
      <c r="G97" s="350"/>
      <c r="H97" s="350"/>
      <c r="I97" s="350"/>
      <c r="J97" s="350"/>
      <c r="K97" s="350"/>
      <c r="L97" s="350"/>
      <c r="M97" s="350"/>
      <c r="N97" s="350"/>
      <c r="O97" s="350"/>
      <c r="P97" s="350"/>
      <c r="Q97" s="350"/>
      <c r="R97" s="350"/>
      <c r="S97" s="350"/>
      <c r="T97" s="350"/>
      <c r="U97" s="350"/>
      <c r="V97" s="350"/>
      <c r="W97" s="350"/>
      <c r="X97" s="350"/>
      <c r="Y97" s="350"/>
      <c r="Z97" s="350"/>
      <c r="AA97" s="350"/>
      <c r="AB97" s="350"/>
      <c r="AC97" s="350"/>
      <c r="AD97" s="350"/>
      <c r="AE97" s="350"/>
      <c r="AF97" s="350"/>
      <c r="AG97" s="350"/>
      <c r="AH97" s="350"/>
      <c r="AI97" s="350"/>
      <c r="AJ97" s="350"/>
      <c r="AK97" s="350"/>
      <c r="AL97" s="350"/>
      <c r="AM97" s="350"/>
      <c r="AN97" s="350"/>
      <c r="AO97" s="350"/>
      <c r="AP97" s="350"/>
      <c r="AQ97" s="350"/>
      <c r="AR97" s="350"/>
      <c r="AS97" s="350"/>
      <c r="AT97" s="350"/>
      <c r="AU97" s="350"/>
      <c r="AV97" s="350"/>
      <c r="AW97" s="350"/>
      <c r="AX97" s="350"/>
      <c r="AY97" s="350"/>
      <c r="AZ97" s="350"/>
      <c r="BA97" s="350"/>
      <c r="BB97" s="350"/>
      <c r="BC97" s="350"/>
      <c r="BD97" s="350"/>
      <c r="BE97" s="350"/>
      <c r="BF97" s="350"/>
      <c r="BG97" s="350"/>
      <c r="BH97" s="350"/>
      <c r="BI97" s="350"/>
    </row>
    <row r="98" customFormat="false" ht="12.75" hidden="false" customHeight="false" outlineLevel="0" collapsed="false">
      <c r="A98" s="350"/>
      <c r="B98" s="350"/>
      <c r="C98" s="350"/>
      <c r="D98" s="350"/>
      <c r="E98" s="350"/>
      <c r="F98" s="350"/>
      <c r="G98" s="350"/>
      <c r="H98" s="350"/>
      <c r="I98" s="350"/>
      <c r="J98" s="350"/>
      <c r="K98" s="350"/>
      <c r="L98" s="350"/>
      <c r="M98" s="350"/>
      <c r="N98" s="350"/>
      <c r="O98" s="350"/>
      <c r="P98" s="350"/>
      <c r="Q98" s="350"/>
      <c r="R98" s="350"/>
      <c r="S98" s="350"/>
      <c r="T98" s="350"/>
      <c r="U98" s="350"/>
      <c r="V98" s="350"/>
      <c r="W98" s="350"/>
      <c r="X98" s="350"/>
      <c r="Y98" s="350"/>
      <c r="Z98" s="350"/>
      <c r="AA98" s="350"/>
      <c r="AB98" s="350"/>
      <c r="AC98" s="350"/>
      <c r="AD98" s="350"/>
      <c r="AE98" s="350"/>
      <c r="AF98" s="350"/>
      <c r="AG98" s="350"/>
      <c r="AH98" s="350"/>
      <c r="AI98" s="350"/>
      <c r="AJ98" s="350"/>
      <c r="AK98" s="350"/>
      <c r="AL98" s="350"/>
      <c r="AM98" s="350"/>
      <c r="AN98" s="350"/>
      <c r="AO98" s="350"/>
      <c r="AP98" s="350"/>
      <c r="AQ98" s="350"/>
      <c r="AR98" s="350"/>
      <c r="AS98" s="350"/>
      <c r="AT98" s="350"/>
      <c r="AU98" s="350"/>
      <c r="AV98" s="350"/>
      <c r="AW98" s="350"/>
      <c r="AX98" s="350"/>
      <c r="AY98" s="350"/>
      <c r="AZ98" s="350"/>
      <c r="BA98" s="350"/>
      <c r="BB98" s="350"/>
      <c r="BC98" s="350"/>
      <c r="BD98" s="350"/>
      <c r="BE98" s="350"/>
      <c r="BF98" s="350"/>
      <c r="BG98" s="350"/>
      <c r="BH98" s="350"/>
      <c r="BI98" s="350"/>
    </row>
    <row r="99" customFormat="false" ht="12.75" hidden="false" customHeight="false" outlineLevel="0" collapsed="false">
      <c r="A99" s="350"/>
      <c r="B99" s="350"/>
      <c r="C99" s="350"/>
      <c r="D99" s="350"/>
      <c r="E99" s="350"/>
      <c r="F99" s="350"/>
      <c r="G99" s="350"/>
      <c r="H99" s="350"/>
      <c r="I99" s="350"/>
      <c r="J99" s="350"/>
      <c r="K99" s="350"/>
      <c r="L99" s="350"/>
      <c r="M99" s="350"/>
      <c r="N99" s="350"/>
      <c r="O99" s="350"/>
      <c r="P99" s="350"/>
      <c r="Q99" s="350"/>
      <c r="R99" s="350"/>
      <c r="S99" s="350"/>
      <c r="T99" s="350"/>
      <c r="U99" s="350"/>
      <c r="V99" s="350"/>
      <c r="W99" s="350"/>
      <c r="X99" s="350"/>
      <c r="Y99" s="350"/>
      <c r="Z99" s="350"/>
      <c r="AA99" s="350"/>
      <c r="AB99" s="350"/>
      <c r="AC99" s="350"/>
      <c r="AD99" s="350"/>
      <c r="AE99" s="350"/>
      <c r="AF99" s="350"/>
      <c r="AG99" s="350"/>
      <c r="AH99" s="350"/>
      <c r="AI99" s="350"/>
      <c r="AJ99" s="350"/>
      <c r="AK99" s="350"/>
      <c r="AL99" s="350"/>
      <c r="AM99" s="350"/>
      <c r="AN99" s="350"/>
      <c r="AO99" s="350"/>
      <c r="AP99" s="350"/>
      <c r="AQ99" s="350"/>
      <c r="AR99" s="350"/>
      <c r="AS99" s="350"/>
      <c r="AT99" s="350"/>
      <c r="AU99" s="350"/>
      <c r="AV99" s="350"/>
      <c r="AW99" s="350"/>
      <c r="AX99" s="350"/>
      <c r="AY99" s="350"/>
      <c r="AZ99" s="350"/>
      <c r="BA99" s="350"/>
      <c r="BB99" s="350"/>
      <c r="BC99" s="350"/>
      <c r="BD99" s="350"/>
      <c r="BE99" s="350"/>
      <c r="BF99" s="350"/>
      <c r="BG99" s="350"/>
      <c r="BH99" s="350"/>
      <c r="BI99" s="350"/>
    </row>
    <row r="100" customFormat="false" ht="12.75" hidden="false" customHeight="false" outlineLevel="0" collapsed="false">
      <c r="A100" s="350"/>
      <c r="B100" s="350"/>
      <c r="C100" s="350"/>
      <c r="D100" s="350"/>
      <c r="E100" s="350"/>
      <c r="F100" s="350"/>
      <c r="G100" s="350"/>
      <c r="H100" s="350"/>
      <c r="I100" s="350"/>
      <c r="J100" s="350"/>
      <c r="K100" s="350"/>
      <c r="L100" s="350"/>
      <c r="M100" s="350"/>
      <c r="N100" s="350"/>
      <c r="O100" s="350"/>
      <c r="P100" s="350"/>
      <c r="Q100" s="350"/>
      <c r="R100" s="350"/>
      <c r="S100" s="350"/>
      <c r="T100" s="350"/>
      <c r="U100" s="350"/>
      <c r="V100" s="350"/>
      <c r="W100" s="350"/>
      <c r="X100" s="350"/>
      <c r="Y100" s="350"/>
      <c r="Z100" s="350"/>
      <c r="AA100" s="350"/>
      <c r="AB100" s="350"/>
      <c r="AC100" s="350"/>
      <c r="AD100" s="350"/>
      <c r="AE100" s="350"/>
      <c r="AF100" s="350"/>
      <c r="AG100" s="350"/>
      <c r="AH100" s="350"/>
      <c r="AI100" s="350"/>
      <c r="AJ100" s="350"/>
      <c r="AK100" s="350"/>
      <c r="AL100" s="350"/>
      <c r="AM100" s="350"/>
      <c r="AN100" s="350"/>
      <c r="AO100" s="350"/>
      <c r="AP100" s="350"/>
      <c r="AQ100" s="350"/>
      <c r="AR100" s="350"/>
      <c r="AS100" s="350"/>
      <c r="AT100" s="350"/>
      <c r="AU100" s="350"/>
      <c r="AV100" s="350"/>
      <c r="AW100" s="350"/>
      <c r="AX100" s="350"/>
      <c r="AY100" s="350"/>
      <c r="AZ100" s="350"/>
      <c r="BA100" s="350"/>
      <c r="BB100" s="350"/>
      <c r="BC100" s="350"/>
      <c r="BD100" s="350"/>
      <c r="BE100" s="350"/>
      <c r="BF100" s="350"/>
      <c r="BG100" s="350"/>
      <c r="BH100" s="350"/>
      <c r="BI100" s="350"/>
    </row>
    <row r="101" customFormat="false" ht="12.75" hidden="false" customHeight="false" outlineLevel="0" collapsed="false">
      <c r="A101" s="350"/>
      <c r="B101" s="350"/>
      <c r="C101" s="350"/>
      <c r="D101" s="350"/>
      <c r="E101" s="350"/>
      <c r="F101" s="350"/>
      <c r="G101" s="350"/>
      <c r="H101" s="350"/>
      <c r="I101" s="350"/>
      <c r="J101" s="350"/>
      <c r="K101" s="350"/>
      <c r="L101" s="350"/>
      <c r="M101" s="350"/>
      <c r="N101" s="350"/>
      <c r="O101" s="350"/>
      <c r="P101" s="350"/>
      <c r="Q101" s="350"/>
      <c r="R101" s="350"/>
      <c r="S101" s="350"/>
      <c r="T101" s="350"/>
      <c r="U101" s="350"/>
      <c r="V101" s="350"/>
      <c r="W101" s="350"/>
      <c r="X101" s="350"/>
      <c r="Y101" s="350"/>
      <c r="Z101" s="350"/>
      <c r="AA101" s="350"/>
      <c r="AB101" s="350"/>
      <c r="AC101" s="350"/>
      <c r="AD101" s="350"/>
      <c r="AE101" s="350"/>
      <c r="AF101" s="350"/>
      <c r="AG101" s="350"/>
      <c r="AH101" s="350"/>
      <c r="AI101" s="350"/>
      <c r="AJ101" s="350"/>
      <c r="AK101" s="350"/>
      <c r="AL101" s="350"/>
      <c r="AM101" s="350"/>
      <c r="AN101" s="350"/>
      <c r="AO101" s="350"/>
      <c r="AP101" s="350"/>
      <c r="AQ101" s="350"/>
      <c r="AR101" s="350"/>
      <c r="AS101" s="350"/>
      <c r="AT101" s="350"/>
      <c r="AU101" s="350"/>
      <c r="AV101" s="350"/>
      <c r="AW101" s="350"/>
      <c r="AX101" s="350"/>
      <c r="AY101" s="350"/>
      <c r="AZ101" s="350"/>
      <c r="BA101" s="350"/>
      <c r="BB101" s="350"/>
      <c r="BC101" s="350"/>
      <c r="BD101" s="350"/>
      <c r="BE101" s="350"/>
      <c r="BF101" s="350"/>
      <c r="BG101" s="350"/>
      <c r="BH101" s="350"/>
      <c r="BI101" s="350"/>
    </row>
    <row r="102" customFormat="false" ht="12.75" hidden="false" customHeight="false" outlineLevel="0" collapsed="false">
      <c r="A102" s="350"/>
      <c r="B102" s="350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  <c r="N102" s="350"/>
      <c r="O102" s="350"/>
      <c r="P102" s="350"/>
      <c r="Q102" s="350"/>
      <c r="R102" s="350"/>
      <c r="S102" s="350"/>
      <c r="T102" s="350"/>
      <c r="U102" s="350"/>
      <c r="V102" s="350"/>
      <c r="W102" s="350"/>
      <c r="X102" s="350"/>
      <c r="Y102" s="350"/>
      <c r="Z102" s="350"/>
      <c r="AA102" s="350"/>
      <c r="AB102" s="350"/>
      <c r="AC102" s="350"/>
      <c r="AD102" s="350"/>
      <c r="AE102" s="350"/>
      <c r="AF102" s="350"/>
      <c r="AG102" s="350"/>
      <c r="AH102" s="350"/>
      <c r="AI102" s="350"/>
      <c r="AJ102" s="350"/>
      <c r="AK102" s="350"/>
      <c r="AL102" s="350"/>
      <c r="AM102" s="350"/>
      <c r="AN102" s="350"/>
      <c r="AO102" s="350"/>
      <c r="AP102" s="350"/>
      <c r="AQ102" s="350"/>
      <c r="AR102" s="350"/>
      <c r="AS102" s="350"/>
      <c r="AT102" s="350"/>
      <c r="AU102" s="350"/>
      <c r="AV102" s="350"/>
      <c r="AW102" s="350"/>
      <c r="AX102" s="350"/>
      <c r="AY102" s="350"/>
      <c r="AZ102" s="350"/>
      <c r="BA102" s="350"/>
      <c r="BB102" s="350"/>
      <c r="BC102" s="350"/>
      <c r="BD102" s="350"/>
      <c r="BE102" s="350"/>
      <c r="BF102" s="350"/>
      <c r="BG102" s="350"/>
      <c r="BH102" s="350"/>
      <c r="BI102" s="350"/>
    </row>
    <row r="103" customFormat="false" ht="12.75" hidden="false" customHeight="false" outlineLevel="0" collapsed="false">
      <c r="A103" s="350"/>
      <c r="B103" s="350"/>
      <c r="C103" s="350"/>
      <c r="D103" s="350"/>
      <c r="E103" s="350"/>
      <c r="F103" s="350"/>
      <c r="G103" s="350"/>
      <c r="H103" s="350"/>
      <c r="I103" s="350"/>
      <c r="J103" s="350"/>
      <c r="K103" s="350"/>
      <c r="L103" s="350"/>
      <c r="M103" s="350"/>
      <c r="N103" s="350"/>
      <c r="O103" s="350"/>
      <c r="P103" s="350"/>
      <c r="Q103" s="350"/>
      <c r="R103" s="350"/>
      <c r="S103" s="350"/>
      <c r="T103" s="350"/>
      <c r="U103" s="350"/>
      <c r="V103" s="350"/>
      <c r="W103" s="350"/>
      <c r="X103" s="350"/>
      <c r="Y103" s="350"/>
      <c r="Z103" s="350"/>
      <c r="AA103" s="350"/>
      <c r="AB103" s="350"/>
      <c r="AC103" s="350"/>
      <c r="AD103" s="350"/>
      <c r="AE103" s="350"/>
      <c r="AF103" s="350"/>
      <c r="AG103" s="350"/>
      <c r="AH103" s="350"/>
      <c r="AI103" s="350"/>
      <c r="AJ103" s="350"/>
      <c r="AK103" s="350"/>
      <c r="AL103" s="350"/>
      <c r="AM103" s="350"/>
      <c r="AN103" s="350"/>
      <c r="AO103" s="350"/>
      <c r="AP103" s="350"/>
      <c r="AQ103" s="350"/>
      <c r="AR103" s="350"/>
      <c r="AS103" s="350"/>
      <c r="AT103" s="350"/>
      <c r="AU103" s="350"/>
      <c r="AV103" s="350"/>
      <c r="AW103" s="350"/>
      <c r="AX103" s="350"/>
      <c r="AY103" s="350"/>
      <c r="AZ103" s="350"/>
      <c r="BA103" s="350"/>
      <c r="BB103" s="350"/>
      <c r="BC103" s="350"/>
      <c r="BD103" s="350"/>
      <c r="BE103" s="350"/>
      <c r="BF103" s="350"/>
      <c r="BG103" s="350"/>
      <c r="BH103" s="350"/>
      <c r="BI103" s="350"/>
    </row>
    <row r="104" customFormat="false" ht="12.75" hidden="false" customHeight="false" outlineLevel="0" collapsed="false">
      <c r="A104" s="350"/>
      <c r="B104" s="350"/>
      <c r="C104" s="350"/>
      <c r="D104" s="350"/>
      <c r="E104" s="35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  <c r="X104" s="350"/>
      <c r="Y104" s="350"/>
      <c r="Z104" s="350"/>
      <c r="AA104" s="350"/>
      <c r="AB104" s="350"/>
      <c r="AC104" s="350"/>
      <c r="AD104" s="350"/>
      <c r="AE104" s="350"/>
      <c r="AF104" s="350"/>
      <c r="AG104" s="350"/>
      <c r="AH104" s="350"/>
      <c r="AI104" s="350"/>
      <c r="AJ104" s="350"/>
      <c r="AK104" s="350"/>
      <c r="AL104" s="350"/>
      <c r="AM104" s="350"/>
      <c r="AN104" s="350"/>
      <c r="AO104" s="350"/>
      <c r="AP104" s="350"/>
      <c r="AQ104" s="350"/>
      <c r="AR104" s="350"/>
      <c r="AS104" s="350"/>
      <c r="AT104" s="350"/>
      <c r="AU104" s="350"/>
      <c r="AV104" s="350"/>
      <c r="AW104" s="350"/>
      <c r="AX104" s="350"/>
      <c r="AY104" s="350"/>
      <c r="AZ104" s="350"/>
      <c r="BA104" s="350"/>
      <c r="BB104" s="350"/>
      <c r="BC104" s="350"/>
      <c r="BD104" s="350"/>
      <c r="BE104" s="350"/>
      <c r="BF104" s="350"/>
      <c r="BG104" s="350"/>
      <c r="BH104" s="350"/>
      <c r="BI104" s="350"/>
    </row>
    <row r="105" customFormat="false" ht="12.75" hidden="false" customHeight="false" outlineLevel="0" collapsed="false">
      <c r="A105" s="350"/>
      <c r="B105" s="350"/>
      <c r="C105" s="350"/>
      <c r="D105" s="350"/>
      <c r="E105" s="350"/>
      <c r="F105" s="350"/>
      <c r="G105" s="350"/>
      <c r="H105" s="350"/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  <c r="X105" s="350"/>
      <c r="Y105" s="350"/>
      <c r="Z105" s="350"/>
      <c r="AA105" s="350"/>
      <c r="AB105" s="350"/>
      <c r="AC105" s="350"/>
      <c r="AD105" s="350"/>
      <c r="AE105" s="350"/>
      <c r="AF105" s="350"/>
      <c r="AG105" s="350"/>
      <c r="AH105" s="350"/>
      <c r="AI105" s="350"/>
      <c r="AJ105" s="350"/>
      <c r="AK105" s="350"/>
      <c r="AL105" s="350"/>
      <c r="AM105" s="350"/>
      <c r="AN105" s="350"/>
      <c r="AO105" s="350"/>
      <c r="AP105" s="350"/>
      <c r="AQ105" s="350"/>
      <c r="AR105" s="350"/>
      <c r="AS105" s="350"/>
      <c r="AT105" s="350"/>
      <c r="AU105" s="350"/>
      <c r="AV105" s="350"/>
      <c r="AW105" s="350"/>
      <c r="AX105" s="350"/>
      <c r="AY105" s="350"/>
      <c r="AZ105" s="350"/>
      <c r="BA105" s="350"/>
      <c r="BB105" s="350"/>
      <c r="BC105" s="350"/>
      <c r="BD105" s="350"/>
      <c r="BE105" s="350"/>
      <c r="BF105" s="350"/>
      <c r="BG105" s="350"/>
      <c r="BH105" s="350"/>
      <c r="BI105" s="350"/>
    </row>
    <row r="106" customFormat="false" ht="12.75" hidden="false" customHeight="false" outlineLevel="0" collapsed="false">
      <c r="A106" s="350"/>
      <c r="B106" s="350"/>
      <c r="C106" s="350"/>
      <c r="D106" s="350"/>
      <c r="E106" s="350"/>
      <c r="F106" s="350"/>
      <c r="G106" s="350"/>
      <c r="H106" s="350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  <c r="X106" s="350"/>
      <c r="Y106" s="350"/>
      <c r="Z106" s="350"/>
      <c r="AA106" s="350"/>
      <c r="AB106" s="350"/>
      <c r="AC106" s="350"/>
      <c r="AD106" s="350"/>
      <c r="AE106" s="350"/>
      <c r="AF106" s="350"/>
      <c r="AG106" s="350"/>
      <c r="AH106" s="350"/>
      <c r="AI106" s="350"/>
      <c r="AJ106" s="350"/>
      <c r="AK106" s="350"/>
      <c r="AL106" s="350"/>
      <c r="AM106" s="350"/>
      <c r="AN106" s="350"/>
      <c r="AO106" s="350"/>
      <c r="AP106" s="350"/>
      <c r="AQ106" s="350"/>
      <c r="AR106" s="350"/>
      <c r="AS106" s="350"/>
      <c r="AT106" s="350"/>
      <c r="AU106" s="350"/>
      <c r="AV106" s="350"/>
      <c r="AW106" s="350"/>
      <c r="AX106" s="350"/>
      <c r="AY106" s="350"/>
      <c r="AZ106" s="350"/>
      <c r="BA106" s="350"/>
      <c r="BB106" s="350"/>
      <c r="BC106" s="350"/>
      <c r="BD106" s="350"/>
      <c r="BE106" s="350"/>
      <c r="BF106" s="350"/>
      <c r="BG106" s="350"/>
      <c r="BH106" s="350"/>
      <c r="BI106" s="350"/>
    </row>
    <row r="107" customFormat="false" ht="12.75" hidden="false" customHeight="false" outlineLevel="0" collapsed="false">
      <c r="A107" s="350"/>
      <c r="B107" s="350"/>
      <c r="C107" s="350"/>
      <c r="D107" s="350"/>
      <c r="E107" s="350"/>
      <c r="F107" s="350"/>
      <c r="G107" s="350"/>
      <c r="H107" s="350"/>
      <c r="I107" s="350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X107" s="350"/>
      <c r="Y107" s="350"/>
      <c r="Z107" s="350"/>
      <c r="AA107" s="350"/>
      <c r="AB107" s="350"/>
      <c r="AC107" s="350"/>
      <c r="AD107" s="350"/>
      <c r="AE107" s="350"/>
      <c r="AF107" s="350"/>
      <c r="AG107" s="350"/>
      <c r="AH107" s="350"/>
      <c r="AI107" s="350"/>
      <c r="AJ107" s="350"/>
      <c r="AK107" s="350"/>
      <c r="AL107" s="350"/>
      <c r="AM107" s="350"/>
      <c r="AN107" s="350"/>
      <c r="AO107" s="350"/>
      <c r="AP107" s="350"/>
      <c r="AQ107" s="350"/>
      <c r="AR107" s="350"/>
      <c r="AS107" s="350"/>
      <c r="AT107" s="350"/>
      <c r="AU107" s="350"/>
      <c r="AV107" s="350"/>
      <c r="AW107" s="350"/>
      <c r="AX107" s="350"/>
      <c r="AY107" s="350"/>
      <c r="AZ107" s="350"/>
      <c r="BA107" s="350"/>
      <c r="BB107" s="350"/>
      <c r="BC107" s="350"/>
      <c r="BD107" s="350"/>
      <c r="BE107" s="350"/>
      <c r="BF107" s="350"/>
      <c r="BG107" s="350"/>
      <c r="BH107" s="350"/>
      <c r="BI107" s="350"/>
    </row>
    <row r="108" customFormat="false" ht="12.75" hidden="false" customHeight="false" outlineLevel="0" collapsed="false">
      <c r="A108" s="350"/>
      <c r="B108" s="350"/>
      <c r="C108" s="350"/>
      <c r="D108" s="350"/>
      <c r="E108" s="350"/>
      <c r="F108" s="350"/>
      <c r="G108" s="350"/>
      <c r="H108" s="350"/>
      <c r="I108" s="350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</row>
    <row r="109" customFormat="false" ht="12.75" hidden="false" customHeight="false" outlineLevel="0" collapsed="false">
      <c r="A109" s="350"/>
      <c r="B109" s="350"/>
      <c r="C109" s="350"/>
      <c r="D109" s="350"/>
      <c r="E109" s="350"/>
      <c r="F109" s="350"/>
      <c r="G109" s="350"/>
      <c r="H109" s="350"/>
      <c r="I109" s="350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</row>
    <row r="110" customFormat="false" ht="12.75" hidden="false" customHeight="false" outlineLevel="0" collapsed="false">
      <c r="A110" s="350"/>
      <c r="B110" s="350"/>
      <c r="C110" s="350"/>
      <c r="D110" s="350"/>
      <c r="E110" s="350"/>
      <c r="F110" s="350"/>
      <c r="G110" s="350"/>
      <c r="H110" s="350"/>
      <c r="I110" s="350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</row>
    <row r="111" customFormat="false" ht="12.75" hidden="false" customHeight="false" outlineLevel="0" collapsed="false">
      <c r="A111" s="350"/>
      <c r="B111" s="350"/>
      <c r="C111" s="350"/>
      <c r="D111" s="350"/>
      <c r="E111" s="350"/>
      <c r="F111" s="350"/>
      <c r="G111" s="350"/>
      <c r="H111" s="350"/>
      <c r="I111" s="350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X111" s="350"/>
      <c r="Y111" s="350"/>
      <c r="Z111" s="350"/>
      <c r="AA111" s="350"/>
      <c r="AB111" s="350"/>
      <c r="AC111" s="350"/>
      <c r="AD111" s="350"/>
      <c r="AE111" s="350"/>
      <c r="AF111" s="350"/>
      <c r="AG111" s="350"/>
      <c r="AH111" s="350"/>
      <c r="AI111" s="350"/>
      <c r="AJ111" s="350"/>
      <c r="AK111" s="350"/>
      <c r="AL111" s="350"/>
      <c r="AM111" s="350"/>
      <c r="AN111" s="350"/>
      <c r="AO111" s="350"/>
      <c r="AP111" s="350"/>
      <c r="AQ111" s="350"/>
      <c r="AR111" s="350"/>
      <c r="AS111" s="350"/>
      <c r="AT111" s="350"/>
      <c r="AU111" s="350"/>
      <c r="AV111" s="350"/>
      <c r="AW111" s="350"/>
      <c r="AX111" s="350"/>
      <c r="AY111" s="350"/>
      <c r="AZ111" s="350"/>
      <c r="BA111" s="350"/>
      <c r="BB111" s="350"/>
      <c r="BC111" s="350"/>
      <c r="BD111" s="350"/>
      <c r="BE111" s="350"/>
      <c r="BF111" s="350"/>
      <c r="BG111" s="350"/>
      <c r="BH111" s="350"/>
      <c r="BI111" s="350"/>
    </row>
    <row r="112" customFormat="false" ht="12.75" hidden="false" customHeight="false" outlineLevel="0" collapsed="false">
      <c r="A112" s="350"/>
      <c r="B112" s="350"/>
      <c r="C112" s="350"/>
      <c r="D112" s="350"/>
      <c r="E112" s="350"/>
      <c r="F112" s="350"/>
      <c r="G112" s="350"/>
      <c r="H112" s="350"/>
      <c r="I112" s="350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X112" s="350"/>
      <c r="Y112" s="350"/>
      <c r="Z112" s="350"/>
      <c r="AA112" s="350"/>
      <c r="AB112" s="350"/>
      <c r="AC112" s="350"/>
      <c r="AD112" s="350"/>
      <c r="AE112" s="350"/>
      <c r="AF112" s="350"/>
      <c r="AG112" s="350"/>
      <c r="AH112" s="350"/>
      <c r="AI112" s="350"/>
      <c r="AJ112" s="350"/>
      <c r="AK112" s="350"/>
      <c r="AL112" s="350"/>
      <c r="AM112" s="350"/>
      <c r="AN112" s="350"/>
      <c r="AO112" s="350"/>
      <c r="AP112" s="350"/>
      <c r="AQ112" s="350"/>
      <c r="AR112" s="350"/>
      <c r="AS112" s="350"/>
      <c r="AT112" s="350"/>
      <c r="AU112" s="350"/>
      <c r="AV112" s="350"/>
      <c r="AW112" s="350"/>
      <c r="AX112" s="350"/>
      <c r="AY112" s="350"/>
      <c r="AZ112" s="350"/>
      <c r="BA112" s="350"/>
      <c r="BB112" s="350"/>
      <c r="BC112" s="350"/>
      <c r="BD112" s="350"/>
      <c r="BE112" s="350"/>
      <c r="BF112" s="350"/>
      <c r="BG112" s="350"/>
      <c r="BH112" s="350"/>
      <c r="BI112" s="350"/>
    </row>
    <row r="113" customFormat="false" ht="12.75" hidden="false" customHeight="false" outlineLevel="0" collapsed="false">
      <c r="A113" s="350"/>
      <c r="B113" s="350"/>
      <c r="C113" s="350"/>
      <c r="D113" s="350"/>
      <c r="E113" s="35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</row>
    <row r="114" customFormat="false" ht="12.75" hidden="false" customHeight="false" outlineLevel="0" collapsed="false">
      <c r="A114" s="350"/>
      <c r="B114" s="350"/>
      <c r="C114" s="350"/>
      <c r="D114" s="350"/>
      <c r="E114" s="350"/>
      <c r="F114" s="350"/>
      <c r="G114" s="350"/>
      <c r="H114" s="350"/>
      <c r="I114" s="350"/>
      <c r="J114" s="350"/>
      <c r="K114" s="350"/>
      <c r="L114" s="350"/>
      <c r="M114" s="350"/>
      <c r="N114" s="350"/>
      <c r="O114" s="350"/>
      <c r="P114" s="350"/>
      <c r="Q114" s="350"/>
      <c r="R114" s="350"/>
      <c r="S114" s="350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</row>
    <row r="115" customFormat="false" ht="12.75" hidden="false" customHeight="false" outlineLevel="0" collapsed="false">
      <c r="A115" s="350"/>
      <c r="B115" s="350"/>
      <c r="C115" s="350"/>
      <c r="D115" s="350"/>
      <c r="E115" s="350"/>
      <c r="F115" s="350"/>
      <c r="G115" s="350"/>
      <c r="H115" s="350"/>
      <c r="I115" s="350"/>
      <c r="J115" s="350"/>
      <c r="K115" s="350"/>
      <c r="L115" s="350"/>
      <c r="M115" s="350"/>
      <c r="N115" s="350"/>
      <c r="O115" s="350"/>
      <c r="P115" s="350"/>
      <c r="Q115" s="350"/>
      <c r="R115" s="350"/>
      <c r="S115" s="350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</row>
    <row r="116" customFormat="false" ht="12.75" hidden="false" customHeight="false" outlineLevel="0" collapsed="false">
      <c r="A116" s="350"/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50"/>
      <c r="O116" s="350"/>
      <c r="P116" s="350"/>
      <c r="Q116" s="350"/>
      <c r="R116" s="350"/>
      <c r="S116" s="350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</row>
    <row r="117" customFormat="false" ht="12.75" hidden="false" customHeight="false" outlineLevel="0" collapsed="false">
      <c r="A117" s="350"/>
      <c r="B117" s="350"/>
      <c r="C117" s="350"/>
      <c r="D117" s="350"/>
      <c r="E117" s="350"/>
      <c r="F117" s="350"/>
      <c r="G117" s="350"/>
      <c r="H117" s="350"/>
      <c r="I117" s="350"/>
      <c r="J117" s="350"/>
      <c r="K117" s="350"/>
      <c r="L117" s="350"/>
      <c r="M117" s="350"/>
      <c r="N117" s="350"/>
      <c r="O117" s="350"/>
      <c r="P117" s="350"/>
      <c r="Q117" s="350"/>
      <c r="R117" s="350"/>
      <c r="S117" s="350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</row>
    <row r="118" customFormat="false" ht="12.75" hidden="false" customHeight="false" outlineLevel="0" collapsed="false">
      <c r="A118" s="350"/>
      <c r="B118" s="350"/>
      <c r="C118" s="350"/>
      <c r="D118" s="350"/>
      <c r="E118" s="350"/>
      <c r="F118" s="350"/>
      <c r="G118" s="350"/>
      <c r="H118" s="350"/>
      <c r="I118" s="350"/>
      <c r="J118" s="350"/>
      <c r="K118" s="350"/>
      <c r="L118" s="350"/>
      <c r="M118" s="350"/>
      <c r="N118" s="350"/>
      <c r="O118" s="350"/>
      <c r="P118" s="350"/>
      <c r="Q118" s="350"/>
      <c r="R118" s="350"/>
      <c r="S118" s="350"/>
      <c r="T118" s="350"/>
      <c r="U118" s="350"/>
      <c r="V118" s="350"/>
      <c r="W118" s="350"/>
      <c r="X118" s="350"/>
      <c r="Y118" s="350"/>
      <c r="Z118" s="350"/>
      <c r="AA118" s="350"/>
      <c r="AB118" s="350"/>
      <c r="AC118" s="350"/>
      <c r="AD118" s="350"/>
      <c r="AE118" s="350"/>
      <c r="AF118" s="350"/>
      <c r="AG118" s="350"/>
      <c r="AH118" s="350"/>
      <c r="AI118" s="350"/>
      <c r="AJ118" s="350"/>
      <c r="AK118" s="350"/>
      <c r="AL118" s="350"/>
      <c r="AM118" s="350"/>
      <c r="AN118" s="350"/>
      <c r="AO118" s="350"/>
      <c r="AP118" s="350"/>
      <c r="AQ118" s="350"/>
      <c r="AR118" s="350"/>
      <c r="AS118" s="350"/>
      <c r="AT118" s="350"/>
      <c r="AU118" s="350"/>
      <c r="AV118" s="350"/>
      <c r="AW118" s="350"/>
      <c r="AX118" s="350"/>
      <c r="AY118" s="350"/>
      <c r="AZ118" s="350"/>
      <c r="BA118" s="350"/>
      <c r="BB118" s="350"/>
      <c r="BC118" s="350"/>
      <c r="BD118" s="350"/>
      <c r="BE118" s="350"/>
      <c r="BF118" s="350"/>
      <c r="BG118" s="350"/>
      <c r="BH118" s="350"/>
      <c r="BI118" s="350"/>
    </row>
    <row r="119" customFormat="false" ht="12.75" hidden="false" customHeight="false" outlineLevel="0" collapsed="false">
      <c r="A119" s="350"/>
      <c r="B119" s="350"/>
      <c r="C119" s="350"/>
      <c r="D119" s="350"/>
      <c r="E119" s="350"/>
      <c r="F119" s="350"/>
      <c r="G119" s="350"/>
      <c r="H119" s="350"/>
      <c r="I119" s="350"/>
      <c r="J119" s="350"/>
      <c r="K119" s="350"/>
      <c r="L119" s="350"/>
      <c r="M119" s="350"/>
      <c r="N119" s="350"/>
      <c r="O119" s="350"/>
      <c r="P119" s="350"/>
      <c r="Q119" s="350"/>
      <c r="R119" s="350"/>
      <c r="S119" s="350"/>
      <c r="T119" s="350"/>
      <c r="U119" s="350"/>
      <c r="V119" s="350"/>
      <c r="W119" s="350"/>
      <c r="X119" s="350"/>
      <c r="Y119" s="350"/>
      <c r="Z119" s="350"/>
      <c r="AA119" s="350"/>
      <c r="AB119" s="350"/>
      <c r="AC119" s="350"/>
      <c r="AD119" s="350"/>
      <c r="AE119" s="350"/>
      <c r="AF119" s="350"/>
      <c r="AG119" s="350"/>
      <c r="AH119" s="350"/>
      <c r="AI119" s="350"/>
      <c r="AJ119" s="350"/>
      <c r="AK119" s="350"/>
      <c r="AL119" s="350"/>
      <c r="AM119" s="350"/>
      <c r="AN119" s="350"/>
      <c r="AO119" s="350"/>
      <c r="AP119" s="350"/>
      <c r="AQ119" s="350"/>
      <c r="AR119" s="350"/>
      <c r="AS119" s="350"/>
      <c r="AT119" s="350"/>
      <c r="AU119" s="350"/>
      <c r="AV119" s="350"/>
      <c r="AW119" s="350"/>
      <c r="AX119" s="350"/>
      <c r="AY119" s="350"/>
      <c r="AZ119" s="350"/>
      <c r="BA119" s="350"/>
      <c r="BB119" s="350"/>
      <c r="BC119" s="350"/>
      <c r="BD119" s="350"/>
      <c r="BE119" s="350"/>
      <c r="BF119" s="350"/>
      <c r="BG119" s="350"/>
      <c r="BH119" s="350"/>
      <c r="BI119" s="350"/>
    </row>
    <row r="120" customFormat="false" ht="12.75" hidden="false" customHeight="false" outlineLevel="0" collapsed="false">
      <c r="A120" s="350"/>
      <c r="B120" s="350"/>
      <c r="C120" s="350"/>
      <c r="D120" s="350"/>
      <c r="E120" s="350"/>
      <c r="F120" s="350"/>
      <c r="G120" s="350"/>
      <c r="H120" s="350"/>
      <c r="I120" s="350"/>
      <c r="J120" s="350"/>
      <c r="K120" s="350"/>
      <c r="L120" s="350"/>
      <c r="M120" s="350"/>
      <c r="N120" s="350"/>
      <c r="O120" s="350"/>
      <c r="P120" s="350"/>
      <c r="Q120" s="350"/>
      <c r="R120" s="350"/>
      <c r="S120" s="350"/>
      <c r="T120" s="350"/>
      <c r="U120" s="350"/>
      <c r="V120" s="350"/>
      <c r="W120" s="350"/>
      <c r="X120" s="350"/>
      <c r="Y120" s="350"/>
      <c r="Z120" s="350"/>
      <c r="AA120" s="350"/>
      <c r="AB120" s="350"/>
      <c r="AC120" s="350"/>
      <c r="AD120" s="350"/>
      <c r="AE120" s="350"/>
      <c r="AF120" s="350"/>
      <c r="AG120" s="350"/>
      <c r="AH120" s="350"/>
      <c r="AI120" s="350"/>
      <c r="AJ120" s="350"/>
      <c r="AK120" s="350"/>
      <c r="AL120" s="350"/>
      <c r="AM120" s="350"/>
      <c r="AN120" s="350"/>
      <c r="AO120" s="350"/>
      <c r="AP120" s="350"/>
      <c r="AQ120" s="350"/>
      <c r="AR120" s="350"/>
      <c r="AS120" s="350"/>
      <c r="AT120" s="350"/>
      <c r="AU120" s="350"/>
      <c r="AV120" s="350"/>
      <c r="AW120" s="350"/>
      <c r="AX120" s="350"/>
      <c r="AY120" s="350"/>
      <c r="AZ120" s="350"/>
      <c r="BA120" s="350"/>
      <c r="BB120" s="350"/>
      <c r="BC120" s="350"/>
      <c r="BD120" s="350"/>
      <c r="BE120" s="350"/>
      <c r="BF120" s="350"/>
      <c r="BG120" s="350"/>
      <c r="BH120" s="350"/>
      <c r="BI120" s="350"/>
    </row>
    <row r="121" customFormat="false" ht="12.75" hidden="false" customHeight="false" outlineLevel="0" collapsed="false">
      <c r="A121" s="350"/>
      <c r="B121" s="350"/>
      <c r="C121" s="350"/>
      <c r="D121" s="350"/>
      <c r="E121" s="350"/>
      <c r="F121" s="350"/>
      <c r="G121" s="350"/>
      <c r="H121" s="350"/>
      <c r="I121" s="350"/>
      <c r="J121" s="350"/>
      <c r="K121" s="350"/>
      <c r="L121" s="350"/>
      <c r="M121" s="350"/>
      <c r="N121" s="350"/>
      <c r="O121" s="350"/>
      <c r="P121" s="350"/>
      <c r="Q121" s="350"/>
      <c r="R121" s="350"/>
      <c r="S121" s="350"/>
      <c r="T121" s="350"/>
      <c r="U121" s="350"/>
      <c r="V121" s="350"/>
      <c r="W121" s="350"/>
      <c r="X121" s="350"/>
      <c r="Y121" s="350"/>
      <c r="Z121" s="350"/>
      <c r="AA121" s="350"/>
      <c r="AB121" s="350"/>
      <c r="AC121" s="350"/>
      <c r="AD121" s="350"/>
      <c r="AE121" s="350"/>
      <c r="AF121" s="350"/>
      <c r="AG121" s="350"/>
      <c r="AH121" s="350"/>
      <c r="AI121" s="350"/>
      <c r="AJ121" s="350"/>
      <c r="AK121" s="350"/>
      <c r="AL121" s="350"/>
      <c r="AM121" s="350"/>
      <c r="AN121" s="350"/>
      <c r="AO121" s="350"/>
      <c r="AP121" s="350"/>
      <c r="AQ121" s="350"/>
      <c r="AR121" s="350"/>
      <c r="AS121" s="350"/>
      <c r="AT121" s="350"/>
      <c r="AU121" s="350"/>
      <c r="AV121" s="350"/>
      <c r="AW121" s="350"/>
      <c r="AX121" s="350"/>
      <c r="AY121" s="350"/>
      <c r="AZ121" s="350"/>
      <c r="BA121" s="350"/>
      <c r="BB121" s="350"/>
      <c r="BC121" s="350"/>
      <c r="BD121" s="350"/>
      <c r="BE121" s="350"/>
      <c r="BF121" s="350"/>
      <c r="BG121" s="350"/>
      <c r="BH121" s="350"/>
      <c r="BI121" s="350"/>
    </row>
    <row r="122" customFormat="false" ht="12.75" hidden="false" customHeight="false" outlineLevel="0" collapsed="false">
      <c r="A122" s="350"/>
      <c r="B122" s="350"/>
      <c r="C122" s="350"/>
      <c r="D122" s="350"/>
      <c r="E122" s="350"/>
      <c r="F122" s="350"/>
      <c r="G122" s="350"/>
      <c r="H122" s="350"/>
      <c r="I122" s="350"/>
      <c r="J122" s="350"/>
      <c r="K122" s="350"/>
      <c r="L122" s="350"/>
      <c r="M122" s="350"/>
      <c r="N122" s="350"/>
      <c r="O122" s="350"/>
      <c r="P122" s="350"/>
      <c r="Q122" s="350"/>
      <c r="R122" s="350"/>
      <c r="S122" s="350"/>
      <c r="T122" s="350"/>
      <c r="U122" s="350"/>
      <c r="V122" s="350"/>
      <c r="W122" s="350"/>
      <c r="X122" s="350"/>
      <c r="Y122" s="350"/>
      <c r="Z122" s="350"/>
      <c r="AA122" s="350"/>
      <c r="AB122" s="350"/>
      <c r="AC122" s="350"/>
      <c r="AD122" s="350"/>
      <c r="AE122" s="350"/>
      <c r="AF122" s="350"/>
      <c r="AG122" s="350"/>
      <c r="AH122" s="350"/>
      <c r="AI122" s="350"/>
      <c r="AJ122" s="350"/>
      <c r="AK122" s="350"/>
      <c r="AL122" s="350"/>
      <c r="AM122" s="350"/>
      <c r="AN122" s="350"/>
      <c r="AO122" s="350"/>
      <c r="AP122" s="350"/>
      <c r="AQ122" s="350"/>
      <c r="AR122" s="350"/>
      <c r="AS122" s="350"/>
      <c r="AT122" s="350"/>
      <c r="AU122" s="350"/>
      <c r="AV122" s="350"/>
      <c r="AW122" s="350"/>
      <c r="AX122" s="350"/>
      <c r="AY122" s="350"/>
      <c r="AZ122" s="350"/>
      <c r="BA122" s="350"/>
      <c r="BB122" s="350"/>
      <c r="BC122" s="350"/>
      <c r="BD122" s="350"/>
      <c r="BE122" s="350"/>
      <c r="BF122" s="350"/>
      <c r="BG122" s="350"/>
      <c r="BH122" s="350"/>
      <c r="BI122" s="350"/>
    </row>
    <row r="123" customFormat="false" ht="12.75" hidden="false" customHeight="false" outlineLevel="0" collapsed="false">
      <c r="A123" s="350"/>
      <c r="B123" s="350"/>
      <c r="C123" s="350"/>
      <c r="D123" s="350"/>
      <c r="E123" s="350"/>
      <c r="F123" s="350"/>
      <c r="G123" s="350"/>
      <c r="H123" s="350"/>
      <c r="I123" s="350"/>
      <c r="J123" s="350"/>
      <c r="K123" s="350"/>
      <c r="L123" s="350"/>
      <c r="M123" s="350"/>
      <c r="N123" s="350"/>
      <c r="O123" s="350"/>
      <c r="P123" s="350"/>
      <c r="Q123" s="350"/>
      <c r="R123" s="350"/>
      <c r="S123" s="350"/>
      <c r="T123" s="350"/>
      <c r="U123" s="350"/>
      <c r="V123" s="350"/>
      <c r="W123" s="350"/>
      <c r="X123" s="350"/>
      <c r="Y123" s="350"/>
      <c r="Z123" s="350"/>
      <c r="AA123" s="350"/>
      <c r="AB123" s="350"/>
      <c r="AC123" s="350"/>
      <c r="AD123" s="350"/>
      <c r="AE123" s="350"/>
      <c r="AF123" s="350"/>
      <c r="AG123" s="350"/>
      <c r="AH123" s="350"/>
      <c r="AI123" s="350"/>
      <c r="AJ123" s="350"/>
      <c r="AK123" s="350"/>
      <c r="AL123" s="350"/>
      <c r="AM123" s="350"/>
      <c r="AN123" s="350"/>
      <c r="AO123" s="350"/>
      <c r="AP123" s="350"/>
      <c r="AQ123" s="350"/>
      <c r="AR123" s="350"/>
      <c r="AS123" s="350"/>
      <c r="AT123" s="350"/>
      <c r="AU123" s="350"/>
      <c r="AV123" s="350"/>
      <c r="AW123" s="350"/>
      <c r="AX123" s="350"/>
      <c r="AY123" s="350"/>
      <c r="AZ123" s="350"/>
      <c r="BA123" s="350"/>
      <c r="BB123" s="350"/>
      <c r="BC123" s="350"/>
      <c r="BD123" s="350"/>
      <c r="BE123" s="350"/>
      <c r="BF123" s="350"/>
      <c r="BG123" s="350"/>
      <c r="BH123" s="350"/>
      <c r="BI123" s="350"/>
    </row>
    <row r="124" customFormat="false" ht="12.75" hidden="false" customHeight="false" outlineLevel="0" collapsed="false">
      <c r="A124" s="350"/>
      <c r="B124" s="350"/>
      <c r="C124" s="350"/>
      <c r="D124" s="350"/>
      <c r="E124" s="350"/>
      <c r="F124" s="350"/>
      <c r="G124" s="350"/>
      <c r="H124" s="350"/>
      <c r="I124" s="350"/>
      <c r="J124" s="350"/>
      <c r="K124" s="350"/>
      <c r="L124" s="350"/>
      <c r="M124" s="350"/>
      <c r="N124" s="350"/>
      <c r="O124" s="350"/>
      <c r="P124" s="350"/>
      <c r="Q124" s="350"/>
      <c r="R124" s="350"/>
      <c r="S124" s="350"/>
      <c r="T124" s="350"/>
      <c r="U124" s="350"/>
      <c r="V124" s="350"/>
      <c r="W124" s="350"/>
      <c r="X124" s="350"/>
      <c r="Y124" s="350"/>
      <c r="Z124" s="350"/>
      <c r="AA124" s="350"/>
      <c r="AB124" s="350"/>
      <c r="AC124" s="350"/>
      <c r="AD124" s="350"/>
      <c r="AE124" s="350"/>
      <c r="AF124" s="350"/>
      <c r="AG124" s="350"/>
      <c r="AH124" s="350"/>
      <c r="AI124" s="350"/>
      <c r="AJ124" s="350"/>
      <c r="AK124" s="350"/>
      <c r="AL124" s="350"/>
      <c r="AM124" s="350"/>
      <c r="AN124" s="350"/>
      <c r="AO124" s="350"/>
      <c r="AP124" s="350"/>
      <c r="AQ124" s="350"/>
      <c r="AR124" s="350"/>
      <c r="AS124" s="350"/>
      <c r="AT124" s="350"/>
      <c r="AU124" s="350"/>
      <c r="AV124" s="350"/>
      <c r="AW124" s="350"/>
      <c r="AX124" s="350"/>
      <c r="AY124" s="350"/>
      <c r="AZ124" s="350"/>
      <c r="BA124" s="350"/>
      <c r="BB124" s="350"/>
      <c r="BC124" s="350"/>
      <c r="BD124" s="350"/>
      <c r="BE124" s="350"/>
      <c r="BF124" s="350"/>
      <c r="BG124" s="350"/>
      <c r="BH124" s="350"/>
      <c r="BI124" s="350"/>
    </row>
    <row r="125" customFormat="false" ht="12.75" hidden="false" customHeight="false" outlineLevel="0" collapsed="false">
      <c r="A125" s="350"/>
      <c r="B125" s="350"/>
      <c r="C125" s="350"/>
      <c r="D125" s="350"/>
      <c r="E125" s="350"/>
      <c r="F125" s="350"/>
      <c r="G125" s="350"/>
      <c r="H125" s="350"/>
      <c r="I125" s="350"/>
      <c r="J125" s="350"/>
      <c r="K125" s="350"/>
      <c r="L125" s="350"/>
      <c r="M125" s="350"/>
      <c r="N125" s="350"/>
      <c r="O125" s="350"/>
      <c r="P125" s="350"/>
      <c r="Q125" s="350"/>
      <c r="R125" s="350"/>
      <c r="S125" s="350"/>
      <c r="T125" s="350"/>
      <c r="U125" s="350"/>
      <c r="V125" s="350"/>
      <c r="W125" s="350"/>
      <c r="X125" s="350"/>
      <c r="Y125" s="350"/>
      <c r="Z125" s="350"/>
      <c r="AA125" s="350"/>
      <c r="AB125" s="350"/>
      <c r="AC125" s="350"/>
      <c r="AD125" s="350"/>
      <c r="AE125" s="350"/>
      <c r="AF125" s="350"/>
      <c r="AG125" s="350"/>
      <c r="AH125" s="350"/>
      <c r="AI125" s="350"/>
      <c r="AJ125" s="350"/>
      <c r="AK125" s="350"/>
      <c r="AL125" s="350"/>
      <c r="AM125" s="350"/>
      <c r="AN125" s="350"/>
      <c r="AO125" s="350"/>
      <c r="AP125" s="350"/>
      <c r="AQ125" s="350"/>
      <c r="AR125" s="350"/>
      <c r="AS125" s="350"/>
      <c r="AT125" s="350"/>
      <c r="AU125" s="350"/>
      <c r="AV125" s="350"/>
      <c r="AW125" s="350"/>
      <c r="AX125" s="350"/>
      <c r="AY125" s="350"/>
      <c r="AZ125" s="350"/>
      <c r="BA125" s="350"/>
      <c r="BB125" s="350"/>
      <c r="BC125" s="350"/>
      <c r="BD125" s="350"/>
      <c r="BE125" s="350"/>
      <c r="BF125" s="350"/>
      <c r="BG125" s="350"/>
      <c r="BH125" s="350"/>
      <c r="BI125" s="350"/>
    </row>
    <row r="126" customFormat="false" ht="12.75" hidden="false" customHeight="false" outlineLevel="0" collapsed="false">
      <c r="A126" s="350"/>
      <c r="B126" s="350"/>
      <c r="C126" s="350"/>
      <c r="D126" s="350"/>
      <c r="E126" s="350"/>
      <c r="F126" s="350"/>
      <c r="G126" s="350"/>
      <c r="H126" s="350"/>
      <c r="I126" s="350"/>
      <c r="J126" s="350"/>
      <c r="K126" s="350"/>
      <c r="L126" s="350"/>
      <c r="M126" s="350"/>
      <c r="N126" s="350"/>
      <c r="O126" s="350"/>
      <c r="P126" s="350"/>
      <c r="Q126" s="350"/>
      <c r="R126" s="350"/>
      <c r="S126" s="350"/>
      <c r="T126" s="350"/>
      <c r="U126" s="350"/>
      <c r="V126" s="350"/>
      <c r="W126" s="350"/>
      <c r="X126" s="350"/>
      <c r="Y126" s="350"/>
      <c r="Z126" s="350"/>
      <c r="AA126" s="350"/>
      <c r="AB126" s="350"/>
      <c r="AC126" s="350"/>
      <c r="AD126" s="350"/>
      <c r="AE126" s="350"/>
      <c r="AF126" s="350"/>
      <c r="AG126" s="350"/>
      <c r="AH126" s="350"/>
      <c r="AI126" s="350"/>
      <c r="AJ126" s="350"/>
      <c r="AK126" s="350"/>
      <c r="AL126" s="350"/>
      <c r="AM126" s="350"/>
      <c r="AN126" s="350"/>
      <c r="AO126" s="350"/>
      <c r="AP126" s="350"/>
      <c r="AQ126" s="350"/>
      <c r="AR126" s="350"/>
      <c r="AS126" s="350"/>
      <c r="AT126" s="350"/>
      <c r="AU126" s="350"/>
      <c r="AV126" s="350"/>
      <c r="AW126" s="350"/>
      <c r="AX126" s="350"/>
      <c r="AY126" s="350"/>
      <c r="AZ126" s="350"/>
      <c r="BA126" s="350"/>
      <c r="BB126" s="350"/>
      <c r="BC126" s="350"/>
      <c r="BD126" s="350"/>
      <c r="BE126" s="350"/>
      <c r="BF126" s="350"/>
      <c r="BG126" s="350"/>
      <c r="BH126" s="350"/>
      <c r="BI126" s="350"/>
    </row>
    <row r="127" customFormat="false" ht="12.75" hidden="false" customHeight="false" outlineLevel="0" collapsed="false">
      <c r="A127" s="350"/>
      <c r="B127" s="350"/>
      <c r="C127" s="350"/>
      <c r="D127" s="350"/>
      <c r="E127" s="350"/>
      <c r="F127" s="350"/>
      <c r="G127" s="350"/>
      <c r="H127" s="350"/>
      <c r="I127" s="350"/>
      <c r="J127" s="350"/>
      <c r="K127" s="350"/>
      <c r="L127" s="350"/>
      <c r="M127" s="350"/>
      <c r="N127" s="350"/>
      <c r="O127" s="350"/>
      <c r="P127" s="350"/>
      <c r="Q127" s="350"/>
      <c r="R127" s="350"/>
      <c r="S127" s="350"/>
      <c r="T127" s="350"/>
      <c r="U127" s="350"/>
      <c r="V127" s="350"/>
      <c r="W127" s="350"/>
      <c r="X127" s="350"/>
      <c r="Y127" s="350"/>
      <c r="Z127" s="350"/>
      <c r="AA127" s="350"/>
      <c r="AB127" s="350"/>
      <c r="AC127" s="350"/>
      <c r="AD127" s="350"/>
      <c r="AE127" s="350"/>
      <c r="AF127" s="350"/>
      <c r="AG127" s="350"/>
      <c r="AH127" s="350"/>
      <c r="AI127" s="350"/>
      <c r="AJ127" s="350"/>
      <c r="AK127" s="350"/>
      <c r="AL127" s="350"/>
      <c r="AM127" s="350"/>
      <c r="AN127" s="350"/>
      <c r="AO127" s="350"/>
      <c r="AP127" s="350"/>
      <c r="AQ127" s="350"/>
      <c r="AR127" s="350"/>
      <c r="AS127" s="350"/>
      <c r="AT127" s="350"/>
      <c r="AU127" s="350"/>
      <c r="AV127" s="350"/>
      <c r="AW127" s="350"/>
      <c r="AX127" s="350"/>
      <c r="AY127" s="350"/>
      <c r="AZ127" s="350"/>
      <c r="BA127" s="350"/>
      <c r="BB127" s="350"/>
      <c r="BC127" s="350"/>
      <c r="BD127" s="350"/>
      <c r="BE127" s="350"/>
      <c r="BF127" s="350"/>
      <c r="BG127" s="350"/>
      <c r="BH127" s="350"/>
      <c r="BI127" s="350"/>
    </row>
    <row r="128" customFormat="false" ht="12.75" hidden="false" customHeight="false" outlineLevel="0" collapsed="false">
      <c r="A128" s="350"/>
      <c r="B128" s="350"/>
      <c r="C128" s="350"/>
      <c r="D128" s="350"/>
      <c r="E128" s="350"/>
      <c r="F128" s="350"/>
      <c r="G128" s="350"/>
      <c r="H128" s="350"/>
      <c r="I128" s="350"/>
      <c r="J128" s="350"/>
      <c r="K128" s="350"/>
      <c r="L128" s="350"/>
      <c r="M128" s="350"/>
      <c r="N128" s="350"/>
      <c r="O128" s="350"/>
      <c r="P128" s="350"/>
      <c r="Q128" s="350"/>
      <c r="R128" s="350"/>
      <c r="S128" s="350"/>
      <c r="T128" s="350"/>
      <c r="U128" s="350"/>
      <c r="V128" s="350"/>
      <c r="W128" s="350"/>
      <c r="X128" s="350"/>
      <c r="Y128" s="350"/>
      <c r="Z128" s="350"/>
      <c r="AA128" s="350"/>
      <c r="AB128" s="350"/>
      <c r="AC128" s="350"/>
      <c r="AD128" s="350"/>
      <c r="AE128" s="350"/>
      <c r="AF128" s="350"/>
      <c r="AG128" s="350"/>
      <c r="AH128" s="350"/>
      <c r="AI128" s="350"/>
      <c r="AJ128" s="350"/>
      <c r="AK128" s="350"/>
      <c r="AL128" s="350"/>
      <c r="AM128" s="350"/>
      <c r="AN128" s="350"/>
      <c r="AO128" s="350"/>
      <c r="AP128" s="350"/>
      <c r="AQ128" s="350"/>
      <c r="AR128" s="350"/>
      <c r="AS128" s="350"/>
      <c r="AT128" s="350"/>
      <c r="AU128" s="350"/>
      <c r="AV128" s="350"/>
      <c r="AW128" s="350"/>
      <c r="AX128" s="350"/>
      <c r="AY128" s="350"/>
      <c r="AZ128" s="350"/>
      <c r="BA128" s="350"/>
      <c r="BB128" s="350"/>
      <c r="BC128" s="350"/>
      <c r="BD128" s="350"/>
      <c r="BE128" s="350"/>
      <c r="BF128" s="350"/>
      <c r="BG128" s="350"/>
      <c r="BH128" s="350"/>
      <c r="BI128" s="350"/>
    </row>
    <row r="129" customFormat="false" ht="12.75" hidden="false" customHeight="false" outlineLevel="0" collapsed="false">
      <c r="A129" s="350"/>
      <c r="B129" s="350"/>
      <c r="C129" s="350"/>
      <c r="D129" s="350"/>
      <c r="E129" s="350"/>
      <c r="F129" s="350"/>
      <c r="G129" s="350"/>
      <c r="H129" s="350"/>
      <c r="I129" s="350"/>
      <c r="J129" s="350"/>
      <c r="K129" s="350"/>
      <c r="L129" s="350"/>
      <c r="M129" s="350"/>
      <c r="N129" s="350"/>
      <c r="O129" s="350"/>
      <c r="P129" s="350"/>
      <c r="Q129" s="350"/>
      <c r="R129" s="350"/>
      <c r="S129" s="350"/>
      <c r="T129" s="350"/>
      <c r="U129" s="350"/>
      <c r="V129" s="350"/>
      <c r="W129" s="350"/>
      <c r="X129" s="350"/>
      <c r="Y129" s="350"/>
      <c r="Z129" s="350"/>
      <c r="AA129" s="350"/>
      <c r="AB129" s="350"/>
      <c r="AC129" s="350"/>
      <c r="AD129" s="350"/>
      <c r="AE129" s="350"/>
      <c r="AF129" s="350"/>
      <c r="AG129" s="350"/>
      <c r="AH129" s="350"/>
      <c r="AI129" s="350"/>
      <c r="AJ129" s="350"/>
      <c r="AK129" s="350"/>
      <c r="AL129" s="350"/>
      <c r="AM129" s="350"/>
      <c r="AN129" s="350"/>
      <c r="AO129" s="350"/>
      <c r="AP129" s="350"/>
      <c r="AQ129" s="350"/>
      <c r="AR129" s="350"/>
      <c r="AS129" s="350"/>
      <c r="AT129" s="350"/>
      <c r="AU129" s="350"/>
      <c r="AV129" s="350"/>
      <c r="AW129" s="350"/>
      <c r="AX129" s="350"/>
      <c r="AY129" s="350"/>
      <c r="AZ129" s="350"/>
      <c r="BA129" s="350"/>
      <c r="BB129" s="350"/>
      <c r="BC129" s="350"/>
      <c r="BD129" s="350"/>
      <c r="BE129" s="350"/>
      <c r="BF129" s="350"/>
      <c r="BG129" s="350"/>
      <c r="BH129" s="350"/>
      <c r="BI129" s="350"/>
    </row>
    <row r="130" customFormat="false" ht="12.75" hidden="false" customHeight="false" outlineLevel="0" collapsed="false">
      <c r="A130" s="350"/>
      <c r="B130" s="350"/>
      <c r="C130" s="350"/>
      <c r="D130" s="350"/>
      <c r="E130" s="350"/>
      <c r="F130" s="350"/>
      <c r="G130" s="350"/>
      <c r="H130" s="350"/>
      <c r="I130" s="350"/>
      <c r="J130" s="350"/>
      <c r="K130" s="350"/>
      <c r="L130" s="350"/>
      <c r="M130" s="350"/>
      <c r="N130" s="350"/>
      <c r="O130" s="350"/>
      <c r="P130" s="350"/>
      <c r="Q130" s="350"/>
      <c r="R130" s="350"/>
      <c r="S130" s="350"/>
      <c r="T130" s="350"/>
      <c r="U130" s="350"/>
      <c r="V130" s="350"/>
      <c r="W130" s="350"/>
      <c r="X130" s="350"/>
      <c r="Y130" s="350"/>
      <c r="Z130" s="350"/>
      <c r="AA130" s="350"/>
      <c r="AB130" s="350"/>
      <c r="AC130" s="350"/>
      <c r="AD130" s="350"/>
      <c r="AE130" s="350"/>
      <c r="AF130" s="350"/>
      <c r="AG130" s="350"/>
      <c r="AH130" s="350"/>
      <c r="AI130" s="350"/>
      <c r="AJ130" s="350"/>
      <c r="AK130" s="350"/>
      <c r="AL130" s="350"/>
      <c r="AM130" s="350"/>
      <c r="AN130" s="350"/>
      <c r="AO130" s="350"/>
      <c r="AP130" s="350"/>
      <c r="AQ130" s="350"/>
      <c r="AR130" s="350"/>
      <c r="AS130" s="350"/>
      <c r="AT130" s="350"/>
      <c r="AU130" s="350"/>
      <c r="AV130" s="350"/>
      <c r="AW130" s="350"/>
      <c r="AX130" s="350"/>
      <c r="AY130" s="350"/>
      <c r="AZ130" s="350"/>
      <c r="BA130" s="350"/>
      <c r="BB130" s="350"/>
      <c r="BC130" s="350"/>
      <c r="BD130" s="350"/>
      <c r="BE130" s="350"/>
      <c r="BF130" s="350"/>
      <c r="BG130" s="350"/>
      <c r="BH130" s="350"/>
      <c r="BI130" s="350"/>
    </row>
    <row r="131" customFormat="false" ht="12.75" hidden="false" customHeight="false" outlineLevel="0" collapsed="false">
      <c r="A131" s="350"/>
      <c r="B131" s="350"/>
      <c r="C131" s="350"/>
      <c r="D131" s="350"/>
      <c r="E131" s="350"/>
      <c r="F131" s="350"/>
      <c r="G131" s="350"/>
      <c r="H131" s="350"/>
      <c r="I131" s="350"/>
      <c r="J131" s="350"/>
      <c r="K131" s="350"/>
      <c r="L131" s="350"/>
      <c r="M131" s="350"/>
      <c r="N131" s="350"/>
      <c r="O131" s="350"/>
      <c r="P131" s="350"/>
      <c r="Q131" s="350"/>
      <c r="R131" s="350"/>
      <c r="S131" s="350"/>
      <c r="T131" s="350"/>
      <c r="U131" s="350"/>
      <c r="V131" s="350"/>
      <c r="W131" s="350"/>
      <c r="X131" s="350"/>
      <c r="Y131" s="350"/>
      <c r="Z131" s="350"/>
      <c r="AA131" s="350"/>
      <c r="AB131" s="350"/>
      <c r="AC131" s="350"/>
      <c r="AD131" s="350"/>
      <c r="AE131" s="350"/>
      <c r="AF131" s="350"/>
      <c r="AG131" s="350"/>
      <c r="AH131" s="350"/>
      <c r="AI131" s="350"/>
      <c r="AJ131" s="350"/>
      <c r="AK131" s="350"/>
      <c r="AL131" s="350"/>
      <c r="AM131" s="350"/>
      <c r="AN131" s="350"/>
      <c r="AO131" s="350"/>
      <c r="AP131" s="350"/>
      <c r="AQ131" s="350"/>
      <c r="AR131" s="350"/>
      <c r="AS131" s="350"/>
      <c r="AT131" s="350"/>
      <c r="AU131" s="350"/>
      <c r="AV131" s="350"/>
      <c r="AW131" s="350"/>
      <c r="AX131" s="350"/>
      <c r="AY131" s="350"/>
      <c r="AZ131" s="350"/>
      <c r="BA131" s="350"/>
      <c r="BB131" s="350"/>
      <c r="BC131" s="350"/>
      <c r="BD131" s="350"/>
      <c r="BE131" s="350"/>
      <c r="BF131" s="350"/>
      <c r="BG131" s="350"/>
      <c r="BH131" s="350"/>
      <c r="BI131" s="350"/>
    </row>
    <row r="132" customFormat="false" ht="12.75" hidden="false" customHeight="false" outlineLevel="0" collapsed="false">
      <c r="A132" s="350"/>
      <c r="B132" s="350"/>
      <c r="C132" s="350"/>
      <c r="D132" s="350"/>
      <c r="E132" s="350"/>
      <c r="F132" s="350"/>
      <c r="G132" s="350"/>
      <c r="H132" s="350"/>
      <c r="I132" s="350"/>
      <c r="J132" s="350"/>
      <c r="K132" s="350"/>
      <c r="L132" s="350"/>
      <c r="M132" s="350"/>
      <c r="N132" s="350"/>
      <c r="O132" s="350"/>
      <c r="P132" s="350"/>
      <c r="Q132" s="350"/>
      <c r="R132" s="350"/>
      <c r="S132" s="350"/>
      <c r="T132" s="350"/>
      <c r="U132" s="350"/>
      <c r="V132" s="350"/>
      <c r="W132" s="350"/>
      <c r="X132" s="350"/>
      <c r="Y132" s="350"/>
      <c r="Z132" s="350"/>
      <c r="AA132" s="350"/>
      <c r="AB132" s="350"/>
      <c r="AC132" s="350"/>
      <c r="AD132" s="350"/>
      <c r="AE132" s="350"/>
      <c r="AF132" s="350"/>
      <c r="AG132" s="350"/>
      <c r="AH132" s="350"/>
      <c r="AI132" s="350"/>
      <c r="AJ132" s="350"/>
      <c r="AK132" s="350"/>
      <c r="AL132" s="350"/>
      <c r="AM132" s="350"/>
      <c r="AN132" s="350"/>
      <c r="AO132" s="350"/>
      <c r="AP132" s="350"/>
      <c r="AQ132" s="350"/>
      <c r="AR132" s="350"/>
      <c r="AS132" s="350"/>
      <c r="AT132" s="350"/>
      <c r="AU132" s="350"/>
      <c r="AV132" s="350"/>
      <c r="AW132" s="350"/>
      <c r="AX132" s="350"/>
      <c r="AY132" s="350"/>
      <c r="AZ132" s="350"/>
      <c r="BA132" s="350"/>
      <c r="BB132" s="350"/>
      <c r="BC132" s="350"/>
      <c r="BD132" s="350"/>
      <c r="BE132" s="350"/>
      <c r="BF132" s="350"/>
      <c r="BG132" s="350"/>
      <c r="BH132" s="350"/>
      <c r="BI132" s="350"/>
    </row>
    <row r="133" customFormat="false" ht="12.75" hidden="false" customHeight="false" outlineLevel="0" collapsed="false">
      <c r="A133" s="350"/>
      <c r="B133" s="350"/>
      <c r="C133" s="350"/>
      <c r="D133" s="350"/>
      <c r="E133" s="350"/>
      <c r="F133" s="350"/>
      <c r="G133" s="350"/>
      <c r="H133" s="350"/>
      <c r="I133" s="350"/>
      <c r="J133" s="350"/>
      <c r="K133" s="350"/>
      <c r="L133" s="350"/>
      <c r="M133" s="350"/>
      <c r="N133" s="350"/>
      <c r="O133" s="350"/>
      <c r="P133" s="350"/>
      <c r="Q133" s="350"/>
      <c r="R133" s="350"/>
      <c r="S133" s="350"/>
      <c r="T133" s="350"/>
      <c r="U133" s="350"/>
      <c r="V133" s="350"/>
      <c r="W133" s="350"/>
      <c r="X133" s="350"/>
      <c r="Y133" s="350"/>
      <c r="Z133" s="350"/>
      <c r="AA133" s="350"/>
      <c r="AB133" s="350"/>
      <c r="AC133" s="350"/>
      <c r="AD133" s="350"/>
      <c r="AE133" s="350"/>
      <c r="AF133" s="350"/>
      <c r="AG133" s="350"/>
      <c r="AH133" s="350"/>
      <c r="AI133" s="350"/>
      <c r="AJ133" s="350"/>
      <c r="AK133" s="350"/>
      <c r="AL133" s="350"/>
      <c r="AM133" s="350"/>
      <c r="AN133" s="350"/>
      <c r="AO133" s="350"/>
      <c r="AP133" s="350"/>
      <c r="AQ133" s="350"/>
      <c r="AR133" s="350"/>
      <c r="AS133" s="350"/>
      <c r="AT133" s="350"/>
      <c r="AU133" s="350"/>
      <c r="AV133" s="350"/>
      <c r="AW133" s="350"/>
      <c r="AX133" s="350"/>
      <c r="AY133" s="350"/>
      <c r="AZ133" s="350"/>
      <c r="BA133" s="350"/>
      <c r="BB133" s="350"/>
      <c r="BC133" s="350"/>
      <c r="BD133" s="350"/>
      <c r="BE133" s="350"/>
      <c r="BF133" s="350"/>
      <c r="BG133" s="350"/>
      <c r="BH133" s="350"/>
      <c r="BI133" s="350"/>
    </row>
    <row r="134" customFormat="false" ht="12.75" hidden="false" customHeight="false" outlineLevel="0" collapsed="false">
      <c r="A134" s="350"/>
      <c r="B134" s="350"/>
      <c r="C134" s="350"/>
      <c r="D134" s="350"/>
      <c r="E134" s="350"/>
      <c r="F134" s="350"/>
      <c r="G134" s="350"/>
      <c r="H134" s="350"/>
      <c r="I134" s="350"/>
      <c r="J134" s="350"/>
      <c r="K134" s="350"/>
      <c r="L134" s="350"/>
      <c r="M134" s="350"/>
      <c r="N134" s="350"/>
      <c r="O134" s="350"/>
      <c r="P134" s="350"/>
      <c r="Q134" s="350"/>
      <c r="R134" s="350"/>
      <c r="S134" s="350"/>
      <c r="T134" s="350"/>
      <c r="U134" s="350"/>
      <c r="V134" s="350"/>
      <c r="W134" s="350"/>
      <c r="X134" s="350"/>
      <c r="Y134" s="350"/>
      <c r="Z134" s="350"/>
      <c r="AA134" s="350"/>
      <c r="AB134" s="350"/>
      <c r="AC134" s="350"/>
      <c r="AD134" s="350"/>
      <c r="AE134" s="350"/>
      <c r="AF134" s="350"/>
      <c r="AG134" s="350"/>
      <c r="AH134" s="350"/>
      <c r="AI134" s="350"/>
      <c r="AJ134" s="350"/>
      <c r="AK134" s="350"/>
      <c r="AL134" s="350"/>
      <c r="AM134" s="350"/>
      <c r="AN134" s="350"/>
      <c r="AO134" s="350"/>
      <c r="AP134" s="350"/>
      <c r="AQ134" s="350"/>
      <c r="AR134" s="350"/>
      <c r="AS134" s="350"/>
      <c r="AT134" s="350"/>
      <c r="AU134" s="350"/>
      <c r="AV134" s="350"/>
      <c r="AW134" s="350"/>
      <c r="AX134" s="350"/>
      <c r="AY134" s="350"/>
      <c r="AZ134" s="350"/>
      <c r="BA134" s="350"/>
      <c r="BB134" s="350"/>
      <c r="BC134" s="350"/>
      <c r="BD134" s="350"/>
      <c r="BE134" s="350"/>
      <c r="BF134" s="350"/>
      <c r="BG134" s="350"/>
      <c r="BH134" s="350"/>
      <c r="BI134" s="350"/>
    </row>
    <row r="135" customFormat="false" ht="12.75" hidden="false" customHeight="false" outlineLevel="0" collapsed="false">
      <c r="A135" s="350"/>
      <c r="B135" s="350"/>
      <c r="C135" s="350"/>
      <c r="D135" s="350"/>
      <c r="E135" s="350"/>
      <c r="F135" s="350"/>
      <c r="G135" s="350"/>
      <c r="H135" s="350"/>
      <c r="I135" s="350"/>
      <c r="J135" s="350"/>
      <c r="K135" s="350"/>
      <c r="L135" s="350"/>
      <c r="M135" s="350"/>
      <c r="N135" s="350"/>
      <c r="O135" s="350"/>
      <c r="P135" s="350"/>
      <c r="Q135" s="350"/>
      <c r="R135" s="350"/>
      <c r="S135" s="350"/>
      <c r="T135" s="350"/>
      <c r="U135" s="350"/>
      <c r="V135" s="350"/>
      <c r="W135" s="350"/>
      <c r="X135" s="350"/>
      <c r="Y135" s="350"/>
      <c r="Z135" s="350"/>
      <c r="AA135" s="350"/>
      <c r="AB135" s="350"/>
      <c r="AC135" s="350"/>
      <c r="AD135" s="350"/>
      <c r="AE135" s="350"/>
      <c r="AF135" s="350"/>
      <c r="AG135" s="350"/>
      <c r="AH135" s="350"/>
      <c r="AI135" s="350"/>
      <c r="AJ135" s="350"/>
      <c r="AK135" s="350"/>
      <c r="AL135" s="350"/>
      <c r="AM135" s="350"/>
      <c r="AN135" s="350"/>
      <c r="AO135" s="350"/>
      <c r="AP135" s="350"/>
      <c r="AQ135" s="350"/>
      <c r="AR135" s="350"/>
      <c r="AS135" s="350"/>
      <c r="AT135" s="350"/>
      <c r="AU135" s="350"/>
      <c r="AV135" s="350"/>
      <c r="AW135" s="350"/>
      <c r="AX135" s="350"/>
      <c r="AY135" s="350"/>
      <c r="AZ135" s="350"/>
      <c r="BA135" s="350"/>
      <c r="BB135" s="350"/>
      <c r="BC135" s="350"/>
      <c r="BD135" s="350"/>
      <c r="BE135" s="350"/>
      <c r="BF135" s="350"/>
      <c r="BG135" s="350"/>
      <c r="BH135" s="350"/>
      <c r="BI135" s="350"/>
    </row>
    <row r="136" customFormat="false" ht="12.75" hidden="false" customHeight="false" outlineLevel="0" collapsed="false">
      <c r="A136" s="350"/>
      <c r="B136" s="350"/>
      <c r="C136" s="350"/>
      <c r="D136" s="350"/>
      <c r="E136" s="350"/>
      <c r="F136" s="350"/>
      <c r="G136" s="350"/>
      <c r="H136" s="350"/>
      <c r="I136" s="350"/>
      <c r="J136" s="350"/>
      <c r="K136" s="350"/>
      <c r="L136" s="350"/>
      <c r="M136" s="350"/>
      <c r="N136" s="350"/>
      <c r="O136" s="350"/>
      <c r="P136" s="350"/>
      <c r="Q136" s="350"/>
      <c r="R136" s="350"/>
      <c r="S136" s="350"/>
      <c r="T136" s="350"/>
      <c r="U136" s="350"/>
      <c r="V136" s="350"/>
      <c r="W136" s="350"/>
      <c r="X136" s="350"/>
      <c r="Y136" s="350"/>
      <c r="Z136" s="350"/>
      <c r="AA136" s="350"/>
      <c r="AB136" s="350"/>
      <c r="AC136" s="350"/>
      <c r="AD136" s="350"/>
      <c r="AE136" s="350"/>
      <c r="AF136" s="350"/>
      <c r="AG136" s="350"/>
      <c r="AH136" s="350"/>
      <c r="AI136" s="350"/>
      <c r="AJ136" s="350"/>
      <c r="AK136" s="350"/>
      <c r="AL136" s="350"/>
      <c r="AM136" s="350"/>
      <c r="AN136" s="350"/>
      <c r="AO136" s="350"/>
      <c r="AP136" s="350"/>
      <c r="AQ136" s="350"/>
      <c r="AR136" s="350"/>
      <c r="AS136" s="350"/>
      <c r="AT136" s="350"/>
      <c r="AU136" s="350"/>
      <c r="AV136" s="350"/>
      <c r="AW136" s="350"/>
      <c r="AX136" s="350"/>
      <c r="AY136" s="350"/>
      <c r="AZ136" s="350"/>
      <c r="BA136" s="350"/>
      <c r="BB136" s="350"/>
      <c r="BC136" s="350"/>
      <c r="BD136" s="350"/>
      <c r="BE136" s="350"/>
      <c r="BF136" s="350"/>
      <c r="BG136" s="350"/>
      <c r="BH136" s="350"/>
      <c r="BI136" s="350"/>
    </row>
    <row r="137" customFormat="false" ht="12.75" hidden="false" customHeight="false" outlineLevel="0" collapsed="false">
      <c r="A137" s="350"/>
      <c r="B137" s="350"/>
      <c r="C137" s="350"/>
      <c r="D137" s="350"/>
      <c r="E137" s="350"/>
      <c r="F137" s="350"/>
      <c r="G137" s="350"/>
      <c r="H137" s="350"/>
      <c r="I137" s="350"/>
      <c r="J137" s="350"/>
      <c r="K137" s="350"/>
      <c r="L137" s="350"/>
      <c r="M137" s="350"/>
      <c r="N137" s="350"/>
      <c r="O137" s="350"/>
      <c r="P137" s="350"/>
      <c r="Q137" s="350"/>
      <c r="R137" s="350"/>
      <c r="S137" s="350"/>
      <c r="T137" s="350"/>
      <c r="U137" s="350"/>
      <c r="V137" s="350"/>
      <c r="W137" s="350"/>
      <c r="X137" s="350"/>
      <c r="Y137" s="350"/>
      <c r="Z137" s="350"/>
      <c r="AA137" s="350"/>
      <c r="AB137" s="350"/>
      <c r="AC137" s="350"/>
      <c r="AD137" s="350"/>
      <c r="AE137" s="350"/>
      <c r="AF137" s="350"/>
      <c r="AG137" s="350"/>
      <c r="AH137" s="350"/>
      <c r="AI137" s="350"/>
      <c r="AJ137" s="350"/>
      <c r="AK137" s="350"/>
      <c r="AL137" s="350"/>
      <c r="AM137" s="350"/>
      <c r="AN137" s="350"/>
      <c r="AO137" s="350"/>
      <c r="AP137" s="350"/>
      <c r="AQ137" s="350"/>
      <c r="AR137" s="350"/>
      <c r="AS137" s="350"/>
      <c r="AT137" s="350"/>
      <c r="AU137" s="350"/>
      <c r="AV137" s="350"/>
      <c r="AW137" s="350"/>
      <c r="AX137" s="350"/>
      <c r="AY137" s="350"/>
      <c r="AZ137" s="350"/>
      <c r="BA137" s="350"/>
      <c r="BB137" s="350"/>
      <c r="BC137" s="350"/>
      <c r="BD137" s="350"/>
      <c r="BE137" s="350"/>
      <c r="BF137" s="350"/>
      <c r="BG137" s="350"/>
      <c r="BH137" s="350"/>
      <c r="BI137" s="350"/>
    </row>
    <row r="138" customFormat="false" ht="12.75" hidden="false" customHeight="false" outlineLevel="0" collapsed="false">
      <c r="A138" s="350"/>
      <c r="B138" s="350"/>
      <c r="C138" s="350"/>
      <c r="D138" s="350"/>
      <c r="E138" s="350"/>
      <c r="F138" s="350"/>
      <c r="G138" s="350"/>
      <c r="H138" s="350"/>
      <c r="I138" s="350"/>
      <c r="J138" s="350"/>
      <c r="K138" s="350"/>
      <c r="L138" s="350"/>
      <c r="M138" s="350"/>
      <c r="N138" s="350"/>
      <c r="O138" s="350"/>
      <c r="P138" s="350"/>
      <c r="Q138" s="350"/>
      <c r="R138" s="350"/>
      <c r="S138" s="350"/>
      <c r="T138" s="350"/>
      <c r="U138" s="350"/>
      <c r="V138" s="350"/>
      <c r="W138" s="350"/>
      <c r="X138" s="350"/>
      <c r="Y138" s="350"/>
      <c r="Z138" s="350"/>
      <c r="AA138" s="350"/>
      <c r="AB138" s="350"/>
      <c r="AC138" s="350"/>
      <c r="AD138" s="350"/>
      <c r="AE138" s="350"/>
      <c r="AF138" s="350"/>
      <c r="AG138" s="350"/>
      <c r="AH138" s="350"/>
      <c r="AI138" s="350"/>
      <c r="AJ138" s="350"/>
      <c r="AK138" s="350"/>
      <c r="AL138" s="350"/>
      <c r="AM138" s="350"/>
      <c r="AN138" s="350"/>
      <c r="AO138" s="350"/>
      <c r="AP138" s="350"/>
      <c r="AQ138" s="350"/>
      <c r="AR138" s="350"/>
      <c r="AS138" s="350"/>
      <c r="AT138" s="350"/>
      <c r="AU138" s="350"/>
      <c r="AV138" s="350"/>
      <c r="AW138" s="350"/>
      <c r="AX138" s="350"/>
      <c r="AY138" s="350"/>
      <c r="AZ138" s="350"/>
      <c r="BA138" s="350"/>
      <c r="BB138" s="350"/>
      <c r="BC138" s="350"/>
      <c r="BD138" s="350"/>
      <c r="BE138" s="350"/>
      <c r="BF138" s="350"/>
      <c r="BG138" s="350"/>
      <c r="BH138" s="350"/>
      <c r="BI138" s="350"/>
    </row>
    <row r="139" customFormat="false" ht="12.75" hidden="false" customHeight="false" outlineLevel="0" collapsed="false">
      <c r="A139" s="350"/>
      <c r="B139" s="350"/>
      <c r="C139" s="350"/>
      <c r="D139" s="350"/>
      <c r="E139" s="350"/>
      <c r="F139" s="350"/>
      <c r="G139" s="350"/>
      <c r="H139" s="350"/>
      <c r="I139" s="350"/>
      <c r="J139" s="350"/>
      <c r="K139" s="350"/>
      <c r="L139" s="350"/>
      <c r="M139" s="350"/>
      <c r="N139" s="350"/>
      <c r="O139" s="350"/>
      <c r="P139" s="350"/>
      <c r="Q139" s="350"/>
      <c r="R139" s="350"/>
      <c r="S139" s="350"/>
      <c r="T139" s="350"/>
      <c r="U139" s="350"/>
      <c r="V139" s="350"/>
      <c r="W139" s="350"/>
      <c r="X139" s="350"/>
      <c r="Y139" s="350"/>
      <c r="Z139" s="350"/>
      <c r="AA139" s="350"/>
      <c r="AB139" s="350"/>
      <c r="AC139" s="350"/>
      <c r="AD139" s="350"/>
      <c r="AE139" s="350"/>
      <c r="AF139" s="350"/>
      <c r="AG139" s="350"/>
      <c r="AH139" s="350"/>
      <c r="AI139" s="350"/>
      <c r="AJ139" s="350"/>
      <c r="AK139" s="350"/>
      <c r="AL139" s="350"/>
      <c r="AM139" s="350"/>
      <c r="AN139" s="350"/>
      <c r="AO139" s="350"/>
      <c r="AP139" s="350"/>
      <c r="AQ139" s="350"/>
      <c r="AR139" s="350"/>
      <c r="AS139" s="350"/>
      <c r="AT139" s="350"/>
      <c r="AU139" s="350"/>
      <c r="AV139" s="350"/>
      <c r="AW139" s="350"/>
      <c r="AX139" s="350"/>
      <c r="AY139" s="350"/>
      <c r="AZ139" s="350"/>
      <c r="BA139" s="350"/>
      <c r="BB139" s="350"/>
      <c r="BC139" s="350"/>
      <c r="BD139" s="350"/>
      <c r="BE139" s="350"/>
      <c r="BF139" s="350"/>
      <c r="BG139" s="350"/>
      <c r="BH139" s="350"/>
      <c r="BI139" s="350"/>
    </row>
    <row r="140" customFormat="false" ht="12.75" hidden="false" customHeight="false" outlineLevel="0" collapsed="false">
      <c r="A140" s="350"/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  <c r="N140" s="350"/>
      <c r="O140" s="350"/>
      <c r="P140" s="350"/>
      <c r="Q140" s="350"/>
      <c r="R140" s="350"/>
      <c r="S140" s="350"/>
      <c r="T140" s="350"/>
      <c r="U140" s="350"/>
      <c r="V140" s="350"/>
      <c r="W140" s="350"/>
      <c r="X140" s="350"/>
      <c r="Y140" s="350"/>
      <c r="Z140" s="350"/>
      <c r="AA140" s="350"/>
      <c r="AB140" s="350"/>
      <c r="AC140" s="350"/>
      <c r="AD140" s="350"/>
      <c r="AE140" s="350"/>
      <c r="AF140" s="350"/>
      <c r="AG140" s="350"/>
      <c r="AH140" s="350"/>
      <c r="AI140" s="350"/>
      <c r="AJ140" s="350"/>
      <c r="AK140" s="350"/>
      <c r="AL140" s="350"/>
      <c r="AM140" s="350"/>
      <c r="AN140" s="350"/>
      <c r="AO140" s="350"/>
      <c r="AP140" s="350"/>
      <c r="AQ140" s="350"/>
      <c r="AR140" s="350"/>
      <c r="AS140" s="350"/>
      <c r="AT140" s="350"/>
      <c r="AU140" s="350"/>
      <c r="AV140" s="350"/>
      <c r="AW140" s="350"/>
      <c r="AX140" s="350"/>
      <c r="AY140" s="350"/>
      <c r="AZ140" s="350"/>
      <c r="BA140" s="350"/>
      <c r="BB140" s="350"/>
      <c r="BC140" s="350"/>
      <c r="BD140" s="350"/>
      <c r="BE140" s="350"/>
      <c r="BF140" s="350"/>
      <c r="BG140" s="350"/>
      <c r="BH140" s="350"/>
      <c r="BI140" s="350"/>
    </row>
    <row r="141" customFormat="false" ht="12.75" hidden="false" customHeight="false" outlineLevel="0" collapsed="false">
      <c r="A141" s="350"/>
      <c r="B141" s="350"/>
      <c r="C141" s="350"/>
      <c r="D141" s="350"/>
      <c r="E141" s="350"/>
      <c r="F141" s="350"/>
      <c r="G141" s="350"/>
      <c r="H141" s="350"/>
      <c r="I141" s="350"/>
      <c r="J141" s="350"/>
      <c r="K141" s="350"/>
      <c r="L141" s="350"/>
      <c r="M141" s="350"/>
      <c r="N141" s="350"/>
      <c r="O141" s="350"/>
      <c r="P141" s="350"/>
      <c r="Q141" s="350"/>
      <c r="R141" s="350"/>
      <c r="S141" s="350"/>
      <c r="T141" s="350"/>
      <c r="U141" s="350"/>
      <c r="V141" s="350"/>
      <c r="W141" s="350"/>
      <c r="X141" s="350"/>
      <c r="Y141" s="350"/>
      <c r="Z141" s="350"/>
      <c r="AA141" s="350"/>
      <c r="AB141" s="350"/>
      <c r="AC141" s="350"/>
      <c r="AD141" s="350"/>
      <c r="AE141" s="350"/>
      <c r="AF141" s="350"/>
      <c r="AG141" s="350"/>
      <c r="AH141" s="350"/>
      <c r="AI141" s="350"/>
      <c r="AJ141" s="350"/>
      <c r="AK141" s="350"/>
      <c r="AL141" s="350"/>
      <c r="AM141" s="350"/>
      <c r="AN141" s="350"/>
      <c r="AO141" s="350"/>
      <c r="AP141" s="350"/>
      <c r="AQ141" s="350"/>
      <c r="AR141" s="350"/>
      <c r="AS141" s="350"/>
      <c r="AT141" s="350"/>
      <c r="AU141" s="350"/>
      <c r="AV141" s="350"/>
      <c r="AW141" s="350"/>
      <c r="AX141" s="350"/>
      <c r="AY141" s="350"/>
      <c r="AZ141" s="350"/>
      <c r="BA141" s="350"/>
      <c r="BB141" s="350"/>
      <c r="BC141" s="350"/>
      <c r="BD141" s="350"/>
      <c r="BE141" s="350"/>
      <c r="BF141" s="350"/>
      <c r="BG141" s="350"/>
      <c r="BH141" s="350"/>
      <c r="BI141" s="350"/>
    </row>
    <row r="142" customFormat="false" ht="12.75" hidden="false" customHeight="false" outlineLevel="0" collapsed="false">
      <c r="A142" s="350"/>
      <c r="B142" s="350"/>
      <c r="C142" s="350"/>
      <c r="D142" s="350"/>
      <c r="E142" s="350"/>
      <c r="F142" s="350"/>
      <c r="G142" s="350"/>
      <c r="H142" s="350"/>
      <c r="I142" s="350"/>
      <c r="J142" s="350"/>
      <c r="K142" s="350"/>
      <c r="L142" s="350"/>
      <c r="M142" s="350"/>
      <c r="N142" s="350"/>
      <c r="O142" s="350"/>
      <c r="P142" s="350"/>
      <c r="Q142" s="350"/>
      <c r="R142" s="350"/>
      <c r="S142" s="350"/>
      <c r="T142" s="350"/>
      <c r="U142" s="350"/>
      <c r="V142" s="350"/>
      <c r="W142" s="350"/>
      <c r="X142" s="350"/>
      <c r="Y142" s="350"/>
      <c r="Z142" s="350"/>
      <c r="AA142" s="350"/>
      <c r="AB142" s="350"/>
      <c r="AC142" s="350"/>
      <c r="AD142" s="350"/>
      <c r="AE142" s="350"/>
      <c r="AF142" s="350"/>
      <c r="AG142" s="350"/>
      <c r="AH142" s="350"/>
      <c r="AI142" s="350"/>
      <c r="AJ142" s="350"/>
      <c r="AK142" s="350"/>
      <c r="AL142" s="350"/>
      <c r="AM142" s="350"/>
      <c r="AN142" s="350"/>
      <c r="AO142" s="350"/>
      <c r="AP142" s="350"/>
      <c r="AQ142" s="350"/>
      <c r="AR142" s="350"/>
      <c r="AS142" s="350"/>
      <c r="AT142" s="350"/>
      <c r="AU142" s="350"/>
      <c r="AV142" s="350"/>
      <c r="AW142" s="350"/>
      <c r="AX142" s="350"/>
      <c r="AY142" s="350"/>
      <c r="AZ142" s="350"/>
      <c r="BA142" s="350"/>
      <c r="BB142" s="350"/>
      <c r="BC142" s="350"/>
      <c r="BD142" s="350"/>
      <c r="BE142" s="350"/>
      <c r="BF142" s="350"/>
      <c r="BG142" s="350"/>
      <c r="BH142" s="350"/>
      <c r="BI142" s="350"/>
    </row>
    <row r="143" customFormat="false" ht="12.75" hidden="false" customHeight="false" outlineLevel="0" collapsed="false">
      <c r="A143" s="350"/>
      <c r="B143" s="350"/>
      <c r="C143" s="350"/>
      <c r="D143" s="350"/>
      <c r="E143" s="350"/>
      <c r="F143" s="350"/>
      <c r="G143" s="350"/>
      <c r="H143" s="350"/>
      <c r="I143" s="350"/>
      <c r="J143" s="350"/>
      <c r="K143" s="350"/>
      <c r="L143" s="350"/>
      <c r="M143" s="350"/>
      <c r="N143" s="350"/>
      <c r="O143" s="350"/>
      <c r="P143" s="350"/>
      <c r="Q143" s="350"/>
      <c r="R143" s="350"/>
      <c r="S143" s="350"/>
      <c r="T143" s="350"/>
      <c r="U143" s="350"/>
      <c r="V143" s="350"/>
      <c r="W143" s="350"/>
      <c r="X143" s="350"/>
      <c r="Y143" s="350"/>
      <c r="Z143" s="350"/>
      <c r="AA143" s="350"/>
      <c r="AB143" s="350"/>
      <c r="AC143" s="350"/>
      <c r="AD143" s="350"/>
      <c r="AE143" s="350"/>
      <c r="AF143" s="350"/>
      <c r="AG143" s="350"/>
      <c r="AH143" s="350"/>
      <c r="AI143" s="350"/>
      <c r="AJ143" s="350"/>
      <c r="AK143" s="350"/>
      <c r="AL143" s="350"/>
      <c r="AM143" s="350"/>
      <c r="AN143" s="350"/>
      <c r="AO143" s="350"/>
      <c r="AP143" s="350"/>
      <c r="AQ143" s="350"/>
      <c r="AR143" s="350"/>
      <c r="AS143" s="350"/>
      <c r="AT143" s="350"/>
      <c r="AU143" s="350"/>
      <c r="AV143" s="350"/>
      <c r="AW143" s="350"/>
      <c r="AX143" s="350"/>
      <c r="AY143" s="350"/>
      <c r="AZ143" s="350"/>
      <c r="BA143" s="350"/>
      <c r="BB143" s="350"/>
      <c r="BC143" s="350"/>
      <c r="BD143" s="350"/>
      <c r="BE143" s="350"/>
      <c r="BF143" s="350"/>
      <c r="BG143" s="350"/>
      <c r="BH143" s="350"/>
      <c r="BI143" s="350"/>
    </row>
    <row r="144" customFormat="false" ht="12.75" hidden="false" customHeight="false" outlineLevel="0" collapsed="false">
      <c r="A144" s="350"/>
      <c r="B144" s="350"/>
      <c r="C144" s="350"/>
      <c r="D144" s="350"/>
      <c r="E144" s="350"/>
      <c r="F144" s="350"/>
      <c r="G144" s="350"/>
      <c r="H144" s="350"/>
      <c r="I144" s="350"/>
      <c r="J144" s="350"/>
      <c r="K144" s="350"/>
      <c r="L144" s="350"/>
      <c r="M144" s="350"/>
      <c r="N144" s="350"/>
      <c r="O144" s="350"/>
      <c r="P144" s="350"/>
      <c r="Q144" s="350"/>
      <c r="R144" s="350"/>
      <c r="S144" s="350"/>
      <c r="T144" s="350"/>
      <c r="U144" s="350"/>
      <c r="V144" s="350"/>
      <c r="W144" s="350"/>
      <c r="X144" s="350"/>
      <c r="Y144" s="350"/>
      <c r="Z144" s="350"/>
      <c r="AA144" s="350"/>
      <c r="AB144" s="350"/>
      <c r="AC144" s="350"/>
      <c r="AD144" s="350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50"/>
      <c r="AY144" s="350"/>
      <c r="AZ144" s="350"/>
      <c r="BA144" s="350"/>
      <c r="BB144" s="350"/>
      <c r="BC144" s="350"/>
      <c r="BD144" s="350"/>
      <c r="BE144" s="350"/>
      <c r="BF144" s="350"/>
      <c r="BG144" s="350"/>
      <c r="BH144" s="350"/>
      <c r="BI144" s="350"/>
    </row>
    <row r="145" customFormat="false" ht="12.75" hidden="false" customHeight="false" outlineLevel="0" collapsed="false">
      <c r="A145" s="350"/>
      <c r="B145" s="350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  <c r="Q145" s="350"/>
      <c r="R145" s="350"/>
      <c r="S145" s="350"/>
      <c r="T145" s="350"/>
      <c r="U145" s="350"/>
      <c r="V145" s="350"/>
      <c r="W145" s="350"/>
      <c r="X145" s="350"/>
      <c r="Y145" s="350"/>
      <c r="Z145" s="350"/>
      <c r="AA145" s="350"/>
      <c r="AB145" s="350"/>
      <c r="AC145" s="350"/>
      <c r="AD145" s="350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50"/>
      <c r="AY145" s="350"/>
      <c r="AZ145" s="350"/>
      <c r="BA145" s="350"/>
      <c r="BB145" s="350"/>
      <c r="BC145" s="350"/>
      <c r="BD145" s="350"/>
      <c r="BE145" s="350"/>
      <c r="BF145" s="350"/>
      <c r="BG145" s="350"/>
      <c r="BH145" s="350"/>
      <c r="BI145" s="350"/>
    </row>
    <row r="146" customFormat="false" ht="12.75" hidden="false" customHeight="false" outlineLevel="0" collapsed="false">
      <c r="A146" s="350"/>
      <c r="B146" s="350"/>
      <c r="C146" s="350"/>
      <c r="D146" s="350"/>
      <c r="E146" s="350"/>
      <c r="F146" s="350"/>
      <c r="G146" s="350"/>
      <c r="H146" s="350"/>
      <c r="I146" s="350"/>
      <c r="J146" s="350"/>
      <c r="K146" s="350"/>
      <c r="L146" s="350"/>
      <c r="M146" s="350"/>
      <c r="N146" s="350"/>
      <c r="O146" s="350"/>
      <c r="P146" s="350"/>
      <c r="Q146" s="350"/>
      <c r="R146" s="350"/>
      <c r="S146" s="350"/>
      <c r="T146" s="350"/>
      <c r="U146" s="350"/>
      <c r="V146" s="350"/>
      <c r="W146" s="350"/>
      <c r="X146" s="350"/>
      <c r="Y146" s="350"/>
      <c r="Z146" s="350"/>
      <c r="AA146" s="350"/>
      <c r="AB146" s="350"/>
      <c r="AC146" s="350"/>
      <c r="AD146" s="350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50"/>
      <c r="AY146" s="350"/>
      <c r="AZ146" s="350"/>
      <c r="BA146" s="350"/>
      <c r="BB146" s="350"/>
      <c r="BC146" s="350"/>
      <c r="BD146" s="350"/>
      <c r="BE146" s="350"/>
      <c r="BF146" s="350"/>
      <c r="BG146" s="350"/>
      <c r="BH146" s="350"/>
      <c r="BI146" s="350"/>
    </row>
    <row r="147" customFormat="false" ht="12.75" hidden="false" customHeight="false" outlineLevel="0" collapsed="false">
      <c r="A147" s="350"/>
      <c r="B147" s="350"/>
      <c r="C147" s="350"/>
      <c r="D147" s="350"/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  <c r="Z147" s="350"/>
      <c r="AA147" s="350"/>
      <c r="AB147" s="350"/>
      <c r="AC147" s="350"/>
      <c r="AD147" s="350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50"/>
      <c r="AY147" s="350"/>
      <c r="AZ147" s="350"/>
      <c r="BA147" s="350"/>
      <c r="BB147" s="350"/>
      <c r="BC147" s="350"/>
      <c r="BD147" s="350"/>
      <c r="BE147" s="350"/>
      <c r="BF147" s="350"/>
      <c r="BG147" s="350"/>
      <c r="BH147" s="350"/>
      <c r="BI147" s="350"/>
    </row>
    <row r="148" customFormat="false" ht="12.75" hidden="false" customHeight="false" outlineLevel="0" collapsed="false">
      <c r="A148" s="350"/>
      <c r="B148" s="350"/>
      <c r="C148" s="350"/>
      <c r="D148" s="350"/>
      <c r="E148" s="350"/>
      <c r="F148" s="350"/>
      <c r="G148" s="350"/>
      <c r="H148" s="350"/>
      <c r="I148" s="350"/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</row>
    <row r="149" customFormat="false" ht="12.75" hidden="false" customHeight="false" outlineLevel="0" collapsed="false">
      <c r="A149" s="350"/>
      <c r="B149" s="350"/>
      <c r="C149" s="350"/>
      <c r="D149" s="350"/>
      <c r="E149" s="350"/>
      <c r="F149" s="350"/>
      <c r="G149" s="350"/>
      <c r="H149" s="350"/>
      <c r="I149" s="350"/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</row>
    <row r="150" customFormat="false" ht="12.75" hidden="false" customHeight="false" outlineLevel="0" collapsed="false">
      <c r="A150" s="350"/>
      <c r="B150" s="350"/>
      <c r="C150" s="350"/>
      <c r="D150" s="350"/>
      <c r="E150" s="350"/>
      <c r="F150" s="350"/>
      <c r="G150" s="350"/>
      <c r="H150" s="350"/>
      <c r="I150" s="350"/>
      <c r="J150" s="350"/>
      <c r="K150" s="350"/>
      <c r="L150" s="350"/>
      <c r="M150" s="350"/>
      <c r="N150" s="350"/>
      <c r="O150" s="350"/>
      <c r="P150" s="350"/>
      <c r="Q150" s="350"/>
      <c r="R150" s="350"/>
      <c r="S150" s="350"/>
      <c r="T150" s="350"/>
      <c r="U150" s="350"/>
      <c r="V150" s="350"/>
      <c r="W150" s="350"/>
      <c r="X150" s="350"/>
      <c r="Y150" s="350"/>
      <c r="Z150" s="350"/>
      <c r="AA150" s="350"/>
      <c r="AB150" s="350"/>
      <c r="AC150" s="350"/>
      <c r="AD150" s="350"/>
      <c r="AE150" s="350"/>
      <c r="AF150" s="350"/>
      <c r="AG150" s="350"/>
      <c r="AH150" s="350"/>
      <c r="AI150" s="350"/>
      <c r="AJ150" s="350"/>
      <c r="AK150" s="350"/>
      <c r="AL150" s="350"/>
      <c r="AM150" s="350"/>
      <c r="AN150" s="350"/>
      <c r="AO150" s="350"/>
      <c r="AP150" s="350"/>
      <c r="AQ150" s="350"/>
      <c r="AR150" s="350"/>
      <c r="AS150" s="350"/>
      <c r="AT150" s="350"/>
      <c r="AU150" s="350"/>
      <c r="AV150" s="350"/>
      <c r="AW150" s="350"/>
      <c r="AX150" s="350"/>
      <c r="AY150" s="350"/>
      <c r="AZ150" s="350"/>
      <c r="BA150" s="350"/>
      <c r="BB150" s="350"/>
      <c r="BC150" s="350"/>
      <c r="BD150" s="350"/>
      <c r="BE150" s="350"/>
      <c r="BF150" s="350"/>
      <c r="BG150" s="350"/>
      <c r="BH150" s="350"/>
      <c r="BI150" s="350"/>
    </row>
    <row r="151" customFormat="false" ht="12.75" hidden="false" customHeight="false" outlineLevel="0" collapsed="false">
      <c r="A151" s="350"/>
      <c r="B151" s="350"/>
      <c r="C151" s="350"/>
      <c r="D151" s="350"/>
      <c r="E151" s="350"/>
      <c r="F151" s="350"/>
      <c r="G151" s="350"/>
      <c r="H151" s="350"/>
      <c r="I151" s="350"/>
      <c r="J151" s="350"/>
      <c r="K151" s="350"/>
      <c r="L151" s="350"/>
      <c r="M151" s="350"/>
      <c r="N151" s="350"/>
      <c r="O151" s="350"/>
      <c r="P151" s="350"/>
      <c r="Q151" s="350"/>
      <c r="R151" s="350"/>
      <c r="S151" s="350"/>
      <c r="T151" s="350"/>
      <c r="U151" s="350"/>
      <c r="V151" s="350"/>
      <c r="W151" s="350"/>
      <c r="X151" s="350"/>
      <c r="Y151" s="350"/>
      <c r="Z151" s="350"/>
      <c r="AA151" s="350"/>
      <c r="AB151" s="350"/>
      <c r="AC151" s="350"/>
      <c r="AD151" s="350"/>
      <c r="AE151" s="350"/>
      <c r="AF151" s="350"/>
      <c r="AG151" s="350"/>
      <c r="AH151" s="350"/>
      <c r="AI151" s="350"/>
      <c r="AJ151" s="350"/>
      <c r="AK151" s="350"/>
      <c r="AL151" s="350"/>
      <c r="AM151" s="350"/>
      <c r="AN151" s="350"/>
      <c r="AO151" s="350"/>
      <c r="AP151" s="350"/>
      <c r="AQ151" s="350"/>
      <c r="AR151" s="350"/>
      <c r="AS151" s="350"/>
      <c r="AT151" s="350"/>
      <c r="AU151" s="350"/>
      <c r="AV151" s="350"/>
      <c r="AW151" s="350"/>
      <c r="AX151" s="350"/>
      <c r="AY151" s="350"/>
      <c r="AZ151" s="350"/>
      <c r="BA151" s="350"/>
      <c r="BB151" s="350"/>
      <c r="BC151" s="350"/>
      <c r="BD151" s="350"/>
      <c r="BE151" s="350"/>
      <c r="BF151" s="350"/>
      <c r="BG151" s="350"/>
      <c r="BH151" s="350"/>
      <c r="BI151" s="350"/>
    </row>
    <row r="152" customFormat="false" ht="12.75" hidden="false" customHeight="false" outlineLevel="0" collapsed="false">
      <c r="A152" s="350"/>
      <c r="B152" s="350"/>
      <c r="C152" s="350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50"/>
      <c r="AY152" s="350"/>
      <c r="AZ152" s="350"/>
      <c r="BA152" s="350"/>
      <c r="BB152" s="350"/>
      <c r="BC152" s="350"/>
      <c r="BD152" s="350"/>
      <c r="BE152" s="350"/>
      <c r="BF152" s="350"/>
      <c r="BG152" s="350"/>
      <c r="BH152" s="350"/>
      <c r="BI152" s="350"/>
    </row>
    <row r="153" customFormat="false" ht="12.75" hidden="false" customHeight="false" outlineLevel="0" collapsed="false">
      <c r="A153" s="350"/>
      <c r="B153" s="350"/>
      <c r="C153" s="350"/>
      <c r="D153" s="350"/>
      <c r="E153" s="350"/>
      <c r="F153" s="350"/>
      <c r="G153" s="350"/>
      <c r="H153" s="350"/>
      <c r="I153" s="350"/>
      <c r="J153" s="350"/>
      <c r="K153" s="350"/>
      <c r="L153" s="350"/>
      <c r="M153" s="350"/>
      <c r="N153" s="350"/>
      <c r="O153" s="350"/>
      <c r="P153" s="350"/>
      <c r="Q153" s="350"/>
      <c r="R153" s="350"/>
      <c r="S153" s="350"/>
      <c r="T153" s="350"/>
      <c r="U153" s="350"/>
      <c r="V153" s="350"/>
      <c r="W153" s="350"/>
      <c r="X153" s="350"/>
      <c r="Y153" s="350"/>
      <c r="Z153" s="350"/>
      <c r="AA153" s="350"/>
      <c r="AB153" s="350"/>
      <c r="AC153" s="350"/>
      <c r="AD153" s="350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50"/>
      <c r="AY153" s="350"/>
      <c r="AZ153" s="350"/>
      <c r="BA153" s="350"/>
      <c r="BB153" s="350"/>
      <c r="BC153" s="350"/>
      <c r="BD153" s="350"/>
      <c r="BE153" s="350"/>
      <c r="BF153" s="350"/>
      <c r="BG153" s="350"/>
      <c r="BH153" s="350"/>
      <c r="BI153" s="350"/>
    </row>
    <row r="154" customFormat="false" ht="12.75" hidden="false" customHeight="false" outlineLevel="0" collapsed="false">
      <c r="A154" s="350"/>
      <c r="B154" s="350"/>
      <c r="C154" s="350"/>
      <c r="D154" s="350"/>
      <c r="E154" s="350"/>
      <c r="F154" s="350"/>
      <c r="G154" s="350"/>
      <c r="H154" s="350"/>
      <c r="I154" s="350"/>
      <c r="J154" s="350"/>
      <c r="K154" s="350"/>
      <c r="L154" s="350"/>
      <c r="M154" s="350"/>
      <c r="N154" s="350"/>
      <c r="O154" s="350"/>
      <c r="P154" s="350"/>
      <c r="Q154" s="350"/>
      <c r="R154" s="350"/>
      <c r="S154" s="350"/>
      <c r="T154" s="350"/>
      <c r="U154" s="350"/>
      <c r="V154" s="350"/>
      <c r="W154" s="350"/>
      <c r="X154" s="350"/>
      <c r="Y154" s="350"/>
      <c r="Z154" s="350"/>
      <c r="AA154" s="350"/>
      <c r="AB154" s="350"/>
      <c r="AC154" s="350"/>
      <c r="AD154" s="350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50"/>
      <c r="AY154" s="350"/>
      <c r="AZ154" s="350"/>
      <c r="BA154" s="350"/>
      <c r="BB154" s="350"/>
      <c r="BC154" s="350"/>
      <c r="BD154" s="350"/>
      <c r="BE154" s="350"/>
      <c r="BF154" s="350"/>
      <c r="BG154" s="350"/>
      <c r="BH154" s="350"/>
      <c r="BI154" s="350"/>
    </row>
    <row r="155" customFormat="false" ht="12.75" hidden="false" customHeight="false" outlineLevel="0" collapsed="false">
      <c r="A155" s="350"/>
      <c r="B155" s="350"/>
      <c r="C155" s="350"/>
      <c r="D155" s="350"/>
      <c r="E155" s="350"/>
      <c r="F155" s="350"/>
      <c r="G155" s="350"/>
      <c r="H155" s="350"/>
      <c r="I155" s="350"/>
      <c r="J155" s="350"/>
      <c r="K155" s="350"/>
      <c r="L155" s="350"/>
      <c r="M155" s="350"/>
      <c r="N155" s="350"/>
      <c r="O155" s="350"/>
      <c r="P155" s="350"/>
      <c r="Q155" s="350"/>
      <c r="R155" s="350"/>
      <c r="S155" s="350"/>
      <c r="T155" s="350"/>
      <c r="U155" s="350"/>
      <c r="V155" s="350"/>
      <c r="W155" s="350"/>
      <c r="X155" s="350"/>
      <c r="Y155" s="350"/>
      <c r="Z155" s="350"/>
      <c r="AA155" s="350"/>
      <c r="AB155" s="350"/>
      <c r="AC155" s="350"/>
      <c r="AD155" s="350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50"/>
      <c r="AY155" s="350"/>
      <c r="AZ155" s="350"/>
      <c r="BA155" s="350"/>
      <c r="BB155" s="350"/>
      <c r="BC155" s="350"/>
      <c r="BD155" s="350"/>
      <c r="BE155" s="350"/>
      <c r="BF155" s="350"/>
      <c r="BG155" s="350"/>
      <c r="BH155" s="350"/>
      <c r="BI155" s="350"/>
    </row>
    <row r="156" customFormat="false" ht="12.75" hidden="false" customHeight="false" outlineLevel="0" collapsed="false">
      <c r="A156" s="350"/>
      <c r="B156" s="350"/>
      <c r="C156" s="350"/>
      <c r="D156" s="350"/>
      <c r="E156" s="350"/>
      <c r="F156" s="350"/>
      <c r="G156" s="350"/>
      <c r="H156" s="350"/>
      <c r="I156" s="350"/>
      <c r="J156" s="350"/>
      <c r="K156" s="350"/>
      <c r="L156" s="350"/>
      <c r="M156" s="350"/>
      <c r="N156" s="350"/>
      <c r="O156" s="350"/>
      <c r="P156" s="350"/>
      <c r="Q156" s="350"/>
      <c r="R156" s="350"/>
      <c r="S156" s="350"/>
      <c r="T156" s="350"/>
      <c r="U156" s="350"/>
      <c r="V156" s="350"/>
      <c r="W156" s="350"/>
      <c r="X156" s="350"/>
      <c r="Y156" s="350"/>
      <c r="Z156" s="350"/>
      <c r="AA156" s="350"/>
      <c r="AB156" s="350"/>
      <c r="AC156" s="350"/>
      <c r="AD156" s="350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50"/>
      <c r="AY156" s="350"/>
      <c r="AZ156" s="350"/>
      <c r="BA156" s="350"/>
      <c r="BB156" s="350"/>
      <c r="BC156" s="350"/>
      <c r="BD156" s="350"/>
      <c r="BE156" s="350"/>
      <c r="BF156" s="350"/>
      <c r="BG156" s="350"/>
      <c r="BH156" s="350"/>
      <c r="BI156" s="350"/>
    </row>
    <row r="157" customFormat="false" ht="12.75" hidden="false" customHeight="false" outlineLevel="0" collapsed="false">
      <c r="A157" s="350"/>
      <c r="B157" s="350"/>
      <c r="C157" s="350"/>
      <c r="D157" s="350"/>
      <c r="E157" s="350"/>
      <c r="F157" s="350"/>
      <c r="G157" s="350"/>
      <c r="H157" s="350"/>
      <c r="I157" s="350"/>
      <c r="J157" s="350"/>
      <c r="K157" s="350"/>
      <c r="L157" s="350"/>
      <c r="M157" s="350"/>
      <c r="N157" s="350"/>
      <c r="O157" s="350"/>
      <c r="P157" s="350"/>
      <c r="Q157" s="350"/>
      <c r="R157" s="350"/>
      <c r="S157" s="350"/>
      <c r="T157" s="350"/>
      <c r="U157" s="350"/>
      <c r="V157" s="350"/>
      <c r="W157" s="350"/>
      <c r="X157" s="350"/>
      <c r="Y157" s="350"/>
      <c r="Z157" s="350"/>
      <c r="AA157" s="350"/>
      <c r="AB157" s="350"/>
      <c r="AC157" s="350"/>
      <c r="AD157" s="350"/>
      <c r="AE157" s="350"/>
      <c r="AF157" s="350"/>
      <c r="AG157" s="350"/>
      <c r="AH157" s="350"/>
      <c r="AI157" s="350"/>
      <c r="AJ157" s="350"/>
      <c r="AK157" s="350"/>
      <c r="AL157" s="350"/>
      <c r="AM157" s="350"/>
      <c r="AN157" s="350"/>
      <c r="AO157" s="350"/>
      <c r="AP157" s="350"/>
      <c r="AQ157" s="350"/>
      <c r="AR157" s="350"/>
      <c r="AS157" s="350"/>
      <c r="AT157" s="350"/>
      <c r="AU157" s="350"/>
      <c r="AV157" s="350"/>
      <c r="AW157" s="350"/>
      <c r="AX157" s="350"/>
      <c r="AY157" s="350"/>
      <c r="AZ157" s="350"/>
      <c r="BA157" s="350"/>
      <c r="BB157" s="350"/>
      <c r="BC157" s="350"/>
      <c r="BD157" s="350"/>
      <c r="BE157" s="350"/>
      <c r="BF157" s="350"/>
      <c r="BG157" s="350"/>
      <c r="BH157" s="350"/>
      <c r="BI157" s="350"/>
    </row>
    <row r="158" customFormat="false" ht="12.75" hidden="false" customHeight="false" outlineLevel="0" collapsed="false">
      <c r="A158" s="350"/>
      <c r="B158" s="350"/>
      <c r="C158" s="350"/>
      <c r="D158" s="350"/>
      <c r="E158" s="350"/>
      <c r="F158" s="350"/>
      <c r="G158" s="350"/>
      <c r="H158" s="350"/>
      <c r="I158" s="350"/>
      <c r="J158" s="350"/>
      <c r="K158" s="350"/>
      <c r="L158" s="350"/>
      <c r="M158" s="350"/>
      <c r="N158" s="350"/>
      <c r="O158" s="350"/>
      <c r="P158" s="350"/>
      <c r="Q158" s="350"/>
      <c r="R158" s="350"/>
      <c r="S158" s="350"/>
      <c r="T158" s="350"/>
      <c r="U158" s="350"/>
      <c r="V158" s="350"/>
      <c r="W158" s="350"/>
      <c r="X158" s="350"/>
      <c r="Y158" s="350"/>
      <c r="Z158" s="350"/>
      <c r="AA158" s="350"/>
      <c r="AB158" s="350"/>
      <c r="AC158" s="350"/>
      <c r="AD158" s="350"/>
      <c r="AE158" s="350"/>
      <c r="AF158" s="350"/>
      <c r="AG158" s="350"/>
      <c r="AH158" s="350"/>
      <c r="AI158" s="350"/>
      <c r="AJ158" s="350"/>
      <c r="AK158" s="350"/>
      <c r="AL158" s="350"/>
      <c r="AM158" s="350"/>
      <c r="AN158" s="350"/>
      <c r="AO158" s="350"/>
      <c r="AP158" s="350"/>
      <c r="AQ158" s="350"/>
      <c r="AR158" s="350"/>
      <c r="AS158" s="350"/>
      <c r="AT158" s="350"/>
      <c r="AU158" s="350"/>
      <c r="AV158" s="350"/>
      <c r="AW158" s="350"/>
      <c r="AX158" s="350"/>
      <c r="AY158" s="350"/>
      <c r="AZ158" s="350"/>
      <c r="BA158" s="350"/>
      <c r="BB158" s="350"/>
      <c r="BC158" s="350"/>
      <c r="BD158" s="350"/>
      <c r="BE158" s="350"/>
      <c r="BF158" s="350"/>
      <c r="BG158" s="350"/>
      <c r="BH158" s="350"/>
      <c r="BI158" s="350"/>
    </row>
    <row r="159" customFormat="false" ht="12.75" hidden="false" customHeight="false" outlineLevel="0" collapsed="false">
      <c r="A159" s="350"/>
      <c r="B159" s="350"/>
      <c r="C159" s="350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0"/>
      <c r="AY159" s="350"/>
      <c r="AZ159" s="350"/>
      <c r="BA159" s="350"/>
      <c r="BB159" s="350"/>
      <c r="BC159" s="350"/>
      <c r="BD159" s="350"/>
      <c r="BE159" s="350"/>
      <c r="BF159" s="350"/>
      <c r="BG159" s="350"/>
      <c r="BH159" s="350"/>
      <c r="BI159" s="350"/>
    </row>
    <row r="160" customFormat="false" ht="12.75" hidden="false" customHeight="false" outlineLevel="0" collapsed="false">
      <c r="A160" s="350"/>
      <c r="B160" s="350"/>
      <c r="C160" s="350"/>
      <c r="D160" s="350"/>
      <c r="E160" s="350"/>
      <c r="F160" s="350"/>
      <c r="G160" s="350"/>
      <c r="H160" s="350"/>
      <c r="I160" s="350"/>
      <c r="J160" s="350"/>
      <c r="K160" s="350"/>
      <c r="L160" s="350"/>
      <c r="M160" s="350"/>
      <c r="N160" s="350"/>
      <c r="O160" s="350"/>
      <c r="P160" s="350"/>
      <c r="Q160" s="350"/>
      <c r="R160" s="350"/>
      <c r="S160" s="350"/>
      <c r="T160" s="350"/>
      <c r="U160" s="350"/>
      <c r="V160" s="350"/>
      <c r="W160" s="350"/>
      <c r="X160" s="350"/>
      <c r="Y160" s="350"/>
      <c r="Z160" s="350"/>
      <c r="AA160" s="350"/>
      <c r="AB160" s="350"/>
      <c r="AC160" s="350"/>
      <c r="AD160" s="350"/>
      <c r="AE160" s="350"/>
      <c r="AF160" s="350"/>
      <c r="AG160" s="350"/>
      <c r="AH160" s="350"/>
      <c r="AI160" s="350"/>
      <c r="AJ160" s="350"/>
      <c r="AK160" s="350"/>
      <c r="AL160" s="350"/>
      <c r="AM160" s="350"/>
      <c r="AN160" s="350"/>
      <c r="AO160" s="350"/>
      <c r="AP160" s="350"/>
      <c r="AQ160" s="350"/>
      <c r="AR160" s="350"/>
      <c r="AS160" s="350"/>
      <c r="AT160" s="350"/>
      <c r="AU160" s="350"/>
      <c r="AV160" s="350"/>
      <c r="AW160" s="350"/>
      <c r="AX160" s="350"/>
      <c r="AY160" s="350"/>
      <c r="AZ160" s="350"/>
      <c r="BA160" s="350"/>
      <c r="BB160" s="350"/>
      <c r="BC160" s="350"/>
      <c r="BD160" s="350"/>
      <c r="BE160" s="350"/>
      <c r="BF160" s="350"/>
      <c r="BG160" s="350"/>
      <c r="BH160" s="350"/>
      <c r="BI160" s="350"/>
    </row>
    <row r="161" customFormat="false" ht="12.75" hidden="false" customHeight="false" outlineLevel="0" collapsed="false">
      <c r="A161" s="350"/>
      <c r="B161" s="350"/>
      <c r="C161" s="350"/>
      <c r="D161" s="350"/>
      <c r="E161" s="350"/>
      <c r="F161" s="350"/>
      <c r="G161" s="350"/>
      <c r="H161" s="350"/>
      <c r="I161" s="350"/>
      <c r="J161" s="350"/>
      <c r="K161" s="350"/>
      <c r="L161" s="350"/>
      <c r="M161" s="350"/>
      <c r="N161" s="350"/>
      <c r="O161" s="350"/>
      <c r="P161" s="350"/>
      <c r="Q161" s="350"/>
      <c r="R161" s="350"/>
      <c r="S161" s="350"/>
      <c r="T161" s="350"/>
      <c r="U161" s="350"/>
      <c r="V161" s="350"/>
      <c r="W161" s="350"/>
      <c r="X161" s="350"/>
      <c r="Y161" s="350"/>
      <c r="Z161" s="350"/>
      <c r="AA161" s="350"/>
      <c r="AB161" s="350"/>
      <c r="AC161" s="350"/>
      <c r="AD161" s="350"/>
      <c r="AE161" s="350"/>
      <c r="AF161" s="350"/>
      <c r="AG161" s="350"/>
      <c r="AH161" s="350"/>
      <c r="AI161" s="350"/>
      <c r="AJ161" s="350"/>
      <c r="AK161" s="350"/>
      <c r="AL161" s="350"/>
      <c r="AM161" s="350"/>
      <c r="AN161" s="350"/>
      <c r="AO161" s="350"/>
      <c r="AP161" s="350"/>
      <c r="AQ161" s="350"/>
      <c r="AR161" s="350"/>
      <c r="AS161" s="350"/>
      <c r="AT161" s="350"/>
      <c r="AU161" s="350"/>
      <c r="AV161" s="350"/>
      <c r="AW161" s="350"/>
      <c r="AX161" s="350"/>
      <c r="AY161" s="350"/>
      <c r="AZ161" s="350"/>
      <c r="BA161" s="350"/>
      <c r="BB161" s="350"/>
      <c r="BC161" s="350"/>
      <c r="BD161" s="350"/>
      <c r="BE161" s="350"/>
      <c r="BF161" s="350"/>
      <c r="BG161" s="350"/>
      <c r="BH161" s="350"/>
      <c r="BI161" s="350"/>
    </row>
    <row r="162" customFormat="false" ht="12.75" hidden="false" customHeight="false" outlineLevel="0" collapsed="false">
      <c r="A162" s="350"/>
      <c r="B162" s="350"/>
      <c r="C162" s="350"/>
      <c r="D162" s="350"/>
      <c r="E162" s="350"/>
      <c r="F162" s="350"/>
      <c r="G162" s="350"/>
      <c r="H162" s="350"/>
      <c r="I162" s="350"/>
      <c r="J162" s="350"/>
      <c r="K162" s="350"/>
      <c r="L162" s="350"/>
      <c r="M162" s="350"/>
      <c r="N162" s="350"/>
      <c r="O162" s="350"/>
      <c r="P162" s="350"/>
      <c r="Q162" s="350"/>
      <c r="R162" s="350"/>
      <c r="S162" s="350"/>
      <c r="T162" s="350"/>
      <c r="U162" s="350"/>
      <c r="V162" s="350"/>
      <c r="W162" s="350"/>
      <c r="X162" s="350"/>
      <c r="Y162" s="350"/>
      <c r="Z162" s="350"/>
      <c r="AA162" s="350"/>
      <c r="AB162" s="350"/>
      <c r="AC162" s="350"/>
      <c r="AD162" s="350"/>
      <c r="AE162" s="350"/>
      <c r="AF162" s="350"/>
      <c r="AG162" s="350"/>
      <c r="AH162" s="350"/>
      <c r="AI162" s="350"/>
      <c r="AJ162" s="350"/>
      <c r="AK162" s="350"/>
      <c r="AL162" s="350"/>
      <c r="AM162" s="350"/>
      <c r="AN162" s="350"/>
      <c r="AO162" s="350"/>
      <c r="AP162" s="350"/>
      <c r="AQ162" s="350"/>
      <c r="AR162" s="350"/>
      <c r="AS162" s="350"/>
      <c r="AT162" s="350"/>
      <c r="AU162" s="350"/>
      <c r="AV162" s="350"/>
      <c r="AW162" s="350"/>
      <c r="AX162" s="350"/>
      <c r="AY162" s="350"/>
      <c r="AZ162" s="350"/>
      <c r="BA162" s="350"/>
      <c r="BB162" s="350"/>
      <c r="BC162" s="350"/>
      <c r="BD162" s="350"/>
      <c r="BE162" s="350"/>
      <c r="BF162" s="350"/>
      <c r="BG162" s="350"/>
      <c r="BH162" s="350"/>
      <c r="BI162" s="350"/>
    </row>
    <row r="163" customFormat="false" ht="12.75" hidden="false" customHeight="false" outlineLevel="0" collapsed="false">
      <c r="A163" s="350"/>
      <c r="B163" s="350"/>
      <c r="C163" s="350"/>
      <c r="D163" s="350"/>
      <c r="E163" s="350"/>
      <c r="F163" s="350"/>
      <c r="G163" s="350"/>
      <c r="H163" s="350"/>
      <c r="I163" s="350"/>
      <c r="J163" s="350"/>
      <c r="K163" s="350"/>
      <c r="L163" s="350"/>
      <c r="M163" s="350"/>
      <c r="N163" s="350"/>
      <c r="O163" s="350"/>
      <c r="P163" s="350"/>
      <c r="Q163" s="350"/>
      <c r="R163" s="350"/>
      <c r="S163" s="350"/>
      <c r="T163" s="350"/>
      <c r="U163" s="350"/>
      <c r="V163" s="350"/>
      <c r="W163" s="350"/>
      <c r="X163" s="350"/>
      <c r="Y163" s="350"/>
      <c r="Z163" s="350"/>
      <c r="AA163" s="350"/>
      <c r="AB163" s="350"/>
      <c r="AC163" s="350"/>
      <c r="AD163" s="350"/>
      <c r="AE163" s="350"/>
      <c r="AF163" s="350"/>
      <c r="AG163" s="350"/>
      <c r="AH163" s="350"/>
      <c r="AI163" s="350"/>
      <c r="AJ163" s="350"/>
      <c r="AK163" s="350"/>
      <c r="AL163" s="350"/>
      <c r="AM163" s="350"/>
      <c r="AN163" s="350"/>
      <c r="AO163" s="350"/>
      <c r="AP163" s="350"/>
      <c r="AQ163" s="350"/>
      <c r="AR163" s="350"/>
      <c r="AS163" s="350"/>
      <c r="AT163" s="350"/>
      <c r="AU163" s="350"/>
      <c r="AV163" s="350"/>
      <c r="AW163" s="350"/>
      <c r="AX163" s="350"/>
      <c r="AY163" s="350"/>
      <c r="AZ163" s="350"/>
      <c r="BA163" s="350"/>
      <c r="BB163" s="350"/>
      <c r="BC163" s="350"/>
      <c r="BD163" s="350"/>
      <c r="BE163" s="350"/>
      <c r="BF163" s="350"/>
      <c r="BG163" s="350"/>
      <c r="BH163" s="350"/>
      <c r="BI163" s="350"/>
    </row>
    <row r="164" customFormat="false" ht="12.75" hidden="false" customHeight="false" outlineLevel="0" collapsed="false">
      <c r="A164" s="350"/>
      <c r="B164" s="350"/>
      <c r="C164" s="350"/>
      <c r="D164" s="350"/>
      <c r="E164" s="350"/>
      <c r="F164" s="350"/>
      <c r="G164" s="350"/>
      <c r="H164" s="350"/>
      <c r="I164" s="350"/>
      <c r="J164" s="350"/>
      <c r="K164" s="350"/>
      <c r="L164" s="350"/>
      <c r="M164" s="350"/>
      <c r="N164" s="350"/>
      <c r="O164" s="350"/>
      <c r="P164" s="350"/>
      <c r="Q164" s="350"/>
      <c r="R164" s="350"/>
      <c r="S164" s="350"/>
      <c r="T164" s="350"/>
      <c r="U164" s="350"/>
      <c r="V164" s="350"/>
      <c r="W164" s="350"/>
      <c r="X164" s="350"/>
      <c r="Y164" s="350"/>
      <c r="Z164" s="350"/>
      <c r="AA164" s="350"/>
      <c r="AB164" s="350"/>
      <c r="AC164" s="350"/>
      <c r="AD164" s="350"/>
      <c r="AE164" s="350"/>
      <c r="AF164" s="350"/>
      <c r="AG164" s="350"/>
      <c r="AH164" s="350"/>
      <c r="AI164" s="350"/>
      <c r="AJ164" s="350"/>
      <c r="AK164" s="350"/>
      <c r="AL164" s="350"/>
      <c r="AM164" s="350"/>
      <c r="AN164" s="350"/>
      <c r="AO164" s="350"/>
      <c r="AP164" s="350"/>
      <c r="AQ164" s="350"/>
      <c r="AR164" s="350"/>
      <c r="AS164" s="350"/>
      <c r="AT164" s="350"/>
      <c r="AU164" s="350"/>
      <c r="AV164" s="350"/>
      <c r="AW164" s="350"/>
      <c r="AX164" s="350"/>
      <c r="AY164" s="350"/>
      <c r="AZ164" s="350"/>
      <c r="BA164" s="350"/>
      <c r="BB164" s="350"/>
      <c r="BC164" s="350"/>
      <c r="BD164" s="350"/>
      <c r="BE164" s="350"/>
      <c r="BF164" s="350"/>
      <c r="BG164" s="350"/>
      <c r="BH164" s="350"/>
      <c r="BI164" s="350"/>
    </row>
    <row r="165" customFormat="false" ht="12.75" hidden="false" customHeight="false" outlineLevel="0" collapsed="false">
      <c r="A165" s="350"/>
      <c r="B165" s="350"/>
      <c r="C165" s="350"/>
      <c r="D165" s="350"/>
      <c r="E165" s="350"/>
      <c r="F165" s="350"/>
      <c r="G165" s="350"/>
      <c r="H165" s="350"/>
      <c r="I165" s="350"/>
      <c r="J165" s="350"/>
      <c r="K165" s="350"/>
      <c r="L165" s="350"/>
      <c r="M165" s="350"/>
      <c r="N165" s="350"/>
      <c r="O165" s="350"/>
      <c r="P165" s="350"/>
      <c r="Q165" s="350"/>
      <c r="R165" s="350"/>
      <c r="S165" s="350"/>
      <c r="T165" s="350"/>
      <c r="U165" s="350"/>
      <c r="V165" s="350"/>
      <c r="W165" s="350"/>
      <c r="X165" s="350"/>
      <c r="Y165" s="350"/>
      <c r="Z165" s="350"/>
      <c r="AA165" s="350"/>
      <c r="AB165" s="350"/>
      <c r="AC165" s="350"/>
      <c r="AD165" s="350"/>
      <c r="AE165" s="350"/>
      <c r="AF165" s="350"/>
      <c r="AG165" s="350"/>
      <c r="AH165" s="350"/>
      <c r="AI165" s="350"/>
      <c r="AJ165" s="350"/>
      <c r="AK165" s="350"/>
      <c r="AL165" s="350"/>
      <c r="AM165" s="350"/>
      <c r="AN165" s="350"/>
      <c r="AO165" s="350"/>
      <c r="AP165" s="350"/>
      <c r="AQ165" s="350"/>
      <c r="AR165" s="350"/>
      <c r="AS165" s="350"/>
      <c r="AT165" s="350"/>
      <c r="AU165" s="350"/>
      <c r="AV165" s="350"/>
      <c r="AW165" s="350"/>
      <c r="AX165" s="350"/>
      <c r="AY165" s="350"/>
      <c r="AZ165" s="350"/>
      <c r="BA165" s="350"/>
      <c r="BB165" s="350"/>
      <c r="BC165" s="350"/>
      <c r="BD165" s="350"/>
      <c r="BE165" s="350"/>
      <c r="BF165" s="350"/>
      <c r="BG165" s="350"/>
      <c r="BH165" s="350"/>
      <c r="BI165" s="350"/>
    </row>
    <row r="166" customFormat="false" ht="12.75" hidden="false" customHeight="false" outlineLevel="0" collapsed="false">
      <c r="A166" s="350"/>
      <c r="B166" s="350"/>
      <c r="C166" s="350"/>
      <c r="D166" s="350"/>
      <c r="E166" s="350"/>
      <c r="F166" s="350"/>
      <c r="G166" s="350"/>
      <c r="H166" s="350"/>
      <c r="I166" s="350"/>
      <c r="J166" s="350"/>
      <c r="K166" s="350"/>
      <c r="L166" s="350"/>
      <c r="M166" s="350"/>
      <c r="N166" s="350"/>
      <c r="O166" s="350"/>
      <c r="P166" s="350"/>
      <c r="Q166" s="350"/>
      <c r="R166" s="350"/>
      <c r="S166" s="350"/>
      <c r="T166" s="350"/>
      <c r="U166" s="350"/>
      <c r="V166" s="350"/>
      <c r="W166" s="350"/>
      <c r="X166" s="350"/>
      <c r="Y166" s="350"/>
      <c r="Z166" s="350"/>
      <c r="AA166" s="350"/>
      <c r="AB166" s="350"/>
      <c r="AC166" s="350"/>
      <c r="AD166" s="350"/>
      <c r="AE166" s="350"/>
      <c r="AF166" s="350"/>
      <c r="AG166" s="350"/>
      <c r="AH166" s="350"/>
      <c r="AI166" s="350"/>
      <c r="AJ166" s="350"/>
      <c r="AK166" s="350"/>
      <c r="AL166" s="350"/>
      <c r="AM166" s="350"/>
      <c r="AN166" s="350"/>
      <c r="AO166" s="350"/>
      <c r="AP166" s="350"/>
      <c r="AQ166" s="350"/>
      <c r="AR166" s="350"/>
      <c r="AS166" s="350"/>
      <c r="AT166" s="350"/>
      <c r="AU166" s="350"/>
      <c r="AV166" s="350"/>
      <c r="AW166" s="350"/>
      <c r="AX166" s="350"/>
      <c r="AY166" s="350"/>
      <c r="AZ166" s="350"/>
      <c r="BA166" s="350"/>
      <c r="BB166" s="350"/>
      <c r="BC166" s="350"/>
      <c r="BD166" s="350"/>
      <c r="BE166" s="350"/>
      <c r="BF166" s="350"/>
      <c r="BG166" s="350"/>
      <c r="BH166" s="350"/>
      <c r="BI166" s="350"/>
    </row>
    <row r="167" customFormat="false" ht="12.75" hidden="false" customHeight="false" outlineLevel="0" collapsed="false">
      <c r="A167" s="350"/>
      <c r="B167" s="350"/>
      <c r="C167" s="350"/>
      <c r="D167" s="350"/>
      <c r="E167" s="350"/>
      <c r="F167" s="350"/>
      <c r="G167" s="350"/>
      <c r="H167" s="350"/>
      <c r="I167" s="350"/>
      <c r="J167" s="350"/>
      <c r="K167" s="350"/>
      <c r="L167" s="350"/>
      <c r="M167" s="350"/>
      <c r="N167" s="350"/>
      <c r="O167" s="350"/>
      <c r="P167" s="350"/>
      <c r="Q167" s="350"/>
      <c r="R167" s="350"/>
      <c r="S167" s="350"/>
      <c r="T167" s="350"/>
      <c r="U167" s="350"/>
      <c r="V167" s="350"/>
      <c r="W167" s="350"/>
      <c r="X167" s="350"/>
      <c r="Y167" s="350"/>
      <c r="Z167" s="350"/>
      <c r="AA167" s="350"/>
      <c r="AB167" s="350"/>
      <c r="AC167" s="350"/>
      <c r="AD167" s="350"/>
      <c r="AE167" s="350"/>
      <c r="AF167" s="350"/>
      <c r="AG167" s="350"/>
      <c r="AH167" s="350"/>
      <c r="AI167" s="350"/>
      <c r="AJ167" s="350"/>
      <c r="AK167" s="350"/>
      <c r="AL167" s="350"/>
      <c r="AM167" s="350"/>
      <c r="AN167" s="350"/>
      <c r="AO167" s="350"/>
      <c r="AP167" s="350"/>
      <c r="AQ167" s="350"/>
      <c r="AR167" s="350"/>
      <c r="AS167" s="350"/>
      <c r="AT167" s="350"/>
      <c r="AU167" s="350"/>
      <c r="AV167" s="350"/>
      <c r="AW167" s="350"/>
      <c r="AX167" s="350"/>
      <c r="AY167" s="350"/>
      <c r="AZ167" s="350"/>
      <c r="BA167" s="350"/>
      <c r="BB167" s="350"/>
      <c r="BC167" s="350"/>
      <c r="BD167" s="350"/>
      <c r="BE167" s="350"/>
      <c r="BF167" s="350"/>
      <c r="BG167" s="350"/>
      <c r="BH167" s="350"/>
      <c r="BI167" s="350"/>
    </row>
    <row r="168" customFormat="false" ht="12.75" hidden="false" customHeight="false" outlineLevel="0" collapsed="false">
      <c r="A168" s="350"/>
      <c r="B168" s="350"/>
      <c r="C168" s="350"/>
      <c r="D168" s="350"/>
      <c r="E168" s="350"/>
      <c r="F168" s="350"/>
      <c r="G168" s="350"/>
      <c r="H168" s="350"/>
      <c r="I168" s="350"/>
      <c r="J168" s="350"/>
      <c r="K168" s="350"/>
      <c r="L168" s="350"/>
      <c r="M168" s="350"/>
      <c r="N168" s="350"/>
      <c r="O168" s="350"/>
      <c r="P168" s="350"/>
      <c r="Q168" s="350"/>
      <c r="R168" s="350"/>
      <c r="S168" s="350"/>
      <c r="T168" s="350"/>
      <c r="U168" s="350"/>
      <c r="V168" s="350"/>
      <c r="W168" s="350"/>
      <c r="X168" s="350"/>
      <c r="Y168" s="350"/>
      <c r="Z168" s="350"/>
      <c r="AA168" s="350"/>
      <c r="AB168" s="350"/>
      <c r="AC168" s="350"/>
      <c r="AD168" s="350"/>
      <c r="AE168" s="350"/>
      <c r="AF168" s="350"/>
      <c r="AG168" s="350"/>
      <c r="AH168" s="350"/>
      <c r="AI168" s="350"/>
      <c r="AJ168" s="350"/>
      <c r="AK168" s="350"/>
      <c r="AL168" s="350"/>
      <c r="AM168" s="350"/>
      <c r="AN168" s="350"/>
      <c r="AO168" s="350"/>
      <c r="AP168" s="350"/>
      <c r="AQ168" s="350"/>
      <c r="AR168" s="350"/>
      <c r="AS168" s="350"/>
      <c r="AT168" s="350"/>
      <c r="AU168" s="350"/>
      <c r="AV168" s="350"/>
      <c r="AW168" s="350"/>
      <c r="AX168" s="350"/>
      <c r="AY168" s="350"/>
      <c r="AZ168" s="350"/>
      <c r="BA168" s="350"/>
      <c r="BB168" s="350"/>
      <c r="BC168" s="350"/>
      <c r="BD168" s="350"/>
      <c r="BE168" s="350"/>
      <c r="BF168" s="350"/>
      <c r="BG168" s="350"/>
      <c r="BH168" s="350"/>
      <c r="BI168" s="350"/>
    </row>
    <row r="169" customFormat="false" ht="12.75" hidden="false" customHeight="false" outlineLevel="0" collapsed="false">
      <c r="A169" s="350"/>
      <c r="B169" s="350"/>
      <c r="C169" s="350"/>
      <c r="D169" s="350"/>
      <c r="E169" s="350"/>
      <c r="F169" s="350"/>
      <c r="G169" s="350"/>
      <c r="H169" s="350"/>
      <c r="I169" s="350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  <c r="AJ169" s="350"/>
      <c r="AK169" s="350"/>
      <c r="AL169" s="350"/>
      <c r="AM169" s="350"/>
      <c r="AN169" s="350"/>
      <c r="AO169" s="350"/>
      <c r="AP169" s="350"/>
      <c r="AQ169" s="350"/>
      <c r="AR169" s="350"/>
      <c r="AS169" s="350"/>
      <c r="AT169" s="350"/>
      <c r="AU169" s="350"/>
      <c r="AV169" s="350"/>
      <c r="AW169" s="350"/>
      <c r="AX169" s="350"/>
      <c r="AY169" s="350"/>
      <c r="AZ169" s="350"/>
      <c r="BA169" s="350"/>
      <c r="BB169" s="350"/>
      <c r="BC169" s="350"/>
      <c r="BD169" s="350"/>
      <c r="BE169" s="350"/>
      <c r="BF169" s="350"/>
      <c r="BG169" s="350"/>
      <c r="BH169" s="350"/>
      <c r="BI169" s="350"/>
    </row>
    <row r="170" customFormat="false" ht="12.75" hidden="false" customHeight="false" outlineLevel="0" collapsed="false">
      <c r="A170" s="350"/>
      <c r="B170" s="350"/>
      <c r="C170" s="350"/>
      <c r="D170" s="350"/>
      <c r="E170" s="350"/>
      <c r="F170" s="350"/>
      <c r="G170" s="350"/>
      <c r="H170" s="350"/>
      <c r="I170" s="350"/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  <c r="AJ170" s="350"/>
      <c r="AK170" s="350"/>
      <c r="AL170" s="350"/>
      <c r="AM170" s="350"/>
      <c r="AN170" s="350"/>
      <c r="AO170" s="350"/>
      <c r="AP170" s="350"/>
      <c r="AQ170" s="350"/>
      <c r="AR170" s="350"/>
      <c r="AS170" s="350"/>
      <c r="AT170" s="350"/>
      <c r="AU170" s="350"/>
      <c r="AV170" s="350"/>
      <c r="AW170" s="350"/>
      <c r="AX170" s="350"/>
      <c r="AY170" s="350"/>
      <c r="AZ170" s="350"/>
      <c r="BA170" s="350"/>
      <c r="BB170" s="350"/>
      <c r="BC170" s="350"/>
      <c r="BD170" s="350"/>
      <c r="BE170" s="350"/>
      <c r="BF170" s="350"/>
      <c r="BG170" s="350"/>
      <c r="BH170" s="350"/>
      <c r="BI170" s="350"/>
    </row>
    <row r="171" customFormat="false" ht="12.75" hidden="false" customHeight="false" outlineLevel="0" collapsed="false">
      <c r="A171" s="350"/>
      <c r="B171" s="350"/>
      <c r="C171" s="350"/>
      <c r="D171" s="350"/>
      <c r="E171" s="350"/>
      <c r="F171" s="350"/>
      <c r="G171" s="350"/>
      <c r="H171" s="350"/>
      <c r="I171" s="350"/>
      <c r="J171" s="350"/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AJ171" s="350"/>
      <c r="AK171" s="350"/>
      <c r="AL171" s="350"/>
      <c r="AM171" s="350"/>
      <c r="AN171" s="350"/>
      <c r="AO171" s="350"/>
      <c r="AP171" s="350"/>
      <c r="AQ171" s="350"/>
      <c r="AR171" s="350"/>
      <c r="AS171" s="350"/>
      <c r="AT171" s="350"/>
      <c r="AU171" s="350"/>
      <c r="AV171" s="350"/>
      <c r="AW171" s="350"/>
      <c r="AX171" s="350"/>
      <c r="AY171" s="350"/>
      <c r="AZ171" s="350"/>
      <c r="BA171" s="350"/>
      <c r="BB171" s="350"/>
      <c r="BC171" s="350"/>
      <c r="BD171" s="350"/>
      <c r="BE171" s="350"/>
      <c r="BF171" s="350"/>
      <c r="BG171" s="350"/>
      <c r="BH171" s="350"/>
      <c r="BI171" s="350"/>
    </row>
    <row r="172" customFormat="false" ht="12.75" hidden="false" customHeight="false" outlineLevel="0" collapsed="false">
      <c r="A172" s="350"/>
      <c r="B172" s="350"/>
      <c r="C172" s="350"/>
      <c r="D172" s="350"/>
      <c r="E172" s="350"/>
      <c r="F172" s="350"/>
      <c r="G172" s="350"/>
      <c r="H172" s="350"/>
      <c r="I172" s="350"/>
      <c r="J172" s="350"/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AJ172" s="350"/>
      <c r="AK172" s="350"/>
      <c r="AL172" s="350"/>
      <c r="AM172" s="350"/>
      <c r="AN172" s="350"/>
      <c r="AO172" s="350"/>
      <c r="AP172" s="350"/>
      <c r="AQ172" s="350"/>
      <c r="AR172" s="350"/>
      <c r="AS172" s="350"/>
      <c r="AT172" s="350"/>
      <c r="AU172" s="350"/>
      <c r="AV172" s="350"/>
      <c r="AW172" s="350"/>
      <c r="AX172" s="350"/>
      <c r="AY172" s="350"/>
      <c r="AZ172" s="350"/>
      <c r="BA172" s="350"/>
      <c r="BB172" s="350"/>
      <c r="BC172" s="350"/>
      <c r="BD172" s="350"/>
      <c r="BE172" s="350"/>
      <c r="BF172" s="350"/>
      <c r="BG172" s="350"/>
      <c r="BH172" s="350"/>
      <c r="BI172" s="350"/>
    </row>
    <row r="173" customFormat="false" ht="12.75" hidden="false" customHeight="false" outlineLevel="0" collapsed="false">
      <c r="A173" s="350"/>
      <c r="B173" s="350"/>
      <c r="C173" s="350"/>
      <c r="D173" s="350"/>
      <c r="E173" s="350"/>
      <c r="F173" s="350"/>
      <c r="G173" s="350"/>
      <c r="H173" s="350"/>
      <c r="I173" s="350"/>
      <c r="J173" s="350"/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AJ173" s="350"/>
      <c r="AK173" s="350"/>
      <c r="AL173" s="350"/>
      <c r="AM173" s="350"/>
      <c r="AN173" s="350"/>
      <c r="AO173" s="350"/>
      <c r="AP173" s="350"/>
      <c r="AQ173" s="350"/>
      <c r="AR173" s="350"/>
      <c r="AS173" s="350"/>
      <c r="AT173" s="350"/>
      <c r="AU173" s="350"/>
      <c r="AV173" s="350"/>
      <c r="AW173" s="350"/>
      <c r="AX173" s="350"/>
      <c r="AY173" s="350"/>
      <c r="AZ173" s="350"/>
      <c r="BA173" s="350"/>
      <c r="BB173" s="350"/>
      <c r="BC173" s="350"/>
      <c r="BD173" s="350"/>
      <c r="BE173" s="350"/>
      <c r="BF173" s="350"/>
      <c r="BG173" s="350"/>
      <c r="BH173" s="350"/>
      <c r="BI173" s="350"/>
    </row>
    <row r="174" customFormat="false" ht="12.75" hidden="false" customHeight="false" outlineLevel="0" collapsed="false">
      <c r="A174" s="350"/>
      <c r="B174" s="350"/>
      <c r="C174" s="350"/>
      <c r="D174" s="350"/>
      <c r="E174" s="350"/>
      <c r="F174" s="350"/>
      <c r="G174" s="350"/>
      <c r="H174" s="350"/>
      <c r="I174" s="350"/>
      <c r="J174" s="350"/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AJ174" s="350"/>
      <c r="AK174" s="350"/>
      <c r="AL174" s="350"/>
      <c r="AM174" s="350"/>
      <c r="AN174" s="350"/>
      <c r="AO174" s="350"/>
      <c r="AP174" s="350"/>
      <c r="AQ174" s="350"/>
      <c r="AR174" s="350"/>
      <c r="AS174" s="350"/>
      <c r="AT174" s="350"/>
      <c r="AU174" s="350"/>
      <c r="AV174" s="350"/>
      <c r="AW174" s="350"/>
      <c r="AX174" s="350"/>
      <c r="AY174" s="350"/>
      <c r="AZ174" s="350"/>
      <c r="BA174" s="350"/>
      <c r="BB174" s="350"/>
      <c r="BC174" s="350"/>
      <c r="BD174" s="350"/>
      <c r="BE174" s="350"/>
      <c r="BF174" s="350"/>
      <c r="BG174" s="350"/>
      <c r="BH174" s="350"/>
      <c r="BI174" s="350"/>
    </row>
    <row r="175" customFormat="false" ht="12.75" hidden="false" customHeight="false" outlineLevel="0" collapsed="false">
      <c r="A175" s="350"/>
      <c r="B175" s="350"/>
      <c r="C175" s="350"/>
      <c r="D175" s="350"/>
      <c r="E175" s="350"/>
      <c r="F175" s="350"/>
      <c r="G175" s="350"/>
      <c r="H175" s="350"/>
      <c r="I175" s="350"/>
      <c r="J175" s="350"/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AJ175" s="350"/>
      <c r="AK175" s="350"/>
      <c r="AL175" s="350"/>
      <c r="AM175" s="350"/>
      <c r="AN175" s="350"/>
      <c r="AO175" s="350"/>
      <c r="AP175" s="350"/>
      <c r="AQ175" s="350"/>
      <c r="AR175" s="350"/>
      <c r="AS175" s="350"/>
      <c r="AT175" s="350"/>
      <c r="AU175" s="350"/>
      <c r="AV175" s="350"/>
      <c r="AW175" s="350"/>
      <c r="AX175" s="350"/>
      <c r="AY175" s="350"/>
      <c r="AZ175" s="350"/>
      <c r="BA175" s="350"/>
      <c r="BB175" s="350"/>
      <c r="BC175" s="350"/>
      <c r="BD175" s="350"/>
      <c r="BE175" s="350"/>
      <c r="BF175" s="350"/>
      <c r="BG175" s="350"/>
      <c r="BH175" s="350"/>
      <c r="BI175" s="350"/>
    </row>
    <row r="176" customFormat="false" ht="12.75" hidden="false" customHeight="false" outlineLevel="0" collapsed="false">
      <c r="A176" s="350"/>
      <c r="B176" s="350"/>
      <c r="C176" s="350"/>
      <c r="D176" s="350"/>
      <c r="E176" s="350"/>
      <c r="F176" s="350"/>
      <c r="G176" s="350"/>
      <c r="H176" s="350"/>
      <c r="I176" s="350"/>
      <c r="J176" s="350"/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AJ176" s="350"/>
      <c r="AK176" s="350"/>
      <c r="AL176" s="350"/>
      <c r="AM176" s="350"/>
      <c r="AN176" s="350"/>
      <c r="AO176" s="350"/>
      <c r="AP176" s="350"/>
      <c r="AQ176" s="350"/>
      <c r="AR176" s="350"/>
      <c r="AS176" s="350"/>
      <c r="AT176" s="350"/>
      <c r="AU176" s="350"/>
      <c r="AV176" s="350"/>
      <c r="AW176" s="350"/>
      <c r="AX176" s="350"/>
      <c r="AY176" s="350"/>
      <c r="AZ176" s="350"/>
      <c r="BA176" s="350"/>
      <c r="BB176" s="350"/>
      <c r="BC176" s="350"/>
      <c r="BD176" s="350"/>
      <c r="BE176" s="350"/>
      <c r="BF176" s="350"/>
      <c r="BG176" s="350"/>
      <c r="BH176" s="350"/>
      <c r="BI176" s="350"/>
    </row>
    <row r="177" customFormat="false" ht="12.75" hidden="false" customHeight="false" outlineLevel="0" collapsed="false">
      <c r="A177" s="350"/>
      <c r="B177" s="350"/>
      <c r="C177" s="350"/>
      <c r="D177" s="350"/>
      <c r="E177" s="350"/>
      <c r="F177" s="350"/>
      <c r="G177" s="350"/>
      <c r="H177" s="350"/>
      <c r="I177" s="350"/>
      <c r="J177" s="350"/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AJ177" s="350"/>
      <c r="AK177" s="350"/>
      <c r="AL177" s="350"/>
      <c r="AM177" s="350"/>
      <c r="AN177" s="350"/>
      <c r="AO177" s="350"/>
      <c r="AP177" s="350"/>
      <c r="AQ177" s="350"/>
      <c r="AR177" s="350"/>
      <c r="AS177" s="350"/>
      <c r="AT177" s="350"/>
      <c r="AU177" s="350"/>
      <c r="AV177" s="350"/>
      <c r="AW177" s="350"/>
      <c r="AX177" s="350"/>
      <c r="AY177" s="350"/>
      <c r="AZ177" s="350"/>
      <c r="BA177" s="350"/>
      <c r="BB177" s="350"/>
      <c r="BC177" s="350"/>
      <c r="BD177" s="350"/>
      <c r="BE177" s="350"/>
      <c r="BF177" s="350"/>
      <c r="BG177" s="350"/>
      <c r="BH177" s="350"/>
      <c r="BI177" s="350"/>
    </row>
    <row r="178" customFormat="false" ht="12.75" hidden="false" customHeight="false" outlineLevel="0" collapsed="false">
      <c r="A178" s="350"/>
      <c r="B178" s="350"/>
      <c r="C178" s="350"/>
      <c r="D178" s="350"/>
      <c r="E178" s="350"/>
      <c r="F178" s="350"/>
      <c r="G178" s="350"/>
      <c r="H178" s="350"/>
      <c r="I178" s="350"/>
      <c r="J178" s="350"/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AJ178" s="350"/>
      <c r="AK178" s="350"/>
      <c r="AL178" s="350"/>
      <c r="AM178" s="350"/>
      <c r="AN178" s="350"/>
      <c r="AO178" s="350"/>
      <c r="AP178" s="350"/>
      <c r="AQ178" s="350"/>
      <c r="AR178" s="350"/>
      <c r="AS178" s="350"/>
      <c r="AT178" s="350"/>
      <c r="AU178" s="350"/>
      <c r="AV178" s="350"/>
      <c r="AW178" s="350"/>
      <c r="AX178" s="350"/>
      <c r="AY178" s="350"/>
      <c r="AZ178" s="350"/>
      <c r="BA178" s="350"/>
      <c r="BB178" s="350"/>
      <c r="BC178" s="350"/>
      <c r="BD178" s="350"/>
      <c r="BE178" s="350"/>
      <c r="BF178" s="350"/>
      <c r="BG178" s="350"/>
      <c r="BH178" s="350"/>
      <c r="BI178" s="350"/>
    </row>
    <row r="179" customFormat="false" ht="12.75" hidden="false" customHeight="false" outlineLevel="0" collapsed="false">
      <c r="A179" s="350"/>
      <c r="B179" s="350"/>
      <c r="C179" s="350"/>
      <c r="D179" s="350"/>
      <c r="E179" s="350"/>
      <c r="F179" s="350"/>
      <c r="G179" s="350"/>
      <c r="H179" s="350"/>
      <c r="I179" s="350"/>
      <c r="J179" s="350"/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AJ179" s="350"/>
      <c r="AK179" s="350"/>
      <c r="AL179" s="350"/>
      <c r="AM179" s="350"/>
      <c r="AN179" s="350"/>
      <c r="AO179" s="350"/>
      <c r="AP179" s="350"/>
      <c r="AQ179" s="350"/>
      <c r="AR179" s="350"/>
      <c r="AS179" s="350"/>
      <c r="AT179" s="350"/>
      <c r="AU179" s="350"/>
      <c r="AV179" s="350"/>
      <c r="AW179" s="350"/>
      <c r="AX179" s="350"/>
      <c r="AY179" s="350"/>
      <c r="AZ179" s="350"/>
      <c r="BA179" s="350"/>
      <c r="BB179" s="350"/>
      <c r="BC179" s="350"/>
      <c r="BD179" s="350"/>
      <c r="BE179" s="350"/>
      <c r="BF179" s="350"/>
      <c r="BG179" s="350"/>
      <c r="BH179" s="350"/>
      <c r="BI179" s="350"/>
    </row>
    <row r="180" customFormat="false" ht="12.75" hidden="false" customHeight="false" outlineLevel="0" collapsed="false">
      <c r="A180" s="350"/>
      <c r="B180" s="350"/>
      <c r="C180" s="350"/>
      <c r="D180" s="350"/>
      <c r="E180" s="350"/>
      <c r="F180" s="350"/>
      <c r="G180" s="350"/>
      <c r="H180" s="350"/>
      <c r="I180" s="350"/>
      <c r="J180" s="350"/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AJ180" s="350"/>
      <c r="AK180" s="350"/>
      <c r="AL180" s="350"/>
      <c r="AM180" s="350"/>
      <c r="AN180" s="350"/>
      <c r="AO180" s="350"/>
      <c r="AP180" s="350"/>
      <c r="AQ180" s="350"/>
      <c r="AR180" s="350"/>
      <c r="AS180" s="350"/>
      <c r="AT180" s="350"/>
      <c r="AU180" s="350"/>
      <c r="AV180" s="350"/>
      <c r="AW180" s="350"/>
      <c r="AX180" s="350"/>
      <c r="AY180" s="350"/>
      <c r="AZ180" s="350"/>
      <c r="BA180" s="350"/>
      <c r="BB180" s="350"/>
      <c r="BC180" s="350"/>
      <c r="BD180" s="350"/>
      <c r="BE180" s="350"/>
      <c r="BF180" s="350"/>
      <c r="BG180" s="350"/>
      <c r="BH180" s="350"/>
      <c r="BI180" s="350"/>
    </row>
    <row r="181" customFormat="false" ht="12.75" hidden="false" customHeight="false" outlineLevel="0" collapsed="false">
      <c r="A181" s="350"/>
      <c r="B181" s="350"/>
      <c r="C181" s="350"/>
      <c r="D181" s="350"/>
      <c r="E181" s="350"/>
      <c r="F181" s="350"/>
      <c r="G181" s="350"/>
      <c r="H181" s="350"/>
      <c r="I181" s="350"/>
      <c r="J181" s="350"/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AJ181" s="350"/>
      <c r="AK181" s="350"/>
      <c r="AL181" s="350"/>
      <c r="AM181" s="350"/>
      <c r="AN181" s="350"/>
      <c r="AO181" s="350"/>
      <c r="AP181" s="350"/>
      <c r="AQ181" s="350"/>
      <c r="AR181" s="350"/>
      <c r="AS181" s="350"/>
      <c r="AT181" s="350"/>
      <c r="AU181" s="350"/>
      <c r="AV181" s="350"/>
      <c r="AW181" s="350"/>
      <c r="AX181" s="350"/>
      <c r="AY181" s="350"/>
      <c r="AZ181" s="350"/>
      <c r="BA181" s="350"/>
      <c r="BB181" s="350"/>
      <c r="BC181" s="350"/>
      <c r="BD181" s="350"/>
      <c r="BE181" s="350"/>
      <c r="BF181" s="350"/>
      <c r="BG181" s="350"/>
      <c r="BH181" s="350"/>
      <c r="BI181" s="350"/>
    </row>
    <row r="182" customFormat="false" ht="12.75" hidden="false" customHeight="false" outlineLevel="0" collapsed="false">
      <c r="A182" s="350"/>
      <c r="B182" s="350"/>
      <c r="C182" s="350"/>
      <c r="D182" s="350"/>
      <c r="E182" s="350"/>
      <c r="F182" s="350"/>
      <c r="G182" s="350"/>
      <c r="H182" s="350"/>
      <c r="I182" s="350"/>
      <c r="J182" s="350"/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AJ182" s="350"/>
      <c r="AK182" s="350"/>
      <c r="AL182" s="350"/>
      <c r="AM182" s="350"/>
      <c r="AN182" s="350"/>
      <c r="AO182" s="350"/>
      <c r="AP182" s="350"/>
      <c r="AQ182" s="350"/>
      <c r="AR182" s="350"/>
      <c r="AS182" s="350"/>
      <c r="AT182" s="350"/>
      <c r="AU182" s="350"/>
      <c r="AV182" s="350"/>
      <c r="AW182" s="350"/>
      <c r="AX182" s="350"/>
      <c r="AY182" s="350"/>
      <c r="AZ182" s="350"/>
      <c r="BA182" s="350"/>
      <c r="BB182" s="350"/>
      <c r="BC182" s="350"/>
      <c r="BD182" s="350"/>
      <c r="BE182" s="350"/>
      <c r="BF182" s="350"/>
      <c r="BG182" s="350"/>
      <c r="BH182" s="350"/>
      <c r="BI182" s="350"/>
    </row>
    <row r="183" customFormat="false" ht="12.75" hidden="false" customHeight="false" outlineLevel="0" collapsed="false">
      <c r="A183" s="350"/>
      <c r="B183" s="350"/>
      <c r="C183" s="350"/>
      <c r="D183" s="350"/>
      <c r="E183" s="350"/>
      <c r="F183" s="350"/>
      <c r="G183" s="350"/>
      <c r="H183" s="350"/>
      <c r="I183" s="350"/>
      <c r="J183" s="350"/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AJ183" s="350"/>
      <c r="AK183" s="350"/>
      <c r="AL183" s="350"/>
      <c r="AM183" s="350"/>
      <c r="AN183" s="350"/>
      <c r="AO183" s="350"/>
      <c r="AP183" s="350"/>
      <c r="AQ183" s="350"/>
      <c r="AR183" s="350"/>
      <c r="AS183" s="350"/>
      <c r="AT183" s="350"/>
      <c r="AU183" s="350"/>
      <c r="AV183" s="350"/>
      <c r="AW183" s="350"/>
      <c r="AX183" s="350"/>
      <c r="AY183" s="350"/>
      <c r="AZ183" s="350"/>
      <c r="BA183" s="350"/>
      <c r="BB183" s="350"/>
      <c r="BC183" s="350"/>
      <c r="BD183" s="350"/>
      <c r="BE183" s="350"/>
      <c r="BF183" s="350"/>
      <c r="BG183" s="350"/>
      <c r="BH183" s="350"/>
      <c r="BI183" s="350"/>
    </row>
    <row r="184" customFormat="false" ht="12.75" hidden="false" customHeight="false" outlineLevel="0" collapsed="false">
      <c r="A184" s="350"/>
      <c r="B184" s="350"/>
      <c r="C184" s="350"/>
      <c r="D184" s="350"/>
      <c r="E184" s="350"/>
      <c r="F184" s="350"/>
      <c r="G184" s="350"/>
      <c r="H184" s="350"/>
      <c r="I184" s="350"/>
      <c r="J184" s="350"/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AJ184" s="350"/>
      <c r="AK184" s="350"/>
      <c r="AL184" s="350"/>
      <c r="AM184" s="350"/>
      <c r="AN184" s="350"/>
      <c r="AO184" s="350"/>
      <c r="AP184" s="350"/>
      <c r="AQ184" s="350"/>
      <c r="AR184" s="350"/>
      <c r="AS184" s="350"/>
      <c r="AT184" s="350"/>
      <c r="AU184" s="350"/>
      <c r="AV184" s="350"/>
      <c r="AW184" s="350"/>
      <c r="AX184" s="350"/>
      <c r="AY184" s="350"/>
      <c r="AZ184" s="350"/>
      <c r="BA184" s="350"/>
      <c r="BB184" s="350"/>
      <c r="BC184" s="350"/>
      <c r="BD184" s="350"/>
      <c r="BE184" s="350"/>
      <c r="BF184" s="350"/>
      <c r="BG184" s="350"/>
      <c r="BH184" s="350"/>
      <c r="BI184" s="350"/>
    </row>
    <row r="185" customFormat="false" ht="12.75" hidden="false" customHeight="false" outlineLevel="0" collapsed="false">
      <c r="A185" s="350"/>
      <c r="B185" s="350"/>
      <c r="C185" s="350"/>
      <c r="D185" s="350"/>
      <c r="E185" s="350"/>
      <c r="F185" s="350"/>
      <c r="G185" s="350"/>
      <c r="H185" s="350"/>
      <c r="I185" s="350"/>
      <c r="J185" s="350"/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AJ185" s="350"/>
      <c r="AK185" s="350"/>
      <c r="AL185" s="350"/>
      <c r="AM185" s="350"/>
      <c r="AN185" s="350"/>
      <c r="AO185" s="350"/>
      <c r="AP185" s="350"/>
      <c r="AQ185" s="350"/>
      <c r="AR185" s="350"/>
      <c r="AS185" s="350"/>
      <c r="AT185" s="350"/>
      <c r="AU185" s="350"/>
      <c r="AV185" s="350"/>
      <c r="AW185" s="350"/>
      <c r="AX185" s="350"/>
      <c r="AY185" s="350"/>
      <c r="AZ185" s="350"/>
      <c r="BA185" s="350"/>
      <c r="BB185" s="350"/>
      <c r="BC185" s="350"/>
      <c r="BD185" s="350"/>
      <c r="BE185" s="350"/>
      <c r="BF185" s="350"/>
      <c r="BG185" s="350"/>
      <c r="BH185" s="350"/>
      <c r="BI185" s="350"/>
    </row>
    <row r="186" customFormat="false" ht="12.75" hidden="false" customHeight="false" outlineLevel="0" collapsed="false">
      <c r="A186" s="350"/>
      <c r="B186" s="350"/>
      <c r="C186" s="350"/>
      <c r="D186" s="350"/>
      <c r="E186" s="350"/>
      <c r="F186" s="350"/>
      <c r="G186" s="350"/>
      <c r="H186" s="350"/>
      <c r="I186" s="350"/>
      <c r="J186" s="350"/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AJ186" s="350"/>
      <c r="AK186" s="350"/>
      <c r="AL186" s="350"/>
      <c r="AM186" s="350"/>
      <c r="AN186" s="350"/>
      <c r="AO186" s="350"/>
      <c r="AP186" s="350"/>
      <c r="AQ186" s="350"/>
      <c r="AR186" s="350"/>
      <c r="AS186" s="350"/>
      <c r="AT186" s="350"/>
      <c r="AU186" s="350"/>
      <c r="AV186" s="350"/>
      <c r="AW186" s="350"/>
      <c r="AX186" s="350"/>
      <c r="AY186" s="350"/>
      <c r="AZ186" s="350"/>
      <c r="BA186" s="350"/>
      <c r="BB186" s="350"/>
      <c r="BC186" s="350"/>
      <c r="BD186" s="350"/>
      <c r="BE186" s="350"/>
      <c r="BF186" s="350"/>
      <c r="BG186" s="350"/>
      <c r="BH186" s="350"/>
      <c r="BI186" s="350"/>
    </row>
    <row r="187" customFormat="false" ht="12.75" hidden="false" customHeight="false" outlineLevel="0" collapsed="false">
      <c r="A187" s="350"/>
      <c r="B187" s="350"/>
      <c r="C187" s="350"/>
      <c r="D187" s="350"/>
      <c r="E187" s="350"/>
      <c r="F187" s="350"/>
      <c r="G187" s="350"/>
      <c r="H187" s="350"/>
      <c r="I187" s="350"/>
      <c r="J187" s="350"/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AJ187" s="350"/>
      <c r="AK187" s="350"/>
      <c r="AL187" s="350"/>
      <c r="AM187" s="350"/>
      <c r="AN187" s="350"/>
      <c r="AO187" s="350"/>
      <c r="AP187" s="350"/>
      <c r="AQ187" s="350"/>
      <c r="AR187" s="350"/>
      <c r="AS187" s="350"/>
      <c r="AT187" s="350"/>
      <c r="AU187" s="350"/>
      <c r="AV187" s="350"/>
      <c r="AW187" s="350"/>
      <c r="AX187" s="350"/>
      <c r="AY187" s="350"/>
      <c r="AZ187" s="350"/>
      <c r="BA187" s="350"/>
      <c r="BB187" s="350"/>
      <c r="BC187" s="350"/>
      <c r="BD187" s="350"/>
      <c r="BE187" s="350"/>
      <c r="BF187" s="350"/>
      <c r="BG187" s="350"/>
      <c r="BH187" s="350"/>
      <c r="BI187" s="350"/>
    </row>
    <row r="188" customFormat="false" ht="12.75" hidden="false" customHeight="false" outlineLevel="0" collapsed="false">
      <c r="A188" s="350"/>
      <c r="B188" s="350"/>
      <c r="C188" s="350"/>
      <c r="D188" s="350"/>
      <c r="E188" s="350"/>
      <c r="F188" s="350"/>
      <c r="G188" s="350"/>
      <c r="H188" s="350"/>
      <c r="I188" s="350"/>
      <c r="J188" s="350"/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AJ188" s="350"/>
      <c r="AK188" s="350"/>
      <c r="AL188" s="350"/>
      <c r="AM188" s="350"/>
      <c r="AN188" s="350"/>
      <c r="AO188" s="350"/>
      <c r="AP188" s="350"/>
      <c r="AQ188" s="350"/>
      <c r="AR188" s="350"/>
      <c r="AS188" s="350"/>
      <c r="AT188" s="350"/>
      <c r="AU188" s="350"/>
      <c r="AV188" s="350"/>
      <c r="AW188" s="350"/>
      <c r="AX188" s="350"/>
      <c r="AY188" s="350"/>
      <c r="AZ188" s="350"/>
      <c r="BA188" s="350"/>
      <c r="BB188" s="350"/>
      <c r="BC188" s="350"/>
      <c r="BD188" s="350"/>
      <c r="BE188" s="350"/>
      <c r="BF188" s="350"/>
      <c r="BG188" s="350"/>
      <c r="BH188" s="350"/>
      <c r="BI188" s="350"/>
    </row>
    <row r="189" customFormat="false" ht="12.75" hidden="false" customHeight="false" outlineLevel="0" collapsed="false">
      <c r="A189" s="350"/>
      <c r="B189" s="350"/>
      <c r="C189" s="350"/>
      <c r="D189" s="350"/>
      <c r="E189" s="350"/>
      <c r="F189" s="350"/>
      <c r="G189" s="350"/>
      <c r="H189" s="350"/>
      <c r="I189" s="350"/>
      <c r="J189" s="350"/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AJ189" s="350"/>
      <c r="AK189" s="350"/>
      <c r="AL189" s="350"/>
      <c r="AM189" s="350"/>
      <c r="AN189" s="350"/>
      <c r="AO189" s="350"/>
      <c r="AP189" s="350"/>
      <c r="AQ189" s="350"/>
      <c r="AR189" s="350"/>
      <c r="AS189" s="350"/>
      <c r="AT189" s="350"/>
      <c r="AU189" s="350"/>
      <c r="AV189" s="350"/>
      <c r="AW189" s="350"/>
      <c r="AX189" s="350"/>
      <c r="AY189" s="350"/>
      <c r="AZ189" s="350"/>
      <c r="BA189" s="350"/>
      <c r="BB189" s="350"/>
      <c r="BC189" s="350"/>
      <c r="BD189" s="350"/>
      <c r="BE189" s="350"/>
      <c r="BF189" s="350"/>
      <c r="BG189" s="350"/>
      <c r="BH189" s="350"/>
      <c r="BI189" s="350"/>
    </row>
    <row r="190" customFormat="false" ht="12.75" hidden="false" customHeight="false" outlineLevel="0" collapsed="false">
      <c r="A190" s="350"/>
      <c r="B190" s="350"/>
      <c r="C190" s="350"/>
      <c r="D190" s="350"/>
      <c r="E190" s="350"/>
      <c r="F190" s="350"/>
      <c r="G190" s="350"/>
      <c r="H190" s="350"/>
      <c r="I190" s="350"/>
      <c r="J190" s="350"/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AJ190" s="350"/>
      <c r="AK190" s="350"/>
      <c r="AL190" s="350"/>
      <c r="AM190" s="350"/>
      <c r="AN190" s="350"/>
      <c r="AO190" s="350"/>
      <c r="AP190" s="350"/>
      <c r="AQ190" s="350"/>
      <c r="AR190" s="350"/>
      <c r="AS190" s="350"/>
      <c r="AT190" s="350"/>
      <c r="AU190" s="350"/>
      <c r="AV190" s="350"/>
      <c r="AW190" s="350"/>
      <c r="AX190" s="350"/>
      <c r="AY190" s="350"/>
      <c r="AZ190" s="350"/>
      <c r="BA190" s="350"/>
      <c r="BB190" s="350"/>
      <c r="BC190" s="350"/>
      <c r="BD190" s="350"/>
      <c r="BE190" s="350"/>
      <c r="BF190" s="350"/>
      <c r="BG190" s="350"/>
      <c r="BH190" s="350"/>
      <c r="BI190" s="350"/>
    </row>
    <row r="191" customFormat="false" ht="12.75" hidden="false" customHeight="false" outlineLevel="0" collapsed="false">
      <c r="A191" s="350"/>
      <c r="B191" s="350"/>
      <c r="C191" s="350"/>
      <c r="D191" s="350"/>
      <c r="E191" s="350"/>
      <c r="F191" s="350"/>
      <c r="G191" s="350"/>
      <c r="H191" s="350"/>
      <c r="I191" s="350"/>
      <c r="J191" s="350"/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AJ191" s="350"/>
      <c r="AK191" s="350"/>
      <c r="AL191" s="350"/>
      <c r="AM191" s="350"/>
      <c r="AN191" s="350"/>
      <c r="AO191" s="350"/>
      <c r="AP191" s="350"/>
      <c r="AQ191" s="350"/>
      <c r="AR191" s="350"/>
      <c r="AS191" s="350"/>
      <c r="AT191" s="350"/>
      <c r="AU191" s="350"/>
      <c r="AV191" s="350"/>
      <c r="AW191" s="350"/>
      <c r="AX191" s="350"/>
      <c r="AY191" s="350"/>
      <c r="AZ191" s="350"/>
      <c r="BA191" s="350"/>
      <c r="BB191" s="350"/>
      <c r="BC191" s="350"/>
      <c r="BD191" s="350"/>
      <c r="BE191" s="350"/>
      <c r="BF191" s="350"/>
      <c r="BG191" s="350"/>
      <c r="BH191" s="350"/>
      <c r="BI191" s="350"/>
    </row>
    <row r="192" customFormat="false" ht="12.75" hidden="false" customHeight="false" outlineLevel="0" collapsed="false">
      <c r="A192" s="350"/>
      <c r="B192" s="350"/>
      <c r="C192" s="350"/>
      <c r="D192" s="350"/>
      <c r="E192" s="350"/>
      <c r="F192" s="350"/>
      <c r="G192" s="350"/>
      <c r="H192" s="350"/>
      <c r="I192" s="350"/>
      <c r="J192" s="350"/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AJ192" s="350"/>
      <c r="AK192" s="350"/>
      <c r="AL192" s="350"/>
      <c r="AM192" s="350"/>
      <c r="AN192" s="350"/>
      <c r="AO192" s="350"/>
      <c r="AP192" s="350"/>
      <c r="AQ192" s="350"/>
      <c r="AR192" s="350"/>
      <c r="AS192" s="350"/>
      <c r="AT192" s="350"/>
      <c r="AU192" s="350"/>
      <c r="AV192" s="350"/>
      <c r="AW192" s="350"/>
      <c r="AX192" s="350"/>
      <c r="AY192" s="350"/>
      <c r="AZ192" s="350"/>
      <c r="BA192" s="350"/>
      <c r="BB192" s="350"/>
      <c r="BC192" s="350"/>
      <c r="BD192" s="350"/>
      <c r="BE192" s="350"/>
      <c r="BF192" s="350"/>
      <c r="BG192" s="350"/>
      <c r="BH192" s="350"/>
      <c r="BI192" s="350"/>
    </row>
    <row r="193" customFormat="false" ht="12.75" hidden="false" customHeight="false" outlineLevel="0" collapsed="false">
      <c r="A193" s="350"/>
      <c r="B193" s="350"/>
      <c r="C193" s="350"/>
      <c r="D193" s="350"/>
      <c r="E193" s="350"/>
      <c r="F193" s="350"/>
      <c r="G193" s="350"/>
      <c r="H193" s="350"/>
      <c r="I193" s="350"/>
      <c r="J193" s="350"/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AJ193" s="350"/>
      <c r="AK193" s="350"/>
      <c r="AL193" s="350"/>
      <c r="AM193" s="350"/>
      <c r="AN193" s="350"/>
      <c r="AO193" s="350"/>
      <c r="AP193" s="350"/>
      <c r="AQ193" s="350"/>
      <c r="AR193" s="350"/>
      <c r="AS193" s="350"/>
      <c r="AT193" s="350"/>
      <c r="AU193" s="350"/>
      <c r="AV193" s="350"/>
      <c r="AW193" s="350"/>
      <c r="AX193" s="350"/>
      <c r="AY193" s="350"/>
      <c r="AZ193" s="350"/>
      <c r="BA193" s="350"/>
      <c r="BB193" s="350"/>
      <c r="BC193" s="350"/>
      <c r="BD193" s="350"/>
      <c r="BE193" s="350"/>
      <c r="BF193" s="350"/>
      <c r="BG193" s="350"/>
      <c r="BH193" s="350"/>
      <c r="BI193" s="350"/>
    </row>
    <row r="194" customFormat="false" ht="12.75" hidden="false" customHeight="false" outlineLevel="0" collapsed="false">
      <c r="A194" s="350"/>
      <c r="B194" s="350"/>
      <c r="C194" s="350"/>
      <c r="D194" s="350"/>
      <c r="E194" s="350"/>
      <c r="F194" s="350"/>
      <c r="G194" s="350"/>
      <c r="H194" s="350"/>
      <c r="I194" s="350"/>
      <c r="J194" s="350"/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AJ194" s="350"/>
      <c r="AK194" s="350"/>
      <c r="AL194" s="350"/>
      <c r="AM194" s="350"/>
      <c r="AN194" s="350"/>
      <c r="AO194" s="350"/>
      <c r="AP194" s="350"/>
      <c r="AQ194" s="350"/>
      <c r="AR194" s="350"/>
      <c r="AS194" s="350"/>
      <c r="AT194" s="350"/>
      <c r="AU194" s="350"/>
      <c r="AV194" s="350"/>
      <c r="AW194" s="350"/>
      <c r="AX194" s="350"/>
      <c r="AY194" s="350"/>
      <c r="AZ194" s="350"/>
      <c r="BA194" s="350"/>
      <c r="BB194" s="350"/>
      <c r="BC194" s="350"/>
      <c r="BD194" s="350"/>
      <c r="BE194" s="350"/>
      <c r="BF194" s="350"/>
      <c r="BG194" s="350"/>
      <c r="BH194" s="350"/>
      <c r="BI194" s="350"/>
    </row>
    <row r="195" customFormat="false" ht="12.75" hidden="false" customHeight="false" outlineLevel="0" collapsed="false">
      <c r="A195" s="350"/>
      <c r="B195" s="350"/>
      <c r="C195" s="350"/>
      <c r="D195" s="350"/>
      <c r="E195" s="350"/>
      <c r="F195" s="350"/>
      <c r="G195" s="350"/>
      <c r="H195" s="350"/>
      <c r="I195" s="350"/>
      <c r="J195" s="350"/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AJ195" s="350"/>
      <c r="AK195" s="350"/>
      <c r="AL195" s="350"/>
      <c r="AM195" s="350"/>
      <c r="AN195" s="350"/>
      <c r="AO195" s="350"/>
      <c r="AP195" s="350"/>
      <c r="AQ195" s="350"/>
      <c r="AR195" s="350"/>
      <c r="AS195" s="350"/>
      <c r="AT195" s="350"/>
      <c r="AU195" s="350"/>
      <c r="AV195" s="350"/>
      <c r="AW195" s="350"/>
      <c r="AX195" s="350"/>
      <c r="AY195" s="350"/>
      <c r="AZ195" s="350"/>
      <c r="BA195" s="350"/>
      <c r="BB195" s="350"/>
      <c r="BC195" s="350"/>
      <c r="BD195" s="350"/>
      <c r="BE195" s="350"/>
      <c r="BF195" s="350"/>
      <c r="BG195" s="350"/>
      <c r="BH195" s="350"/>
      <c r="BI195" s="350"/>
    </row>
    <row r="196" customFormat="false" ht="12.75" hidden="false" customHeight="false" outlineLevel="0" collapsed="false">
      <c r="A196" s="350"/>
      <c r="B196" s="350"/>
      <c r="C196" s="350"/>
      <c r="D196" s="350"/>
      <c r="E196" s="350"/>
      <c r="F196" s="350"/>
      <c r="G196" s="350"/>
      <c r="H196" s="350"/>
      <c r="I196" s="350"/>
      <c r="J196" s="350"/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AJ196" s="350"/>
      <c r="AK196" s="350"/>
      <c r="AL196" s="350"/>
      <c r="AM196" s="350"/>
      <c r="AN196" s="350"/>
      <c r="AO196" s="350"/>
      <c r="AP196" s="350"/>
      <c r="AQ196" s="350"/>
      <c r="AR196" s="350"/>
      <c r="AS196" s="350"/>
      <c r="AT196" s="350"/>
      <c r="AU196" s="350"/>
      <c r="AV196" s="350"/>
      <c r="AW196" s="350"/>
      <c r="AX196" s="350"/>
      <c r="AY196" s="350"/>
      <c r="AZ196" s="350"/>
      <c r="BA196" s="350"/>
      <c r="BB196" s="350"/>
      <c r="BC196" s="350"/>
      <c r="BD196" s="350"/>
      <c r="BE196" s="350"/>
      <c r="BF196" s="350"/>
      <c r="BG196" s="350"/>
      <c r="BH196" s="350"/>
      <c r="BI196" s="350"/>
    </row>
    <row r="197" customFormat="false" ht="12.75" hidden="false" customHeight="false" outlineLevel="0" collapsed="false">
      <c r="A197" s="350"/>
      <c r="B197" s="350"/>
      <c r="C197" s="350"/>
      <c r="D197" s="350"/>
      <c r="E197" s="350"/>
      <c r="F197" s="350"/>
      <c r="G197" s="350"/>
      <c r="H197" s="350"/>
      <c r="I197" s="350"/>
      <c r="J197" s="350"/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AJ197" s="350"/>
      <c r="AK197" s="350"/>
      <c r="AL197" s="350"/>
      <c r="AM197" s="350"/>
      <c r="AN197" s="350"/>
      <c r="AO197" s="350"/>
      <c r="AP197" s="350"/>
      <c r="AQ197" s="350"/>
      <c r="AR197" s="350"/>
      <c r="AS197" s="350"/>
      <c r="AT197" s="350"/>
      <c r="AU197" s="350"/>
      <c r="AV197" s="350"/>
      <c r="AW197" s="350"/>
      <c r="AX197" s="350"/>
      <c r="AY197" s="350"/>
      <c r="AZ197" s="350"/>
      <c r="BA197" s="350"/>
      <c r="BB197" s="350"/>
      <c r="BC197" s="350"/>
      <c r="BD197" s="350"/>
      <c r="BE197" s="350"/>
      <c r="BF197" s="350"/>
      <c r="BG197" s="350"/>
      <c r="BH197" s="350"/>
      <c r="BI197" s="350"/>
    </row>
    <row r="198" customFormat="false" ht="12.75" hidden="false" customHeight="false" outlineLevel="0" collapsed="false">
      <c r="A198" s="350"/>
      <c r="B198" s="350"/>
      <c r="C198" s="350"/>
      <c r="D198" s="350"/>
      <c r="E198" s="350"/>
      <c r="F198" s="350"/>
      <c r="G198" s="350"/>
      <c r="H198" s="350"/>
      <c r="I198" s="350"/>
      <c r="J198" s="350"/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AJ198" s="350"/>
      <c r="AK198" s="350"/>
      <c r="AL198" s="350"/>
      <c r="AM198" s="350"/>
      <c r="AN198" s="350"/>
      <c r="AO198" s="350"/>
      <c r="AP198" s="350"/>
      <c r="AQ198" s="350"/>
      <c r="AR198" s="350"/>
      <c r="AS198" s="350"/>
      <c r="AT198" s="350"/>
      <c r="AU198" s="350"/>
      <c r="AV198" s="350"/>
      <c r="AW198" s="350"/>
      <c r="AX198" s="350"/>
      <c r="AY198" s="350"/>
      <c r="AZ198" s="350"/>
      <c r="BA198" s="350"/>
      <c r="BB198" s="350"/>
      <c r="BC198" s="350"/>
      <c r="BD198" s="350"/>
      <c r="BE198" s="350"/>
      <c r="BF198" s="350"/>
      <c r="BG198" s="350"/>
      <c r="BH198" s="350"/>
      <c r="BI198" s="350"/>
    </row>
  </sheetData>
  <mergeCells count="132">
    <mergeCell ref="D1:I1"/>
    <mergeCell ref="J1:L1"/>
    <mergeCell ref="D2:I2"/>
    <mergeCell ref="J2:L2"/>
    <mergeCell ref="D3:I3"/>
    <mergeCell ref="J3:L3"/>
    <mergeCell ref="D4:I4"/>
    <mergeCell ref="J4:L4"/>
    <mergeCell ref="D5:I5"/>
    <mergeCell ref="J5:L5"/>
    <mergeCell ref="D6:I6"/>
    <mergeCell ref="J6:L6"/>
    <mergeCell ref="D7:I7"/>
    <mergeCell ref="J7:L7"/>
    <mergeCell ref="D8:I8"/>
    <mergeCell ref="J8:L8"/>
    <mergeCell ref="D9:I9"/>
    <mergeCell ref="J9:L9"/>
    <mergeCell ref="D10:I10"/>
    <mergeCell ref="J10:L10"/>
    <mergeCell ref="A14:L14"/>
    <mergeCell ref="A15:L15"/>
    <mergeCell ref="A16:L16"/>
    <mergeCell ref="A17:L17"/>
    <mergeCell ref="A18:L18"/>
    <mergeCell ref="A19:C19"/>
    <mergeCell ref="D19:L19"/>
    <mergeCell ref="A20:C20"/>
    <mergeCell ref="D20:L20"/>
    <mergeCell ref="A21:C21"/>
    <mergeCell ref="D21:L21"/>
    <mergeCell ref="A22:C22"/>
    <mergeCell ref="D22:L22"/>
    <mergeCell ref="A23:C23"/>
    <mergeCell ref="D23:L23"/>
    <mergeCell ref="A24:C24"/>
    <mergeCell ref="D24:L24"/>
    <mergeCell ref="A25:C25"/>
    <mergeCell ref="D25:L25"/>
    <mergeCell ref="A26:C26"/>
    <mergeCell ref="D26:L26"/>
    <mergeCell ref="A27:C27"/>
    <mergeCell ref="D27:L27"/>
    <mergeCell ref="A28:L28"/>
    <mergeCell ref="A29:L29"/>
    <mergeCell ref="A30:L30"/>
    <mergeCell ref="A31:C31"/>
    <mergeCell ref="D31:L31"/>
    <mergeCell ref="A32:C32"/>
    <mergeCell ref="D32:L32"/>
    <mergeCell ref="A33:C33"/>
    <mergeCell ref="D33:L33"/>
    <mergeCell ref="A34:C34"/>
    <mergeCell ref="D34:L34"/>
    <mergeCell ref="A35:C35"/>
    <mergeCell ref="D35:L35"/>
    <mergeCell ref="A36:C36"/>
    <mergeCell ref="D36:L36"/>
    <mergeCell ref="A37:C37"/>
    <mergeCell ref="D37:L37"/>
    <mergeCell ref="A38:C38"/>
    <mergeCell ref="D38:L38"/>
    <mergeCell ref="A39:L39"/>
    <mergeCell ref="A40:L40"/>
    <mergeCell ref="A41:L41"/>
    <mergeCell ref="A42:D42"/>
    <mergeCell ref="E42:F42"/>
    <mergeCell ref="I42:L42"/>
    <mergeCell ref="A43:D43"/>
    <mergeCell ref="E43:F43"/>
    <mergeCell ref="A44:D44"/>
    <mergeCell ref="E44:F44"/>
    <mergeCell ref="A45:D45"/>
    <mergeCell ref="E45:F45"/>
    <mergeCell ref="A46:D46"/>
    <mergeCell ref="E46:F46"/>
    <mergeCell ref="A47:D47"/>
    <mergeCell ref="E47:F47"/>
    <mergeCell ref="A48:D48"/>
    <mergeCell ref="E48:F48"/>
    <mergeCell ref="I48:L48"/>
    <mergeCell ref="A49:D49"/>
    <mergeCell ref="E49:F49"/>
    <mergeCell ref="I49:L49"/>
    <mergeCell ref="A51:L51"/>
    <mergeCell ref="A52:L52"/>
    <mergeCell ref="A53:L53"/>
    <mergeCell ref="A54:G54"/>
    <mergeCell ref="H54:L54"/>
    <mergeCell ref="A55:G55"/>
    <mergeCell ref="H55:L55"/>
    <mergeCell ref="A56:G56"/>
    <mergeCell ref="H56:L56"/>
    <mergeCell ref="A57:G57"/>
    <mergeCell ref="H57:L57"/>
    <mergeCell ref="A58:G58"/>
    <mergeCell ref="H58:L58"/>
    <mergeCell ref="A59:G59"/>
    <mergeCell ref="H59:L59"/>
    <mergeCell ref="A60:G60"/>
    <mergeCell ref="H60:L60"/>
    <mergeCell ref="A61:G61"/>
    <mergeCell ref="H61:L61"/>
    <mergeCell ref="A62:G62"/>
    <mergeCell ref="H62:L62"/>
    <mergeCell ref="A63:G63"/>
    <mergeCell ref="H63:L63"/>
    <mergeCell ref="A64:G64"/>
    <mergeCell ref="H64:L64"/>
    <mergeCell ref="A65:G65"/>
    <mergeCell ref="H65:L65"/>
    <mergeCell ref="A66:L66"/>
    <mergeCell ref="A67:G67"/>
    <mergeCell ref="H67:L67"/>
    <mergeCell ref="A68:G68"/>
    <mergeCell ref="H68:L68"/>
    <mergeCell ref="A69:G69"/>
    <mergeCell ref="H69:L69"/>
    <mergeCell ref="A70:G70"/>
    <mergeCell ref="H70:L70"/>
    <mergeCell ref="A71:G71"/>
    <mergeCell ref="H71:L71"/>
    <mergeCell ref="A72:G72"/>
    <mergeCell ref="H72:L72"/>
    <mergeCell ref="A73:G73"/>
    <mergeCell ref="H73:L73"/>
    <mergeCell ref="A74:G74"/>
    <mergeCell ref="H74:L74"/>
    <mergeCell ref="A75:G75"/>
    <mergeCell ref="H75:L75"/>
    <mergeCell ref="A76:G76"/>
    <mergeCell ref="H76:L76"/>
  </mergeCells>
  <printOptions headings="false" gridLines="false" gridLinesSet="true" horizontalCentered="true" verticalCentered="false"/>
  <pageMargins left="0.7" right="0.7" top="0.75" bottom="0.75" header="0.511811023622047" footer="0.511811023622047"/>
  <pageSetup paperSize="1" scale="8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2:S19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Z21" activeCellId="0" sqref="Z21"/>
    </sheetView>
  </sheetViews>
  <sheetFormatPr defaultColWidth="4.66796875" defaultRowHeight="15.75" zeroHeight="false" outlineLevelRow="0" outlineLevelCol="0"/>
  <cols>
    <col collapsed="false" customWidth="true" hidden="false" outlineLevel="0" max="9" min="9" style="1" width="2.83"/>
    <col collapsed="false" customWidth="true" hidden="false" outlineLevel="0" max="10" min="10" style="1" width="5.66"/>
    <col collapsed="false" customWidth="true" hidden="false" outlineLevel="0" max="12" min="12" style="1" width="6.5"/>
    <col collapsed="false" customWidth="true" hidden="false" outlineLevel="0" max="14" min="14" style="1" width="4.17"/>
    <col collapsed="false" customWidth="true" hidden="false" outlineLevel="0" max="15" min="15" style="1" width="4"/>
    <col collapsed="false" customWidth="true" hidden="false" outlineLevel="0" max="16" min="16" style="1" width="4.5"/>
  </cols>
  <sheetData>
    <row r="2" customFormat="false" ht="15.75" hidden="false" customHeight="true" outlineLevel="0" collapsed="false">
      <c r="M2" s="422" t="str">
        <f aca="false">'conversion datos'!L10</f>
        <v>LCM 03890122</v>
      </c>
      <c r="N2" s="422"/>
      <c r="O2" s="422"/>
      <c r="P2" s="422"/>
      <c r="Q2" s="422"/>
      <c r="R2" s="422"/>
    </row>
    <row r="3" customFormat="false" ht="15.75" hidden="false" customHeight="true" outlineLevel="0" collapsed="false">
      <c r="M3" s="422"/>
      <c r="N3" s="422"/>
      <c r="O3" s="422"/>
      <c r="P3" s="422"/>
      <c r="Q3" s="422"/>
      <c r="R3" s="422"/>
    </row>
    <row r="4" customFormat="false" ht="15.75" hidden="false" customHeight="true" outlineLevel="0" collapsed="false">
      <c r="M4" s="422"/>
      <c r="N4" s="422"/>
      <c r="O4" s="422"/>
      <c r="P4" s="422"/>
      <c r="Q4" s="422"/>
      <c r="R4" s="422"/>
    </row>
    <row r="5" customFormat="false" ht="15.75" hidden="false" customHeight="true" outlineLevel="0" collapsed="false">
      <c r="R5" s="423"/>
    </row>
    <row r="6" customFormat="false" ht="15.75" hidden="false" customHeight="true" outlineLevel="0" collapsed="false">
      <c r="A6" s="424" t="s">
        <v>543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</row>
    <row r="7" customFormat="false" ht="15.75" hidden="false" customHeight="true" outlineLevel="0" collapsed="false">
      <c r="A7" s="424"/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</row>
    <row r="9" customFormat="false" ht="15.75" hidden="false" customHeight="true" outlineLevel="0" collapsed="false">
      <c r="F9" s="425"/>
      <c r="G9" s="425"/>
      <c r="H9" s="425"/>
      <c r="I9" s="425"/>
      <c r="J9" s="425"/>
      <c r="K9" s="425"/>
      <c r="L9" s="425"/>
      <c r="M9" s="425"/>
    </row>
    <row r="10" customFormat="false" ht="15.75" hidden="false" customHeight="true" outlineLevel="0" collapsed="false">
      <c r="A10" s="426" t="s">
        <v>432</v>
      </c>
      <c r="F10" s="425"/>
      <c r="G10" s="427" t="n">
        <f aca="false">'conversion datos'!L5</f>
        <v>45268</v>
      </c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</row>
    <row r="11" customFormat="false" ht="15.75" hidden="false" customHeight="true" outlineLevel="0" collapsed="false">
      <c r="A11" s="428"/>
      <c r="B11" s="429"/>
      <c r="F11" s="425"/>
      <c r="G11" s="425"/>
      <c r="H11" s="425"/>
      <c r="I11" s="425"/>
      <c r="J11" s="425"/>
      <c r="K11" s="425"/>
      <c r="L11" s="425"/>
      <c r="M11" s="425"/>
    </row>
    <row r="12" customFormat="false" ht="15.75" hidden="false" customHeight="true" outlineLevel="0" collapsed="false">
      <c r="A12" s="430"/>
      <c r="F12" s="425"/>
      <c r="G12" s="425"/>
      <c r="H12" s="425"/>
      <c r="I12" s="425"/>
      <c r="J12" s="425"/>
      <c r="K12" s="425"/>
      <c r="L12" s="425"/>
      <c r="M12" s="425"/>
      <c r="N12" s="431"/>
      <c r="O12" s="431"/>
      <c r="P12" s="431"/>
    </row>
    <row r="13" customFormat="false" ht="15.75" hidden="false" customHeight="true" outlineLevel="0" collapsed="false">
      <c r="A13" s="426" t="s">
        <v>452</v>
      </c>
      <c r="E13" s="432"/>
      <c r="F13" s="425"/>
      <c r="G13" s="433" t="str">
        <f aca="false">CONCATENATE(INFORMACION!D31,", de ",MIN('conversion datos'!C2:C123)," mm a ",MAX('conversion datos'!C2:C123)," mm, marca ",INFORMACION!D32,", modelo ",'conversion datos'!L22,", de ",INFORMACION!D34,", y grado de exactitud ", INFORMACION!D36,"")</f>
        <v>Juego de bloques patrón, de 0 mm a 0 mm, marca Mitutoyo, modelo No indica, de Cerámica, y grado de exactitud No indica</v>
      </c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3"/>
    </row>
    <row r="14" customFormat="false" ht="15.75" hidden="false" customHeight="true" outlineLevel="0" collapsed="false">
      <c r="A14" s="434"/>
      <c r="E14" s="432"/>
      <c r="F14" s="425"/>
      <c r="G14" s="433"/>
      <c r="H14" s="433"/>
      <c r="I14" s="433"/>
      <c r="J14" s="433"/>
      <c r="K14" s="433"/>
      <c r="L14" s="433"/>
      <c r="M14" s="433"/>
      <c r="N14" s="433"/>
      <c r="O14" s="433"/>
      <c r="P14" s="433"/>
      <c r="Q14" s="433"/>
      <c r="R14" s="433"/>
    </row>
    <row r="15" customFormat="false" ht="15.75" hidden="false" customHeight="true" outlineLevel="0" collapsed="false">
      <c r="A15" s="434"/>
      <c r="E15" s="432"/>
      <c r="F15" s="425"/>
      <c r="G15" s="433"/>
      <c r="H15" s="433"/>
      <c r="I15" s="433"/>
      <c r="J15" s="433"/>
      <c r="K15" s="433"/>
      <c r="L15" s="433"/>
      <c r="M15" s="433"/>
      <c r="N15" s="433"/>
      <c r="O15" s="433"/>
      <c r="P15" s="433"/>
      <c r="Q15" s="433"/>
      <c r="R15" s="433"/>
    </row>
    <row r="16" customFormat="false" ht="15.75" hidden="false" customHeight="true" outlineLevel="0" collapsed="false">
      <c r="A16" s="434"/>
      <c r="E16" s="425"/>
      <c r="F16" s="425"/>
      <c r="G16" s="425"/>
      <c r="H16" s="425"/>
      <c r="I16" s="425"/>
      <c r="J16" s="425"/>
      <c r="K16" s="425"/>
      <c r="L16" s="425"/>
      <c r="M16" s="425"/>
    </row>
    <row r="17" customFormat="false" ht="15.75" hidden="false" customHeight="true" outlineLevel="0" collapsed="false">
      <c r="A17" s="426" t="s">
        <v>544</v>
      </c>
      <c r="F17" s="425"/>
      <c r="G17" s="435" t="str">
        <f aca="false">INFORMACION!D33</f>
        <v>Ver tabla de resultados de la calibración / MET-LMMET-001</v>
      </c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25"/>
    </row>
    <row r="18" customFormat="false" ht="15.75" hidden="false" customHeight="true" outlineLevel="0" collapsed="false">
      <c r="A18" s="430"/>
      <c r="F18" s="425"/>
      <c r="G18" s="425"/>
      <c r="H18" s="425"/>
      <c r="I18" s="425"/>
      <c r="J18" s="425"/>
      <c r="K18" s="425"/>
      <c r="L18" s="425"/>
      <c r="M18" s="425"/>
    </row>
    <row r="19" customFormat="false" ht="15.75" hidden="false" customHeight="true" outlineLevel="0" collapsed="false">
      <c r="A19" s="434"/>
      <c r="F19" s="425"/>
      <c r="G19" s="429"/>
      <c r="H19" s="425"/>
      <c r="I19" s="425"/>
      <c r="J19" s="425"/>
      <c r="K19" s="425"/>
      <c r="L19" s="425"/>
      <c r="M19" s="425"/>
    </row>
    <row r="20" customFormat="false" ht="15.75" hidden="false" customHeight="true" outlineLevel="0" collapsed="false">
      <c r="A20" s="426" t="s">
        <v>545</v>
      </c>
      <c r="F20" s="425"/>
      <c r="G20" s="435" t="str">
        <f aca="false">INFORMACION!D25</f>
        <v>194-22</v>
      </c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</row>
    <row r="21" customFormat="false" ht="15.75" hidden="false" customHeight="true" outlineLevel="0" collapsed="false">
      <c r="A21" s="430"/>
      <c r="F21" s="425"/>
      <c r="G21" s="425"/>
      <c r="H21" s="425"/>
      <c r="I21" s="425"/>
      <c r="J21" s="425"/>
      <c r="K21" s="425"/>
      <c r="L21" s="425"/>
      <c r="M21" s="425"/>
    </row>
    <row r="22" customFormat="false" ht="15.75" hidden="false" customHeight="true" outlineLevel="0" collapsed="false">
      <c r="A22" s="428"/>
      <c r="F22" s="425"/>
      <c r="G22" s="429"/>
      <c r="H22" s="425"/>
      <c r="I22" s="425"/>
      <c r="J22" s="425"/>
      <c r="K22" s="425"/>
      <c r="L22" s="425"/>
      <c r="M22" s="425"/>
    </row>
    <row r="23" customFormat="false" ht="15.75" hidden="false" customHeight="true" outlineLevel="0" collapsed="false">
      <c r="A23" s="428" t="s">
        <v>442</v>
      </c>
      <c r="F23" s="425"/>
      <c r="G23" s="435" t="str">
        <f aca="false">INFORMACION!D23</f>
        <v>Instituto Costarricense de Electricidad</v>
      </c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</row>
    <row r="24" customFormat="false" ht="15.75" hidden="false" customHeight="true" outlineLevel="0" collapsed="false">
      <c r="A24" s="430"/>
      <c r="F24" s="425"/>
      <c r="G24" s="425"/>
      <c r="H24" s="436"/>
      <c r="I24" s="436"/>
      <c r="J24" s="436"/>
      <c r="K24" s="436"/>
      <c r="L24" s="436"/>
      <c r="M24" s="437"/>
      <c r="N24" s="437"/>
      <c r="O24" s="437"/>
      <c r="P24" s="437"/>
    </row>
    <row r="25" customFormat="false" ht="15.75" hidden="false" customHeight="true" outlineLevel="0" collapsed="false">
      <c r="A25" s="434"/>
      <c r="F25" s="425"/>
      <c r="G25" s="436"/>
      <c r="H25" s="436"/>
      <c r="I25" s="436"/>
      <c r="J25" s="436"/>
      <c r="K25" s="436"/>
      <c r="L25" s="436"/>
      <c r="M25" s="437"/>
    </row>
    <row r="26" customFormat="false" ht="15.75" hidden="false" customHeight="true" outlineLevel="0" collapsed="false">
      <c r="A26" s="426" t="s">
        <v>447</v>
      </c>
      <c r="F26" s="425"/>
      <c r="G26" s="438" t="str">
        <f aca="false">INFORMACION!D26</f>
        <v>Laboratoro de Dimensional del ICE, Plantel ICE en Colima,             Tibás, San José, Costa Rica</v>
      </c>
      <c r="H26" s="438"/>
      <c r="I26" s="438"/>
      <c r="J26" s="438"/>
      <c r="K26" s="438"/>
      <c r="L26" s="438"/>
      <c r="M26" s="438"/>
      <c r="N26" s="438"/>
      <c r="O26" s="438"/>
      <c r="P26" s="438"/>
      <c r="Q26" s="438"/>
      <c r="R26" s="438"/>
    </row>
    <row r="27" customFormat="false" ht="15.75" hidden="false" customHeight="true" outlineLevel="0" collapsed="false">
      <c r="A27" s="430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8"/>
    </row>
    <row r="28" customFormat="false" ht="15.75" hidden="false" customHeight="true" outlineLevel="0" collapsed="false">
      <c r="A28" s="434"/>
      <c r="G28" s="437"/>
      <c r="H28" s="437"/>
      <c r="I28" s="437"/>
      <c r="J28" s="437"/>
      <c r="K28" s="437"/>
      <c r="L28" s="437"/>
      <c r="M28" s="437"/>
      <c r="O28" s="439"/>
      <c r="P28" s="439"/>
    </row>
    <row r="29" customFormat="false" ht="15.75" hidden="false" customHeight="true" outlineLevel="0" collapsed="false">
      <c r="A29" s="426" t="s">
        <v>441</v>
      </c>
      <c r="G29" s="435" t="n">
        <f aca="false">'conversion datos'!L8</f>
        <v>0</v>
      </c>
      <c r="H29" s="435"/>
      <c r="I29" s="435"/>
      <c r="J29" s="435"/>
      <c r="K29" s="435"/>
      <c r="L29" s="435"/>
      <c r="M29" s="435"/>
      <c r="N29" s="435"/>
      <c r="O29" s="435"/>
      <c r="P29" s="435"/>
      <c r="Q29" s="435"/>
      <c r="R29" s="435"/>
    </row>
    <row r="30" customFormat="false" ht="15.75" hidden="false" customHeight="true" outlineLevel="0" collapsed="false">
      <c r="A30" s="430"/>
    </row>
    <row r="31" customFormat="false" ht="15.75" hidden="false" customHeight="true" outlineLevel="0" collapsed="false">
      <c r="A31" s="434"/>
      <c r="G31" s="429"/>
    </row>
    <row r="32" customFormat="false" ht="15.75" hidden="false" customHeight="true" outlineLevel="0" collapsed="false">
      <c r="A32" s="430" t="s">
        <v>546</v>
      </c>
      <c r="G32" s="440" t="s">
        <v>547</v>
      </c>
      <c r="H32" s="440"/>
      <c r="I32" s="440"/>
      <c r="J32" s="440"/>
      <c r="K32" s="440"/>
      <c r="L32" s="440"/>
      <c r="M32" s="440"/>
      <c r="N32" s="440"/>
      <c r="O32" s="440"/>
      <c r="P32" s="440"/>
      <c r="Q32" s="440"/>
      <c r="R32" s="440"/>
    </row>
    <row r="33" customFormat="false" ht="15.75" hidden="false" customHeight="true" outlineLevel="0" collapsed="false">
      <c r="A33" s="430"/>
      <c r="G33" s="425"/>
    </row>
    <row r="34" customFormat="false" ht="15.75" hidden="false" customHeight="true" outlineLevel="0" collapsed="false">
      <c r="A34" s="430"/>
      <c r="G34" s="425"/>
    </row>
    <row r="35" customFormat="false" ht="15.75" hidden="false" customHeight="true" outlineLevel="0" collapsed="false">
      <c r="A35" s="430"/>
      <c r="G35" s="425"/>
    </row>
    <row r="37" customFormat="false" ht="15.75" hidden="false" customHeight="true" outlineLevel="0" collapsed="false">
      <c r="A37" s="441"/>
      <c r="B37" s="441"/>
      <c r="C37" s="441"/>
      <c r="D37" s="441"/>
      <c r="E37" s="441"/>
      <c r="F37" s="441"/>
      <c r="G37" s="441"/>
      <c r="H37" s="441"/>
      <c r="K37" s="441"/>
      <c r="L37" s="441"/>
      <c r="M37" s="441"/>
      <c r="N37" s="441"/>
      <c r="O37" s="441"/>
      <c r="P37" s="441"/>
      <c r="Q37" s="441"/>
      <c r="R37" s="441"/>
    </row>
    <row r="38" customFormat="false" ht="15.75" hidden="false" customHeight="true" outlineLevel="0" collapsed="false">
      <c r="A38" s="441"/>
      <c r="B38" s="441"/>
      <c r="C38" s="441"/>
      <c r="D38" s="441"/>
      <c r="E38" s="441"/>
      <c r="F38" s="441"/>
      <c r="G38" s="441"/>
      <c r="H38" s="441"/>
      <c r="K38" s="441"/>
      <c r="L38" s="441"/>
      <c r="M38" s="441"/>
      <c r="N38" s="441"/>
      <c r="O38" s="441"/>
      <c r="P38" s="441"/>
      <c r="Q38" s="441"/>
      <c r="R38" s="441"/>
    </row>
    <row r="39" customFormat="false" ht="15.75" hidden="false" customHeight="true" outlineLevel="0" collapsed="false">
      <c r="A39" s="441"/>
      <c r="B39" s="441"/>
      <c r="C39" s="441"/>
      <c r="D39" s="441"/>
      <c r="E39" s="441"/>
      <c r="F39" s="441"/>
      <c r="G39" s="441"/>
      <c r="H39" s="441"/>
      <c r="K39" s="441"/>
      <c r="L39" s="441"/>
      <c r="M39" s="441"/>
      <c r="N39" s="441"/>
      <c r="O39" s="441"/>
      <c r="P39" s="441"/>
      <c r="Q39" s="441"/>
      <c r="R39" s="441"/>
    </row>
    <row r="40" customFormat="false" ht="15.75" hidden="false" customHeight="true" outlineLevel="0" collapsed="false">
      <c r="A40" s="441"/>
      <c r="B40" s="441"/>
      <c r="C40" s="441"/>
      <c r="D40" s="441"/>
      <c r="E40" s="441"/>
      <c r="F40" s="441"/>
      <c r="G40" s="441"/>
      <c r="H40" s="441"/>
      <c r="K40" s="441"/>
      <c r="L40" s="441"/>
      <c r="M40" s="441"/>
      <c r="N40" s="441"/>
      <c r="O40" s="441"/>
      <c r="P40" s="441"/>
      <c r="Q40" s="441"/>
      <c r="R40" s="441"/>
    </row>
    <row r="41" customFormat="false" ht="15.75" hidden="false" customHeight="true" outlineLevel="0" collapsed="false">
      <c r="A41" s="442"/>
      <c r="B41" s="442"/>
      <c r="C41" s="442"/>
      <c r="D41" s="442"/>
      <c r="E41" s="442"/>
      <c r="F41" s="442"/>
      <c r="G41" s="442"/>
      <c r="H41" s="442"/>
      <c r="K41" s="442"/>
      <c r="L41" s="442"/>
      <c r="M41" s="442"/>
      <c r="N41" s="442"/>
      <c r="O41" s="442"/>
      <c r="P41" s="442"/>
      <c r="Q41" s="442"/>
      <c r="R41" s="442"/>
    </row>
    <row r="42" customFormat="false" ht="15.75" hidden="false" customHeight="true" outlineLevel="0" collapsed="false">
      <c r="A42" s="443" t="str">
        <f aca="false">'conversion datos'!L28</f>
        <v>Luis Diego Guzman Guillen</v>
      </c>
      <c r="B42" s="443"/>
      <c r="C42" s="443"/>
      <c r="D42" s="443"/>
      <c r="E42" s="443"/>
      <c r="F42" s="443"/>
      <c r="G42" s="443"/>
      <c r="H42" s="443"/>
      <c r="I42" s="444"/>
      <c r="J42" s="445"/>
      <c r="K42" s="446" t="str">
        <f aca="false">'conversion datos'!L27</f>
        <v>Leonardo Rojas Rapso</v>
      </c>
      <c r="L42" s="446"/>
      <c r="M42" s="446"/>
      <c r="N42" s="446"/>
      <c r="O42" s="446"/>
      <c r="P42" s="446"/>
      <c r="Q42" s="446"/>
      <c r="R42" s="446"/>
    </row>
    <row r="43" customFormat="false" ht="15.75" hidden="false" customHeight="true" outlineLevel="0" collapsed="false">
      <c r="A43" s="447" t="s">
        <v>548</v>
      </c>
      <c r="B43" s="447"/>
      <c r="C43" s="447"/>
      <c r="D43" s="447"/>
      <c r="E43" s="447"/>
      <c r="F43" s="447"/>
      <c r="G43" s="447"/>
      <c r="H43" s="447"/>
      <c r="I43" s="444"/>
      <c r="J43" s="448"/>
      <c r="K43" s="447" t="s">
        <v>549</v>
      </c>
      <c r="L43" s="447"/>
      <c r="M43" s="447"/>
      <c r="N43" s="447"/>
      <c r="O43" s="447"/>
      <c r="P43" s="447"/>
      <c r="Q43" s="447"/>
      <c r="R43" s="447"/>
    </row>
    <row r="44" customFormat="false" ht="15.75" hidden="false" customHeight="true" outlineLevel="0" collapsed="false">
      <c r="A44" s="448"/>
      <c r="B44" s="448"/>
      <c r="C44" s="448"/>
      <c r="D44" s="448"/>
      <c r="E44" s="448"/>
      <c r="F44" s="448"/>
      <c r="G44" s="448"/>
      <c r="H44" s="448"/>
      <c r="I44" s="444"/>
      <c r="J44" s="448"/>
      <c r="K44" s="448"/>
      <c r="L44" s="448"/>
      <c r="M44" s="448"/>
      <c r="N44" s="448"/>
      <c r="O44" s="448"/>
      <c r="P44" s="448"/>
      <c r="Q44" s="448"/>
      <c r="R44" s="448"/>
    </row>
    <row r="45" customFormat="false" ht="15.75" hidden="false" customHeight="true" outlineLevel="0" collapsed="false">
      <c r="G45" s="425"/>
      <c r="P45" s="449" t="s">
        <v>550</v>
      </c>
      <c r="Q45" s="449"/>
      <c r="R45" s="449"/>
    </row>
    <row r="46" customFormat="false" ht="15.75" hidden="false" customHeight="true" outlineLevel="0" collapsed="false">
      <c r="A46" s="450" t="s">
        <v>551</v>
      </c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</row>
    <row r="47" customFormat="false" ht="15.75" hidden="false" customHeight="true" outlineLevel="0" collapsed="false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</row>
    <row r="48" customFormat="false" ht="15.75" hidden="false" customHeight="true" outlineLevel="0" collapsed="false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  <c r="Q48" s="450"/>
      <c r="R48" s="450"/>
    </row>
    <row r="49" customFormat="false" ht="15.75" hidden="false" customHeight="true" outlineLevel="0" collapsed="false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  <c r="Q49" s="450"/>
      <c r="R49" s="450"/>
    </row>
    <row r="51" customFormat="false" ht="15.75" hidden="false" customHeight="true" outlineLevel="0" collapsed="false">
      <c r="A51" s="451"/>
      <c r="M51" s="422" t="str">
        <f aca="false">M2</f>
        <v>LCM 03890122</v>
      </c>
      <c r="N51" s="422"/>
      <c r="O51" s="422"/>
      <c r="P51" s="422"/>
      <c r="Q51" s="422"/>
      <c r="R51" s="422"/>
    </row>
    <row r="52" customFormat="false" ht="15.75" hidden="false" customHeight="true" outlineLevel="0" collapsed="false">
      <c r="M52" s="422"/>
      <c r="N52" s="422"/>
      <c r="O52" s="422"/>
      <c r="P52" s="422"/>
      <c r="Q52" s="422"/>
      <c r="R52" s="422"/>
    </row>
    <row r="53" customFormat="false" ht="15.75" hidden="false" customHeight="true" outlineLevel="0" collapsed="false">
      <c r="M53" s="422"/>
      <c r="N53" s="422"/>
      <c r="O53" s="422"/>
      <c r="P53" s="422"/>
      <c r="Q53" s="422"/>
      <c r="R53" s="422"/>
    </row>
    <row r="55" customFormat="false" ht="15.75" hidden="false" customHeight="true" outlineLevel="0" collapsed="false">
      <c r="A55" s="452" t="s">
        <v>552</v>
      </c>
      <c r="B55" s="452"/>
      <c r="C55" s="452"/>
      <c r="D55" s="452"/>
      <c r="E55" s="452"/>
      <c r="F55" s="452"/>
      <c r="G55" s="452"/>
      <c r="H55" s="452"/>
      <c r="I55" s="452"/>
      <c r="J55" s="452"/>
      <c r="K55" s="452"/>
      <c r="L55" s="452"/>
      <c r="M55" s="452"/>
      <c r="N55" s="452"/>
      <c r="O55" s="452"/>
      <c r="P55" s="452"/>
      <c r="Q55" s="452"/>
      <c r="R55" s="452"/>
    </row>
    <row r="56" customFormat="false" ht="15.75" hidden="false" customHeight="true" outlineLevel="0" collapsed="false">
      <c r="A56" s="453" t="s">
        <v>553</v>
      </c>
      <c r="B56" s="453"/>
      <c r="C56" s="453"/>
      <c r="D56" s="453"/>
      <c r="E56" s="453"/>
      <c r="F56" s="453"/>
      <c r="G56" s="453"/>
      <c r="H56" s="453" t="s">
        <v>554</v>
      </c>
      <c r="I56" s="453"/>
      <c r="J56" s="453"/>
      <c r="K56" s="453"/>
      <c r="L56" s="453"/>
      <c r="M56" s="453" t="s">
        <v>555</v>
      </c>
      <c r="N56" s="453"/>
      <c r="O56" s="453"/>
      <c r="P56" s="453"/>
      <c r="Q56" s="453"/>
      <c r="R56" s="453"/>
    </row>
    <row r="57" customFormat="false" ht="15.75" hidden="false" customHeight="true" outlineLevel="0" collapsed="false">
      <c r="A57" s="454" t="str">
        <f aca="false">CONCATENATE(INFORMACION!H59,", ","grado ",INFORMACION!H60,", Marca ",INFORMACION!H58)</f>
        <v>Bloques Patrón de Cerámica de 0,5 mm a 100 mm, grado 00 ó K, Marca TESA</v>
      </c>
      <c r="B57" s="454"/>
      <c r="C57" s="454"/>
      <c r="D57" s="454"/>
      <c r="E57" s="454"/>
      <c r="F57" s="454"/>
      <c r="G57" s="454"/>
      <c r="H57" s="454" t="str">
        <f aca="false">CONCATENATE(INFORMACION!H64," / ",INFORMACION!H65)</f>
        <v>70057T / 707014</v>
      </c>
      <c r="I57" s="454"/>
      <c r="J57" s="454"/>
      <c r="K57" s="454"/>
      <c r="L57" s="454"/>
      <c r="M57" s="454" t="str">
        <f aca="false">CONCATENATE(INFORMACION!H63,", ",INFORMACION!H55,", ",IF(INFORMACION!H63="CENAM","México",IF(INFORMACION!H63="LACOMET","Costa Rica","NMI ")))</f>
        <v>CENAM, CNM-CC-740-579/2015, México</v>
      </c>
      <c r="N57" s="454"/>
      <c r="O57" s="454"/>
      <c r="P57" s="454"/>
      <c r="Q57" s="454"/>
      <c r="R57" s="454"/>
    </row>
    <row r="58" customFormat="false" ht="15.75" hidden="false" customHeight="true" outlineLevel="0" collapsed="false">
      <c r="A58" s="454"/>
      <c r="B58" s="454"/>
      <c r="C58" s="454"/>
      <c r="D58" s="454"/>
      <c r="E58" s="454"/>
      <c r="F58" s="454"/>
      <c r="G58" s="454"/>
      <c r="H58" s="454"/>
      <c r="I58" s="454"/>
      <c r="J58" s="454"/>
      <c r="K58" s="454"/>
      <c r="L58" s="454"/>
      <c r="M58" s="454"/>
      <c r="N58" s="454"/>
      <c r="O58" s="454"/>
      <c r="P58" s="454"/>
      <c r="Q58" s="454"/>
      <c r="R58" s="454"/>
    </row>
    <row r="59" customFormat="false" ht="15.75" hidden="false" customHeight="true" outlineLevel="0" collapsed="false">
      <c r="A59" s="454"/>
      <c r="B59" s="454"/>
      <c r="C59" s="454"/>
      <c r="D59" s="454"/>
      <c r="E59" s="454"/>
      <c r="F59" s="454"/>
      <c r="G59" s="454"/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</row>
    <row r="60" customFormat="false" ht="15.75" hidden="false" customHeight="true" outlineLevel="0" collapsed="false">
      <c r="A60" s="454" t="str">
        <f aca="false">CONCATENATE(INFORMACION!A66,", Marca ",INFORMACION!H71)</f>
        <v>Comparador de bloques, Marca TESA</v>
      </c>
      <c r="B60" s="454"/>
      <c r="C60" s="454"/>
      <c r="D60" s="454"/>
      <c r="E60" s="454"/>
      <c r="F60" s="454"/>
      <c r="G60" s="454"/>
      <c r="H60" s="454" t="str">
        <f aca="false">CONCATENATE(INFORMACION!H75," / ",INFORMACION!H76)</f>
        <v>181100 / 706755</v>
      </c>
      <c r="I60" s="454"/>
      <c r="J60" s="454"/>
      <c r="K60" s="454"/>
      <c r="L60" s="454"/>
      <c r="M60" s="454" t="str">
        <f aca="false">CONCATENATE(INFORMACION!H68,", ",IF(INFORMACION!H74="CENAM","México",IF(INFORMACION!H74="LCM","                    Costa Rica","NMI ")))</f>
        <v>LACOMET 800116,                     Costa Rica</v>
      </c>
      <c r="N60" s="454"/>
      <c r="O60" s="454"/>
      <c r="P60" s="454"/>
      <c r="Q60" s="454"/>
      <c r="R60" s="454"/>
    </row>
    <row r="61" customFormat="false" ht="15.75" hidden="false" customHeight="true" outlineLevel="0" collapsed="false">
      <c r="A61" s="454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</row>
    <row r="62" customFormat="false" ht="15.75" hidden="false" customHeight="true" outlineLevel="0" collapsed="false">
      <c r="A62" s="454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</row>
    <row r="63" customFormat="false" ht="9" hidden="false" customHeight="true" outlineLevel="0" collapsed="false">
      <c r="B63" s="455"/>
      <c r="C63" s="455"/>
      <c r="D63" s="456"/>
      <c r="E63" s="455"/>
      <c r="G63" s="455"/>
    </row>
    <row r="64" customFormat="false" ht="9" hidden="false" customHeight="true" outlineLevel="0" collapsed="false">
      <c r="B64" s="455"/>
      <c r="C64" s="455"/>
      <c r="D64" s="456"/>
      <c r="E64" s="455"/>
      <c r="G64" s="455"/>
    </row>
    <row r="65" customFormat="false" ht="15.75" hidden="false" customHeight="true" outlineLevel="0" collapsed="false">
      <c r="B65" s="457" t="s">
        <v>556</v>
      </c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</row>
    <row r="66" customFormat="false" ht="15.75" hidden="false" customHeight="true" outlineLevel="0" collapsed="false">
      <c r="B66" s="458" t="s">
        <v>557</v>
      </c>
      <c r="C66" s="458"/>
      <c r="D66" s="458"/>
      <c r="E66" s="458"/>
      <c r="F66" s="459" t="s">
        <v>558</v>
      </c>
      <c r="G66" s="459"/>
      <c r="H66" s="459"/>
      <c r="I66" s="459"/>
      <c r="J66" s="459" t="s">
        <v>559</v>
      </c>
      <c r="K66" s="459"/>
      <c r="L66" s="459"/>
      <c r="M66" s="459" t="s">
        <v>560</v>
      </c>
      <c r="N66" s="459"/>
      <c r="O66" s="459"/>
      <c r="P66" s="459"/>
      <c r="Q66" s="459"/>
    </row>
    <row r="67" customFormat="false" ht="26.25" hidden="false" customHeight="true" outlineLevel="0" collapsed="false">
      <c r="B67" s="458"/>
      <c r="C67" s="458"/>
      <c r="D67" s="458"/>
      <c r="E67" s="458"/>
      <c r="F67" s="459"/>
      <c r="G67" s="459"/>
      <c r="H67" s="459"/>
      <c r="I67" s="459"/>
      <c r="J67" s="459"/>
      <c r="K67" s="459"/>
      <c r="L67" s="459"/>
      <c r="M67" s="459"/>
      <c r="N67" s="459"/>
      <c r="O67" s="459"/>
      <c r="P67" s="459"/>
      <c r="Q67" s="459"/>
    </row>
    <row r="68" customFormat="false" ht="15.75" hidden="false" customHeight="true" outlineLevel="0" collapsed="false">
      <c r="B68" s="458"/>
      <c r="C68" s="458"/>
      <c r="D68" s="458"/>
      <c r="E68" s="458"/>
      <c r="F68" s="459"/>
      <c r="G68" s="459"/>
      <c r="H68" s="459"/>
      <c r="I68" s="459"/>
      <c r="J68" s="459"/>
      <c r="K68" s="459"/>
      <c r="L68" s="459"/>
      <c r="M68" s="459"/>
      <c r="N68" s="459"/>
      <c r="O68" s="459"/>
      <c r="P68" s="459"/>
      <c r="Q68" s="459"/>
    </row>
    <row r="69" customFormat="false" ht="15.75" hidden="false" customHeight="true" outlineLevel="0" collapsed="false">
      <c r="B69" s="460" t="e">
        <f aca="false">'CERTIFICADO 1'!B6</f>
        <v>#VALUE!</v>
      </c>
      <c r="C69" s="460"/>
      <c r="D69" s="460"/>
      <c r="E69" s="460"/>
      <c r="F69" s="461" t="str">
        <f aca="false">'CERTIFICADO 1'!C6</f>
        <v/>
      </c>
      <c r="G69" s="461"/>
      <c r="H69" s="461"/>
      <c r="I69" s="461"/>
      <c r="J69" s="462" t="str">
        <f aca="false">'CERTIFICADO 1'!D6</f>
        <v/>
      </c>
      <c r="K69" s="462"/>
      <c r="L69" s="462"/>
      <c r="M69" s="463" t="str">
        <f aca="false">'CERTIFICADO 1'!F6</f>
        <v/>
      </c>
      <c r="N69" s="463"/>
      <c r="O69" s="463"/>
      <c r="P69" s="463"/>
      <c r="Q69" s="463"/>
    </row>
    <row r="70" customFormat="false" ht="15.75" hidden="false" customHeight="true" outlineLevel="0" collapsed="false">
      <c r="B70" s="460" t="e">
        <f aca="false">'CERTIFICADO 1'!B7</f>
        <v>#VALUE!</v>
      </c>
      <c r="C70" s="460"/>
      <c r="D70" s="460"/>
      <c r="E70" s="460"/>
      <c r="F70" s="461" t="str">
        <f aca="false">'CERTIFICADO 1'!C7</f>
        <v/>
      </c>
      <c r="G70" s="461"/>
      <c r="H70" s="461"/>
      <c r="I70" s="461"/>
      <c r="J70" s="462" t="str">
        <f aca="false">'CERTIFICADO 1'!D7</f>
        <v/>
      </c>
      <c r="K70" s="462"/>
      <c r="L70" s="462"/>
      <c r="M70" s="463" t="str">
        <f aca="false">'CERTIFICADO 1'!F7</f>
        <v/>
      </c>
      <c r="N70" s="463"/>
      <c r="O70" s="463"/>
      <c r="P70" s="463"/>
      <c r="Q70" s="463"/>
    </row>
    <row r="71" customFormat="false" ht="15.75" hidden="false" customHeight="true" outlineLevel="0" collapsed="false">
      <c r="B71" s="460" t="e">
        <f aca="false">'CERTIFICADO 1'!B8</f>
        <v>#VALUE!</v>
      </c>
      <c r="C71" s="460"/>
      <c r="D71" s="460"/>
      <c r="E71" s="460"/>
      <c r="F71" s="461" t="str">
        <f aca="false">'CERTIFICADO 1'!C8</f>
        <v/>
      </c>
      <c r="G71" s="461"/>
      <c r="H71" s="461"/>
      <c r="I71" s="461"/>
      <c r="J71" s="462" t="str">
        <f aca="false">'CERTIFICADO 1'!D8</f>
        <v/>
      </c>
      <c r="K71" s="462"/>
      <c r="L71" s="462"/>
      <c r="M71" s="463" t="str">
        <f aca="false">'CERTIFICADO 1'!F8</f>
        <v/>
      </c>
      <c r="N71" s="463"/>
      <c r="O71" s="463"/>
      <c r="P71" s="463"/>
      <c r="Q71" s="463"/>
    </row>
    <row r="72" customFormat="false" ht="15.75" hidden="false" customHeight="true" outlineLevel="0" collapsed="false">
      <c r="B72" s="460" t="e">
        <f aca="false">'CERTIFICADO 1'!B9</f>
        <v>#VALUE!</v>
      </c>
      <c r="C72" s="460"/>
      <c r="D72" s="460"/>
      <c r="E72" s="460"/>
      <c r="F72" s="461" t="str">
        <f aca="false">'CERTIFICADO 1'!C9</f>
        <v/>
      </c>
      <c r="G72" s="461"/>
      <c r="H72" s="461"/>
      <c r="I72" s="461"/>
      <c r="J72" s="462" t="str">
        <f aca="false">'CERTIFICADO 1'!D9</f>
        <v/>
      </c>
      <c r="K72" s="462"/>
      <c r="L72" s="462"/>
      <c r="M72" s="463" t="str">
        <f aca="false">'CERTIFICADO 1'!F9</f>
        <v/>
      </c>
      <c r="N72" s="463"/>
      <c r="O72" s="463"/>
      <c r="P72" s="463"/>
      <c r="Q72" s="463"/>
    </row>
    <row r="73" customFormat="false" ht="15.75" hidden="false" customHeight="true" outlineLevel="0" collapsed="false">
      <c r="B73" s="460" t="e">
        <f aca="false">'CERTIFICADO 1'!B10</f>
        <v>#VALUE!</v>
      </c>
      <c r="C73" s="460"/>
      <c r="D73" s="460"/>
      <c r="E73" s="460"/>
      <c r="F73" s="461" t="str">
        <f aca="false">'CERTIFICADO 1'!C10</f>
        <v/>
      </c>
      <c r="G73" s="461"/>
      <c r="H73" s="461"/>
      <c r="I73" s="461"/>
      <c r="J73" s="462" t="str">
        <f aca="false">'CERTIFICADO 1'!D10</f>
        <v/>
      </c>
      <c r="K73" s="462"/>
      <c r="L73" s="462"/>
      <c r="M73" s="463" t="str">
        <f aca="false">'CERTIFICADO 1'!F10</f>
        <v/>
      </c>
      <c r="N73" s="463"/>
      <c r="O73" s="463"/>
      <c r="P73" s="463"/>
      <c r="Q73" s="463"/>
    </row>
    <row r="74" customFormat="false" ht="15.75" hidden="false" customHeight="true" outlineLevel="0" collapsed="false">
      <c r="B74" s="460" t="e">
        <f aca="false">'CERTIFICADO 1'!B11</f>
        <v>#VALUE!</v>
      </c>
      <c r="C74" s="460"/>
      <c r="D74" s="460"/>
      <c r="E74" s="460"/>
      <c r="F74" s="461" t="str">
        <f aca="false">'CERTIFICADO 1'!C11</f>
        <v/>
      </c>
      <c r="G74" s="461"/>
      <c r="H74" s="461"/>
      <c r="I74" s="461"/>
      <c r="J74" s="462" t="str">
        <f aca="false">'CERTIFICADO 1'!D11</f>
        <v/>
      </c>
      <c r="K74" s="462"/>
      <c r="L74" s="462"/>
      <c r="M74" s="463" t="str">
        <f aca="false">'CERTIFICADO 1'!F11</f>
        <v/>
      </c>
      <c r="N74" s="463"/>
      <c r="O74" s="463"/>
      <c r="P74" s="463"/>
      <c r="Q74" s="463"/>
    </row>
    <row r="75" customFormat="false" ht="15.75" hidden="false" customHeight="true" outlineLevel="0" collapsed="false">
      <c r="B75" s="460" t="e">
        <f aca="false">'CERTIFICADO 1'!B12</f>
        <v>#VALUE!</v>
      </c>
      <c r="C75" s="460"/>
      <c r="D75" s="460"/>
      <c r="E75" s="460"/>
      <c r="F75" s="461" t="str">
        <f aca="false">'CERTIFICADO 1'!C12</f>
        <v/>
      </c>
      <c r="G75" s="461"/>
      <c r="H75" s="461"/>
      <c r="I75" s="461"/>
      <c r="J75" s="462" t="str">
        <f aca="false">'CERTIFICADO 1'!D12</f>
        <v/>
      </c>
      <c r="K75" s="462"/>
      <c r="L75" s="462"/>
      <c r="M75" s="463" t="str">
        <f aca="false">'CERTIFICADO 1'!F12</f>
        <v/>
      </c>
      <c r="N75" s="463"/>
      <c r="O75" s="463"/>
      <c r="P75" s="463"/>
      <c r="Q75" s="463"/>
    </row>
    <row r="76" customFormat="false" ht="15.75" hidden="false" customHeight="true" outlineLevel="0" collapsed="false">
      <c r="B76" s="460" t="e">
        <f aca="false">'CERTIFICADO 1'!B13</f>
        <v>#VALUE!</v>
      </c>
      <c r="C76" s="460"/>
      <c r="D76" s="460"/>
      <c r="E76" s="460"/>
      <c r="F76" s="461" t="str">
        <f aca="false">'CERTIFICADO 1'!C13</f>
        <v/>
      </c>
      <c r="G76" s="461"/>
      <c r="H76" s="461"/>
      <c r="I76" s="461"/>
      <c r="J76" s="462" t="str">
        <f aca="false">'CERTIFICADO 1'!D13</f>
        <v/>
      </c>
      <c r="K76" s="462"/>
      <c r="L76" s="462"/>
      <c r="M76" s="463" t="str">
        <f aca="false">'CERTIFICADO 1'!F13</f>
        <v/>
      </c>
      <c r="N76" s="463"/>
      <c r="O76" s="463"/>
      <c r="P76" s="463"/>
      <c r="Q76" s="463"/>
    </row>
    <row r="77" customFormat="false" ht="15.75" hidden="false" customHeight="true" outlineLevel="0" collapsed="false">
      <c r="B77" s="460" t="e">
        <f aca="false">'CERTIFICADO 1'!B14</f>
        <v>#VALUE!</v>
      </c>
      <c r="C77" s="460"/>
      <c r="D77" s="460"/>
      <c r="E77" s="460"/>
      <c r="F77" s="461" t="str">
        <f aca="false">'CERTIFICADO 1'!C14</f>
        <v/>
      </c>
      <c r="G77" s="461"/>
      <c r="H77" s="461"/>
      <c r="I77" s="461"/>
      <c r="J77" s="462" t="str">
        <f aca="false">'CERTIFICADO 1'!D14</f>
        <v/>
      </c>
      <c r="K77" s="462"/>
      <c r="L77" s="462"/>
      <c r="M77" s="463" t="str">
        <f aca="false">'CERTIFICADO 1'!F14</f>
        <v/>
      </c>
      <c r="N77" s="463"/>
      <c r="O77" s="463"/>
      <c r="P77" s="463"/>
      <c r="Q77" s="463"/>
    </row>
    <row r="78" customFormat="false" ht="15.75" hidden="false" customHeight="true" outlineLevel="0" collapsed="false">
      <c r="B78" s="460" t="e">
        <f aca="false">'CERTIFICADO 1'!B15</f>
        <v>#VALUE!</v>
      </c>
      <c r="C78" s="460"/>
      <c r="D78" s="460"/>
      <c r="E78" s="460"/>
      <c r="F78" s="461" t="str">
        <f aca="false">'CERTIFICADO 1'!C15</f>
        <v/>
      </c>
      <c r="G78" s="461"/>
      <c r="H78" s="461"/>
      <c r="I78" s="461"/>
      <c r="J78" s="462" t="str">
        <f aca="false">'CERTIFICADO 1'!D15</f>
        <v/>
      </c>
      <c r="K78" s="462"/>
      <c r="L78" s="462"/>
      <c r="M78" s="463" t="str">
        <f aca="false">'CERTIFICADO 1'!F15</f>
        <v/>
      </c>
      <c r="N78" s="463"/>
      <c r="O78" s="463"/>
      <c r="P78" s="463"/>
      <c r="Q78" s="463"/>
    </row>
    <row r="79" customFormat="false" ht="15.75" hidden="false" customHeight="true" outlineLevel="0" collapsed="false">
      <c r="B79" s="460" t="e">
        <f aca="false">'CERTIFICADO 1'!B16</f>
        <v>#VALUE!</v>
      </c>
      <c r="C79" s="460"/>
      <c r="D79" s="460"/>
      <c r="E79" s="460"/>
      <c r="F79" s="461" t="str">
        <f aca="false">'CERTIFICADO 1'!C16</f>
        <v/>
      </c>
      <c r="G79" s="461"/>
      <c r="H79" s="461"/>
      <c r="I79" s="461"/>
      <c r="J79" s="462" t="str">
        <f aca="false">'CERTIFICADO 1'!D16</f>
        <v/>
      </c>
      <c r="K79" s="462"/>
      <c r="L79" s="462"/>
      <c r="M79" s="463" t="str">
        <f aca="false">'CERTIFICADO 1'!F16</f>
        <v/>
      </c>
      <c r="N79" s="463"/>
      <c r="O79" s="463"/>
      <c r="P79" s="463"/>
      <c r="Q79" s="463"/>
    </row>
    <row r="80" customFormat="false" ht="15.75" hidden="false" customHeight="true" outlineLevel="0" collapsed="false">
      <c r="B80" s="460" t="e">
        <f aca="false">'CERTIFICADO 1'!B17</f>
        <v>#VALUE!</v>
      </c>
      <c r="C80" s="460"/>
      <c r="D80" s="460"/>
      <c r="E80" s="460"/>
      <c r="F80" s="461" t="str">
        <f aca="false">'CERTIFICADO 1'!C17</f>
        <v/>
      </c>
      <c r="G80" s="461"/>
      <c r="H80" s="461"/>
      <c r="I80" s="461"/>
      <c r="J80" s="462" t="str">
        <f aca="false">'CERTIFICADO 1'!D17</f>
        <v/>
      </c>
      <c r="K80" s="462"/>
      <c r="L80" s="462"/>
      <c r="M80" s="463" t="str">
        <f aca="false">'CERTIFICADO 1'!F17</f>
        <v/>
      </c>
      <c r="N80" s="463"/>
      <c r="O80" s="463"/>
      <c r="P80" s="463"/>
      <c r="Q80" s="463"/>
    </row>
    <row r="81" customFormat="false" ht="15.75" hidden="false" customHeight="true" outlineLevel="0" collapsed="false">
      <c r="B81" s="460" t="e">
        <f aca="false">'CERTIFICADO 1'!B18</f>
        <v>#VALUE!</v>
      </c>
      <c r="C81" s="460"/>
      <c r="D81" s="460"/>
      <c r="E81" s="460"/>
      <c r="F81" s="461" t="str">
        <f aca="false">'CERTIFICADO 1'!C18</f>
        <v/>
      </c>
      <c r="G81" s="461"/>
      <c r="H81" s="461"/>
      <c r="I81" s="461"/>
      <c r="J81" s="462" t="str">
        <f aca="false">'CERTIFICADO 1'!D18</f>
        <v/>
      </c>
      <c r="K81" s="462"/>
      <c r="L81" s="462"/>
      <c r="M81" s="463" t="str">
        <f aca="false">'CERTIFICADO 1'!F18</f>
        <v/>
      </c>
      <c r="N81" s="463"/>
      <c r="O81" s="463"/>
      <c r="P81" s="463"/>
      <c r="Q81" s="463"/>
    </row>
    <row r="82" customFormat="false" ht="15.75" hidden="false" customHeight="true" outlineLevel="0" collapsed="false">
      <c r="B82" s="460" t="e">
        <f aca="false">'CERTIFICADO 1'!B19</f>
        <v>#VALUE!</v>
      </c>
      <c r="C82" s="460"/>
      <c r="D82" s="460"/>
      <c r="E82" s="460"/>
      <c r="F82" s="461" t="str">
        <f aca="false">'CERTIFICADO 1'!C19</f>
        <v/>
      </c>
      <c r="G82" s="461"/>
      <c r="H82" s="461"/>
      <c r="I82" s="461"/>
      <c r="J82" s="462" t="str">
        <f aca="false">'CERTIFICADO 1'!D19</f>
        <v/>
      </c>
      <c r="K82" s="462"/>
      <c r="L82" s="462"/>
      <c r="M82" s="463" t="str">
        <f aca="false">'CERTIFICADO 1'!F19</f>
        <v/>
      </c>
      <c r="N82" s="463"/>
      <c r="O82" s="463"/>
      <c r="P82" s="463"/>
      <c r="Q82" s="463"/>
    </row>
    <row r="83" customFormat="false" ht="15.75" hidden="false" customHeight="true" outlineLevel="0" collapsed="false">
      <c r="B83" s="460" t="e">
        <f aca="false">'CERTIFICADO 1'!B20</f>
        <v>#VALUE!</v>
      </c>
      <c r="C83" s="460"/>
      <c r="D83" s="460"/>
      <c r="E83" s="460"/>
      <c r="F83" s="461" t="str">
        <f aca="false">'CERTIFICADO 1'!C20</f>
        <v/>
      </c>
      <c r="G83" s="461"/>
      <c r="H83" s="461"/>
      <c r="I83" s="461"/>
      <c r="J83" s="462" t="str">
        <f aca="false">'CERTIFICADO 1'!D20</f>
        <v/>
      </c>
      <c r="K83" s="462"/>
      <c r="L83" s="462"/>
      <c r="M83" s="463" t="str">
        <f aca="false">'CERTIFICADO 1'!F20</f>
        <v/>
      </c>
      <c r="N83" s="463"/>
      <c r="O83" s="463"/>
      <c r="P83" s="463"/>
      <c r="Q83" s="463"/>
    </row>
    <row r="84" customFormat="false" ht="15.75" hidden="false" customHeight="true" outlineLevel="0" collapsed="false">
      <c r="B84" s="460" t="e">
        <f aca="false">'CERTIFICADO 1'!B21</f>
        <v>#VALUE!</v>
      </c>
      <c r="C84" s="460"/>
      <c r="D84" s="460"/>
      <c r="E84" s="460"/>
      <c r="F84" s="461" t="str">
        <f aca="false">'CERTIFICADO 1'!C21</f>
        <v/>
      </c>
      <c r="G84" s="461"/>
      <c r="H84" s="461"/>
      <c r="I84" s="461"/>
      <c r="J84" s="462" t="str">
        <f aca="false">'CERTIFICADO 1'!D21</f>
        <v/>
      </c>
      <c r="K84" s="462"/>
      <c r="L84" s="462"/>
      <c r="M84" s="463" t="str">
        <f aca="false">'CERTIFICADO 1'!F21</f>
        <v/>
      </c>
      <c r="N84" s="463"/>
      <c r="O84" s="463"/>
      <c r="P84" s="463"/>
      <c r="Q84" s="463"/>
    </row>
    <row r="85" customFormat="false" ht="15.75" hidden="false" customHeight="true" outlineLevel="0" collapsed="false">
      <c r="B85" s="460" t="e">
        <f aca="false">'CERTIFICADO 1'!B22</f>
        <v>#VALUE!</v>
      </c>
      <c r="C85" s="460"/>
      <c r="D85" s="460"/>
      <c r="E85" s="460"/>
      <c r="F85" s="461" t="str">
        <f aca="false">'CERTIFICADO 1'!C22</f>
        <v/>
      </c>
      <c r="G85" s="461"/>
      <c r="H85" s="461"/>
      <c r="I85" s="461"/>
      <c r="J85" s="462" t="str">
        <f aca="false">'CERTIFICADO 1'!D22</f>
        <v/>
      </c>
      <c r="K85" s="462"/>
      <c r="L85" s="462"/>
      <c r="M85" s="463" t="str">
        <f aca="false">'CERTIFICADO 1'!F22</f>
        <v/>
      </c>
      <c r="N85" s="463"/>
      <c r="O85" s="463"/>
      <c r="P85" s="463"/>
      <c r="Q85" s="463"/>
    </row>
    <row r="86" customFormat="false" ht="15.75" hidden="false" customHeight="true" outlineLevel="0" collapsed="false">
      <c r="B86" s="460" t="e">
        <f aca="false">'CERTIFICADO 1'!B23</f>
        <v>#VALUE!</v>
      </c>
      <c r="C86" s="460"/>
      <c r="D86" s="460"/>
      <c r="E86" s="460"/>
      <c r="F86" s="461" t="str">
        <f aca="false">'CERTIFICADO 1'!C23</f>
        <v/>
      </c>
      <c r="G86" s="461"/>
      <c r="H86" s="461"/>
      <c r="I86" s="461"/>
      <c r="J86" s="462" t="str">
        <f aca="false">'CERTIFICADO 1'!D23</f>
        <v/>
      </c>
      <c r="K86" s="462"/>
      <c r="L86" s="462"/>
      <c r="M86" s="463" t="str">
        <f aca="false">'CERTIFICADO 1'!F23</f>
        <v/>
      </c>
      <c r="N86" s="463"/>
      <c r="O86" s="463"/>
      <c r="P86" s="463"/>
      <c r="Q86" s="463"/>
    </row>
    <row r="87" customFormat="false" ht="15.75" hidden="false" customHeight="true" outlineLevel="0" collapsed="false">
      <c r="B87" s="460" t="e">
        <f aca="false">'CERTIFICADO 1'!B24</f>
        <v>#VALUE!</v>
      </c>
      <c r="C87" s="460"/>
      <c r="D87" s="460"/>
      <c r="E87" s="460"/>
      <c r="F87" s="461" t="str">
        <f aca="false">'CERTIFICADO 1'!C24</f>
        <v/>
      </c>
      <c r="G87" s="461"/>
      <c r="H87" s="461"/>
      <c r="I87" s="461"/>
      <c r="J87" s="462" t="str">
        <f aca="false">'CERTIFICADO 1'!D24</f>
        <v/>
      </c>
      <c r="K87" s="462"/>
      <c r="L87" s="462"/>
      <c r="M87" s="463" t="str">
        <f aca="false">'CERTIFICADO 1'!F24</f>
        <v/>
      </c>
      <c r="N87" s="463"/>
      <c r="O87" s="463"/>
      <c r="P87" s="463"/>
      <c r="Q87" s="463"/>
    </row>
    <row r="88" customFormat="false" ht="15.75" hidden="false" customHeight="true" outlineLevel="0" collapsed="false">
      <c r="B88" s="460" t="e">
        <f aca="false">'CERTIFICADO 1'!B25</f>
        <v>#VALUE!</v>
      </c>
      <c r="C88" s="460"/>
      <c r="D88" s="460"/>
      <c r="E88" s="460"/>
      <c r="F88" s="461" t="str">
        <f aca="false">'CERTIFICADO 1'!C25</f>
        <v/>
      </c>
      <c r="G88" s="461"/>
      <c r="H88" s="461"/>
      <c r="I88" s="461"/>
      <c r="J88" s="462" t="str">
        <f aca="false">'CERTIFICADO 1'!D25</f>
        <v/>
      </c>
      <c r="K88" s="462"/>
      <c r="L88" s="462"/>
      <c r="M88" s="463" t="str">
        <f aca="false">'CERTIFICADO 1'!F25</f>
        <v/>
      </c>
      <c r="N88" s="463"/>
      <c r="O88" s="463"/>
      <c r="P88" s="463"/>
      <c r="Q88" s="463"/>
    </row>
    <row r="89" customFormat="false" ht="15.75" hidden="false" customHeight="true" outlineLevel="0" collapsed="false">
      <c r="B89" s="460" t="e">
        <f aca="false">'CERTIFICADO 1'!B26</f>
        <v>#VALUE!</v>
      </c>
      <c r="C89" s="460"/>
      <c r="D89" s="460"/>
      <c r="E89" s="460"/>
      <c r="F89" s="461" t="str">
        <f aca="false">'CERTIFICADO 1'!C26</f>
        <v/>
      </c>
      <c r="G89" s="461"/>
      <c r="H89" s="461"/>
      <c r="I89" s="461"/>
      <c r="J89" s="462" t="str">
        <f aca="false">'CERTIFICADO 1'!D26</f>
        <v/>
      </c>
      <c r="K89" s="462"/>
      <c r="L89" s="462"/>
      <c r="M89" s="463" t="str">
        <f aca="false">'CERTIFICADO 1'!F26</f>
        <v/>
      </c>
      <c r="N89" s="463"/>
      <c r="O89" s="463"/>
      <c r="P89" s="463"/>
      <c r="Q89" s="463"/>
    </row>
    <row r="90" customFormat="false" ht="15.75" hidden="false" customHeight="true" outlineLevel="0" collapsed="false">
      <c r="B90" s="460" t="e">
        <f aca="false">'CERTIFICADO 1'!B27</f>
        <v>#VALUE!</v>
      </c>
      <c r="C90" s="460"/>
      <c r="D90" s="460"/>
      <c r="E90" s="460"/>
      <c r="F90" s="461" t="str">
        <f aca="false">'CERTIFICADO 1'!C27</f>
        <v/>
      </c>
      <c r="G90" s="461"/>
      <c r="H90" s="461"/>
      <c r="I90" s="461"/>
      <c r="J90" s="462" t="str">
        <f aca="false">'CERTIFICADO 1'!D27</f>
        <v/>
      </c>
      <c r="K90" s="462"/>
      <c r="L90" s="462"/>
      <c r="M90" s="463" t="str">
        <f aca="false">'CERTIFICADO 1'!F27</f>
        <v/>
      </c>
      <c r="N90" s="463"/>
      <c r="O90" s="463"/>
      <c r="P90" s="463"/>
      <c r="Q90" s="463"/>
    </row>
    <row r="91" customFormat="false" ht="15.75" hidden="false" customHeight="true" outlineLevel="0" collapsed="false">
      <c r="B91" s="460" t="e">
        <f aca="false">'CERTIFICADO 1'!B28</f>
        <v>#VALUE!</v>
      </c>
      <c r="C91" s="460"/>
      <c r="D91" s="460"/>
      <c r="E91" s="460"/>
      <c r="F91" s="461" t="str">
        <f aca="false">'CERTIFICADO 1'!C28</f>
        <v/>
      </c>
      <c r="G91" s="461"/>
      <c r="H91" s="461"/>
      <c r="I91" s="461"/>
      <c r="J91" s="462" t="str">
        <f aca="false">'CERTIFICADO 1'!D28</f>
        <v/>
      </c>
      <c r="K91" s="462"/>
      <c r="L91" s="462"/>
      <c r="M91" s="463" t="str">
        <f aca="false">'CERTIFICADO 1'!F28</f>
        <v/>
      </c>
      <c r="N91" s="463"/>
      <c r="O91" s="463"/>
      <c r="P91" s="463"/>
      <c r="Q91" s="463"/>
    </row>
    <row r="92" customFormat="false" ht="15.75" hidden="false" customHeight="true" outlineLevel="0" collapsed="false">
      <c r="B92" s="460" t="e">
        <f aca="false">'CERTIFICADO 1'!B29</f>
        <v>#VALUE!</v>
      </c>
      <c r="C92" s="460"/>
      <c r="D92" s="460"/>
      <c r="E92" s="460"/>
      <c r="F92" s="461" t="str">
        <f aca="false">'CERTIFICADO 1'!C29</f>
        <v/>
      </c>
      <c r="G92" s="461"/>
      <c r="H92" s="461"/>
      <c r="I92" s="461"/>
      <c r="J92" s="462" t="str">
        <f aca="false">'CERTIFICADO 1'!D29</f>
        <v/>
      </c>
      <c r="K92" s="462"/>
      <c r="L92" s="462"/>
      <c r="M92" s="463" t="str">
        <f aca="false">'CERTIFICADO 1'!F29</f>
        <v/>
      </c>
      <c r="N92" s="463"/>
      <c r="O92" s="463"/>
      <c r="P92" s="463"/>
      <c r="Q92" s="463"/>
    </row>
    <row r="94" customFormat="false" ht="15.75" hidden="false" customHeight="true" outlineLevel="0" collapsed="false">
      <c r="A94" s="464"/>
      <c r="B94" s="464"/>
      <c r="C94" s="464"/>
      <c r="D94" s="464"/>
      <c r="E94" s="464"/>
      <c r="F94" s="464"/>
      <c r="G94" s="464"/>
      <c r="H94" s="464"/>
      <c r="I94" s="464"/>
      <c r="J94" s="464"/>
      <c r="K94" s="464"/>
      <c r="L94" s="464"/>
      <c r="M94" s="464"/>
      <c r="N94" s="464"/>
      <c r="O94" s="464"/>
      <c r="P94" s="449" t="s">
        <v>561</v>
      </c>
      <c r="Q94" s="449"/>
      <c r="R94" s="449"/>
    </row>
    <row r="95" customFormat="false" ht="15.75" hidden="false" customHeight="true" outlineLevel="0" collapsed="false">
      <c r="A95" s="450" t="s">
        <v>551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0"/>
      <c r="M95" s="450"/>
      <c r="N95" s="450"/>
      <c r="O95" s="450"/>
      <c r="P95" s="450"/>
      <c r="Q95" s="450"/>
      <c r="R95" s="450"/>
    </row>
    <row r="96" customFormat="false" ht="15.75" hidden="false" customHeight="true" outlineLevel="0" collapsed="false">
      <c r="A96" s="450"/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0"/>
      <c r="M96" s="450"/>
      <c r="N96" s="450"/>
      <c r="O96" s="450"/>
      <c r="P96" s="450"/>
      <c r="Q96" s="450"/>
      <c r="R96" s="450"/>
    </row>
    <row r="97" customFormat="false" ht="15.75" hidden="false" customHeight="true" outlineLevel="0" collapsed="false">
      <c r="A97" s="450"/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</row>
    <row r="98" customFormat="false" ht="15.75" hidden="false" customHeight="true" outlineLevel="0" collapsed="false">
      <c r="A98" s="450"/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0"/>
      <c r="M98" s="450"/>
      <c r="N98" s="450"/>
      <c r="O98" s="450"/>
      <c r="P98" s="450"/>
      <c r="Q98" s="450"/>
      <c r="R98" s="450"/>
    </row>
    <row r="100" customFormat="false" ht="15.75" hidden="false" customHeight="true" outlineLevel="0" collapsed="false">
      <c r="A100" s="451"/>
      <c r="M100" s="422" t="str">
        <f aca="false">M51</f>
        <v>LCM 03890122</v>
      </c>
      <c r="N100" s="422"/>
      <c r="O100" s="422"/>
      <c r="P100" s="422"/>
      <c r="Q100" s="422"/>
      <c r="R100" s="422"/>
    </row>
    <row r="101" customFormat="false" ht="15.75" hidden="false" customHeight="true" outlineLevel="0" collapsed="false">
      <c r="M101" s="422"/>
      <c r="N101" s="422"/>
      <c r="O101" s="422"/>
      <c r="P101" s="422"/>
      <c r="Q101" s="422"/>
      <c r="R101" s="422"/>
    </row>
    <row r="102" customFormat="false" ht="15.75" hidden="false" customHeight="true" outlineLevel="0" collapsed="false">
      <c r="M102" s="422"/>
      <c r="N102" s="422"/>
      <c r="O102" s="422"/>
      <c r="P102" s="422"/>
      <c r="Q102" s="422"/>
      <c r="R102" s="422"/>
    </row>
    <row r="103" customFormat="false" ht="15.75" hidden="false" customHeight="true" outlineLevel="0" collapsed="false">
      <c r="M103" s="465"/>
      <c r="N103" s="465"/>
      <c r="O103" s="465"/>
      <c r="P103" s="465"/>
      <c r="Q103" s="465"/>
      <c r="R103" s="465"/>
    </row>
    <row r="104" customFormat="false" ht="15.75" hidden="false" customHeight="true" outlineLevel="0" collapsed="false">
      <c r="M104" s="465"/>
      <c r="N104" s="465"/>
      <c r="O104" s="465"/>
      <c r="P104" s="465"/>
      <c r="Q104" s="465"/>
      <c r="R104" s="465"/>
    </row>
    <row r="105" customFormat="false" ht="15.75" hidden="false" customHeight="true" outlineLevel="0" collapsed="false">
      <c r="B105" s="458" t="s">
        <v>557</v>
      </c>
      <c r="C105" s="458"/>
      <c r="D105" s="458"/>
      <c r="E105" s="458"/>
      <c r="F105" s="459" t="s">
        <v>558</v>
      </c>
      <c r="G105" s="459"/>
      <c r="H105" s="459"/>
      <c r="I105" s="459"/>
      <c r="J105" s="459" t="s">
        <v>559</v>
      </c>
      <c r="K105" s="459"/>
      <c r="L105" s="459"/>
      <c r="M105" s="459" t="s">
        <v>562</v>
      </c>
      <c r="N105" s="459"/>
      <c r="O105" s="459"/>
      <c r="P105" s="459"/>
      <c r="Q105" s="459"/>
      <c r="R105" s="465"/>
    </row>
    <row r="106" customFormat="false" ht="27" hidden="false" customHeight="true" outlineLevel="0" collapsed="false">
      <c r="B106" s="458"/>
      <c r="C106" s="458"/>
      <c r="D106" s="458"/>
      <c r="E106" s="458"/>
      <c r="F106" s="459"/>
      <c r="G106" s="459"/>
      <c r="H106" s="459"/>
      <c r="I106" s="459"/>
      <c r="J106" s="459"/>
      <c r="K106" s="459"/>
      <c r="L106" s="459"/>
      <c r="M106" s="459"/>
      <c r="N106" s="459"/>
      <c r="O106" s="459"/>
      <c r="P106" s="459"/>
      <c r="Q106" s="459"/>
    </row>
    <row r="107" customFormat="false" ht="15.75" hidden="false" customHeight="true" outlineLevel="0" collapsed="false">
      <c r="B107" s="458"/>
      <c r="C107" s="458"/>
      <c r="D107" s="458"/>
      <c r="E107" s="458"/>
      <c r="F107" s="459"/>
      <c r="G107" s="459"/>
      <c r="H107" s="459"/>
      <c r="I107" s="459"/>
      <c r="J107" s="459"/>
      <c r="K107" s="459"/>
      <c r="L107" s="459"/>
      <c r="M107" s="459"/>
      <c r="N107" s="459"/>
      <c r="O107" s="459"/>
      <c r="P107" s="459"/>
      <c r="Q107" s="459"/>
    </row>
    <row r="108" customFormat="false" ht="15.75" hidden="false" customHeight="true" outlineLevel="0" collapsed="false">
      <c r="B108" s="460" t="e">
        <f aca="false">'CERTIFICADO 1'!B30</f>
        <v>#VALUE!</v>
      </c>
      <c r="C108" s="460"/>
      <c r="D108" s="460"/>
      <c r="E108" s="460"/>
      <c r="F108" s="461" t="str">
        <f aca="false">'CERTIFICADO 1'!C30</f>
        <v/>
      </c>
      <c r="G108" s="461"/>
      <c r="H108" s="461"/>
      <c r="I108" s="461"/>
      <c r="J108" s="462" t="str">
        <f aca="false">'CERTIFICADO 1'!D30</f>
        <v/>
      </c>
      <c r="K108" s="462"/>
      <c r="L108" s="462"/>
      <c r="M108" s="463" t="str">
        <f aca="false">'CERTIFICADO 1'!F30</f>
        <v/>
      </c>
      <c r="N108" s="463"/>
      <c r="O108" s="463"/>
      <c r="P108" s="463"/>
      <c r="Q108" s="463"/>
    </row>
    <row r="109" customFormat="false" ht="15.75" hidden="false" customHeight="true" outlineLevel="0" collapsed="false">
      <c r="B109" s="460" t="e">
        <f aca="false">'CERTIFICADO 1'!B31</f>
        <v>#VALUE!</v>
      </c>
      <c r="C109" s="460"/>
      <c r="D109" s="460"/>
      <c r="E109" s="460"/>
      <c r="F109" s="461" t="str">
        <f aca="false">'CERTIFICADO 1'!C31</f>
        <v/>
      </c>
      <c r="G109" s="461"/>
      <c r="H109" s="461"/>
      <c r="I109" s="461"/>
      <c r="J109" s="462" t="str">
        <f aca="false">'CERTIFICADO 1'!D31</f>
        <v/>
      </c>
      <c r="K109" s="462"/>
      <c r="L109" s="462"/>
      <c r="M109" s="463" t="str">
        <f aca="false">'CERTIFICADO 1'!F31</f>
        <v/>
      </c>
      <c r="N109" s="463"/>
      <c r="O109" s="463"/>
      <c r="P109" s="463"/>
      <c r="Q109" s="463"/>
    </row>
    <row r="110" customFormat="false" ht="15.75" hidden="false" customHeight="true" outlineLevel="0" collapsed="false">
      <c r="B110" s="460" t="e">
        <f aca="false">'CERTIFICADO 1'!B32</f>
        <v>#VALUE!</v>
      </c>
      <c r="C110" s="460"/>
      <c r="D110" s="460"/>
      <c r="E110" s="460"/>
      <c r="F110" s="461" t="str">
        <f aca="false">'CERTIFICADO 1'!C32</f>
        <v/>
      </c>
      <c r="G110" s="461"/>
      <c r="H110" s="461"/>
      <c r="I110" s="461"/>
      <c r="J110" s="462" t="str">
        <f aca="false">'CERTIFICADO 1'!D32</f>
        <v/>
      </c>
      <c r="K110" s="462"/>
      <c r="L110" s="462"/>
      <c r="M110" s="463" t="str">
        <f aca="false">'CERTIFICADO 1'!F32</f>
        <v/>
      </c>
      <c r="N110" s="463"/>
      <c r="O110" s="463"/>
      <c r="P110" s="463"/>
      <c r="Q110" s="463"/>
    </row>
    <row r="111" customFormat="false" ht="15.75" hidden="false" customHeight="true" outlineLevel="0" collapsed="false">
      <c r="B111" s="460" t="e">
        <f aca="false">'CERTIFICADO 1'!B33</f>
        <v>#VALUE!</v>
      </c>
      <c r="C111" s="460"/>
      <c r="D111" s="460"/>
      <c r="E111" s="460"/>
      <c r="F111" s="461" t="str">
        <f aca="false">'CERTIFICADO 1'!C33</f>
        <v/>
      </c>
      <c r="G111" s="461"/>
      <c r="H111" s="461"/>
      <c r="I111" s="461"/>
      <c r="J111" s="462" t="str">
        <f aca="false">'CERTIFICADO 1'!D33</f>
        <v/>
      </c>
      <c r="K111" s="462"/>
      <c r="L111" s="462"/>
      <c r="M111" s="463" t="str">
        <f aca="false">'CERTIFICADO 1'!F33</f>
        <v/>
      </c>
      <c r="N111" s="463"/>
      <c r="O111" s="463"/>
      <c r="P111" s="463"/>
      <c r="Q111" s="463"/>
    </row>
    <row r="112" customFormat="false" ht="15.75" hidden="false" customHeight="true" outlineLevel="0" collapsed="false">
      <c r="B112" s="466"/>
      <c r="C112" s="466"/>
      <c r="D112" s="466"/>
      <c r="E112" s="466"/>
      <c r="F112" s="467"/>
      <c r="G112" s="467"/>
      <c r="H112" s="467"/>
      <c r="I112" s="467"/>
      <c r="J112" s="467"/>
      <c r="K112" s="467"/>
      <c r="L112" s="467"/>
      <c r="M112" s="467"/>
      <c r="N112" s="467"/>
      <c r="O112" s="467"/>
      <c r="P112" s="467"/>
      <c r="Q112" s="467"/>
    </row>
    <row r="113" customFormat="false" ht="15.75" hidden="false" customHeight="true" outlineLevel="0" collapsed="false">
      <c r="A113" s="430" t="s">
        <v>26</v>
      </c>
      <c r="C113" s="444"/>
      <c r="D113" s="455"/>
      <c r="E113" s="455"/>
      <c r="F113" s="455"/>
      <c r="G113" s="455"/>
      <c r="H113" s="455"/>
      <c r="I113" s="467"/>
      <c r="J113" s="467"/>
      <c r="K113" s="467"/>
      <c r="L113" s="467"/>
      <c r="M113" s="467"/>
    </row>
    <row r="114" customFormat="false" ht="15.75" hidden="false" customHeight="true" outlineLevel="0" collapsed="false">
      <c r="A114" s="468"/>
      <c r="B114" s="469" t="s">
        <v>563</v>
      </c>
      <c r="C114" s="470" t="s">
        <v>564</v>
      </c>
      <c r="D114" s="470"/>
      <c r="E114" s="470"/>
      <c r="F114" s="470"/>
      <c r="G114" s="470"/>
      <c r="H114" s="470"/>
      <c r="I114" s="470"/>
      <c r="J114" s="470"/>
      <c r="K114" s="470"/>
      <c r="L114" s="470"/>
      <c r="M114" s="470"/>
      <c r="N114" s="470"/>
      <c r="O114" s="470"/>
      <c r="P114" s="470"/>
      <c r="Q114" s="470"/>
      <c r="R114" s="470"/>
    </row>
    <row r="115" customFormat="false" ht="15.75" hidden="false" customHeight="true" outlineLevel="0" collapsed="false">
      <c r="A115" s="468"/>
      <c r="B115" s="469"/>
      <c r="C115" s="470"/>
      <c r="D115" s="470"/>
      <c r="E115" s="470"/>
      <c r="F115" s="470"/>
      <c r="G115" s="470"/>
      <c r="H115" s="470"/>
      <c r="I115" s="470"/>
      <c r="J115" s="470"/>
      <c r="K115" s="470"/>
      <c r="L115" s="470"/>
      <c r="M115" s="470"/>
      <c r="N115" s="470"/>
      <c r="O115" s="470"/>
      <c r="P115" s="470"/>
      <c r="Q115" s="470"/>
      <c r="R115" s="470"/>
    </row>
    <row r="116" customFormat="false" ht="15.75" hidden="false" customHeight="true" outlineLevel="0" collapsed="false">
      <c r="A116" s="468"/>
      <c r="B116" s="469"/>
      <c r="C116" s="470"/>
      <c r="D116" s="470"/>
      <c r="E116" s="470"/>
      <c r="F116" s="470"/>
      <c r="G116" s="470"/>
      <c r="H116" s="470"/>
      <c r="I116" s="470"/>
      <c r="J116" s="470"/>
      <c r="K116" s="470"/>
      <c r="L116" s="470"/>
      <c r="M116" s="470"/>
      <c r="N116" s="470"/>
      <c r="O116" s="470"/>
      <c r="P116" s="470"/>
      <c r="Q116" s="470"/>
      <c r="R116" s="470"/>
    </row>
    <row r="117" customFormat="false" ht="15.75" hidden="false" customHeight="true" outlineLevel="0" collapsed="false">
      <c r="A117" s="468"/>
      <c r="B117" s="469"/>
      <c r="C117" s="470"/>
      <c r="D117" s="470"/>
      <c r="E117" s="470"/>
      <c r="F117" s="470"/>
      <c r="G117" s="470"/>
      <c r="H117" s="470"/>
      <c r="I117" s="470"/>
      <c r="J117" s="470"/>
      <c r="K117" s="470"/>
      <c r="L117" s="470"/>
      <c r="M117" s="470"/>
      <c r="N117" s="470"/>
      <c r="O117" s="470"/>
      <c r="P117" s="470"/>
      <c r="Q117" s="470"/>
      <c r="R117" s="470"/>
    </row>
    <row r="118" customFormat="false" ht="15.75" hidden="false" customHeight="true" outlineLevel="0" collapsed="false">
      <c r="A118" s="468"/>
      <c r="B118" s="469"/>
      <c r="C118" s="470"/>
      <c r="D118" s="470"/>
      <c r="E118" s="470"/>
      <c r="F118" s="470"/>
      <c r="G118" s="470"/>
      <c r="H118" s="470"/>
      <c r="I118" s="470"/>
      <c r="J118" s="470"/>
      <c r="K118" s="470"/>
      <c r="L118" s="470"/>
      <c r="M118" s="470"/>
      <c r="N118" s="470"/>
      <c r="O118" s="470"/>
      <c r="P118" s="470"/>
      <c r="Q118" s="470"/>
      <c r="R118" s="470"/>
    </row>
    <row r="119" customFormat="false" ht="15.75" hidden="false" customHeight="true" outlineLevel="0" collapsed="false">
      <c r="B119" s="469" t="s">
        <v>563</v>
      </c>
      <c r="C119" s="471" t="s">
        <v>565</v>
      </c>
      <c r="D119" s="471"/>
      <c r="E119" s="471"/>
      <c r="F119" s="471"/>
      <c r="G119" s="471"/>
      <c r="H119" s="471"/>
      <c r="I119" s="471"/>
      <c r="J119" s="471"/>
      <c r="K119" s="471"/>
      <c r="L119" s="471"/>
      <c r="M119" s="471"/>
      <c r="N119" s="471"/>
      <c r="O119" s="471"/>
      <c r="P119" s="471"/>
      <c r="Q119" s="471"/>
      <c r="R119" s="471"/>
    </row>
    <row r="120" customFormat="false" ht="15.75" hidden="false" customHeight="true" outlineLevel="0" collapsed="false">
      <c r="B120" s="469" t="s">
        <v>563</v>
      </c>
      <c r="C120" s="470" t="s">
        <v>566</v>
      </c>
      <c r="D120" s="470"/>
      <c r="E120" s="470"/>
      <c r="F120" s="470"/>
      <c r="G120" s="470"/>
      <c r="H120" s="470"/>
      <c r="I120" s="470"/>
      <c r="J120" s="470"/>
      <c r="K120" s="470"/>
      <c r="L120" s="470"/>
      <c r="M120" s="470"/>
      <c r="N120" s="470"/>
      <c r="O120" s="470"/>
      <c r="P120" s="470"/>
      <c r="Q120" s="470"/>
      <c r="R120" s="470"/>
    </row>
    <row r="121" customFormat="false" ht="15" hidden="false" customHeight="false" outlineLevel="0" collapsed="false">
      <c r="B121" s="469"/>
      <c r="C121" s="470"/>
      <c r="D121" s="470"/>
      <c r="E121" s="470"/>
      <c r="F121" s="470"/>
      <c r="G121" s="470"/>
      <c r="H121" s="470"/>
      <c r="I121" s="470"/>
      <c r="J121" s="470"/>
      <c r="K121" s="470"/>
      <c r="L121" s="470"/>
      <c r="M121" s="470"/>
      <c r="N121" s="470"/>
      <c r="O121" s="470"/>
      <c r="P121" s="470"/>
      <c r="Q121" s="470"/>
      <c r="R121" s="470"/>
    </row>
    <row r="122" customFormat="false" ht="15.75" hidden="false" customHeight="true" outlineLevel="0" collapsed="false">
      <c r="A122" s="468"/>
      <c r="B122" s="469" t="s">
        <v>563</v>
      </c>
      <c r="C122" s="470" t="s">
        <v>567</v>
      </c>
      <c r="D122" s="470"/>
      <c r="E122" s="470"/>
      <c r="F122" s="470"/>
      <c r="G122" s="470"/>
      <c r="H122" s="470"/>
      <c r="I122" s="470"/>
      <c r="J122" s="470"/>
      <c r="K122" s="470"/>
      <c r="L122" s="470"/>
      <c r="M122" s="470"/>
      <c r="N122" s="470"/>
      <c r="O122" s="470"/>
      <c r="P122" s="470"/>
      <c r="Q122" s="470"/>
      <c r="R122" s="470"/>
    </row>
    <row r="123" customFormat="false" ht="15" hidden="false" customHeight="false" outlineLevel="0" collapsed="false">
      <c r="A123" s="468"/>
      <c r="B123" s="469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R123" s="470"/>
    </row>
    <row r="124" customFormat="false" ht="23.25" hidden="false" customHeight="true" outlineLevel="0" collapsed="false">
      <c r="A124" s="468"/>
      <c r="B124" s="469" t="s">
        <v>563</v>
      </c>
      <c r="C124" s="470" t="s">
        <v>568</v>
      </c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R124" s="470"/>
    </row>
    <row r="125" customFormat="false" ht="15.75" hidden="true" customHeight="true" outlineLevel="0" collapsed="false">
      <c r="A125" s="468"/>
      <c r="B125" s="468"/>
      <c r="C125" s="470"/>
      <c r="D125" s="470"/>
      <c r="E125" s="470"/>
      <c r="F125" s="470"/>
      <c r="G125" s="470"/>
      <c r="H125" s="470"/>
      <c r="I125" s="470"/>
      <c r="J125" s="470"/>
      <c r="K125" s="470"/>
      <c r="L125" s="470"/>
      <c r="M125" s="470"/>
      <c r="N125" s="470"/>
      <c r="O125" s="470"/>
      <c r="P125" s="470"/>
      <c r="Q125" s="470"/>
      <c r="R125" s="470"/>
    </row>
    <row r="126" customFormat="false" ht="15.75" hidden="false" customHeight="true" outlineLevel="0" collapsed="false">
      <c r="A126" s="468"/>
      <c r="B126" s="469" t="s">
        <v>563</v>
      </c>
      <c r="C126" s="472" t="s">
        <v>569</v>
      </c>
      <c r="D126" s="472"/>
      <c r="E126" s="473"/>
      <c r="F126" s="473"/>
      <c r="G126" s="473"/>
      <c r="I126" s="472"/>
      <c r="J126" s="472"/>
      <c r="K126" s="472"/>
      <c r="L126" s="472"/>
      <c r="N126" s="472"/>
      <c r="O126" s="472"/>
      <c r="P126" s="474"/>
      <c r="Q126" s="474"/>
    </row>
    <row r="127" customFormat="false" ht="15.75" hidden="false" customHeight="true" outlineLevel="0" collapsed="false">
      <c r="A127" s="468"/>
      <c r="B127" s="468"/>
      <c r="E127" s="475" t="e">
        <f aca="false">CONCATENATE("Temperatura: ","(",ROUND(INFORMACION!I44,1)," ± ",ROUND(INFORMACION!K44,1),") °C")</f>
        <v>#VALUE!</v>
      </c>
      <c r="F127" s="475"/>
      <c r="G127" s="475"/>
      <c r="H127" s="475"/>
      <c r="I127" s="475"/>
      <c r="K127" s="476" t="e">
        <f aca="false">CONCATENATE("Humedad relativa: ","(",ROUND(INFORMACION!I47,1)," ± ",ROUND(INFORMACION!K47,1),") %")</f>
        <v>#VALUE!</v>
      </c>
      <c r="L127" s="476"/>
      <c r="M127" s="476"/>
      <c r="N127" s="476"/>
      <c r="O127" s="476"/>
      <c r="P127" s="476"/>
    </row>
    <row r="128" customFormat="false" ht="15.75" hidden="false" customHeight="true" outlineLevel="0" collapsed="false">
      <c r="A128" s="468"/>
      <c r="B128" s="468"/>
      <c r="D128" s="472"/>
      <c r="E128" s="472"/>
      <c r="F128" s="477" t="s">
        <v>570</v>
      </c>
      <c r="G128" s="477"/>
      <c r="H128" s="477"/>
      <c r="I128" s="477"/>
      <c r="J128" s="477"/>
      <c r="K128" s="477"/>
      <c r="L128" s="477"/>
      <c r="M128" s="477"/>
      <c r="N128" s="477"/>
      <c r="O128" s="477"/>
      <c r="P128" s="472"/>
      <c r="Q128" s="472"/>
    </row>
    <row r="129" customFormat="false" ht="15.75" hidden="false" customHeight="true" outlineLevel="0" collapsed="false">
      <c r="G129" s="478"/>
      <c r="H129" s="478"/>
      <c r="I129" s="478"/>
      <c r="J129" s="478"/>
      <c r="K129" s="478"/>
      <c r="L129" s="478"/>
      <c r="M129" s="478"/>
      <c r="N129" s="478"/>
      <c r="O129" s="478"/>
      <c r="P129" s="478"/>
      <c r="Q129" s="478"/>
      <c r="R129" s="478"/>
    </row>
    <row r="130" customFormat="false" ht="15.75" hidden="false" customHeight="true" outlineLevel="0" collapsed="false">
      <c r="A130" s="479" t="s">
        <v>571</v>
      </c>
      <c r="B130" s="479"/>
      <c r="C130" s="479"/>
      <c r="D130" s="479"/>
      <c r="E130" s="479"/>
      <c r="F130" s="480" t="s">
        <v>572</v>
      </c>
      <c r="G130" s="480"/>
      <c r="H130" s="480"/>
      <c r="I130" s="480"/>
      <c r="J130" s="480"/>
      <c r="K130" s="480"/>
      <c r="L130" s="480"/>
      <c r="M130" s="480"/>
      <c r="N130" s="480"/>
      <c r="O130" s="480"/>
      <c r="P130" s="480"/>
      <c r="Q130" s="480"/>
      <c r="R130" s="480"/>
    </row>
    <row r="131" customFormat="false" ht="15.75" hidden="false" customHeight="true" outlineLevel="0" collapsed="false">
      <c r="F131" s="480"/>
      <c r="G131" s="480"/>
      <c r="H131" s="480"/>
      <c r="I131" s="480"/>
      <c r="J131" s="480"/>
      <c r="K131" s="480"/>
      <c r="L131" s="480"/>
      <c r="M131" s="480"/>
      <c r="N131" s="480"/>
      <c r="O131" s="480"/>
      <c r="P131" s="480"/>
      <c r="Q131" s="480"/>
      <c r="R131" s="480"/>
    </row>
    <row r="132" customFormat="false" ht="15.75" hidden="false" customHeight="true" outlineLevel="0" collapsed="false">
      <c r="A132" s="481" t="s">
        <v>573</v>
      </c>
      <c r="B132" s="481"/>
      <c r="C132" s="481"/>
      <c r="D132" s="481"/>
      <c r="E132" s="481"/>
      <c r="F132" s="481"/>
      <c r="G132" s="481"/>
      <c r="H132" s="481"/>
      <c r="I132" s="481"/>
      <c r="J132" s="481"/>
      <c r="K132" s="481"/>
      <c r="L132" s="481"/>
      <c r="M132" s="481"/>
      <c r="N132" s="481"/>
      <c r="O132" s="481"/>
      <c r="P132" s="481"/>
      <c r="Q132" s="481"/>
      <c r="R132" s="481"/>
    </row>
    <row r="133" customFormat="false" ht="15.75" hidden="false" customHeight="true" outlineLevel="0" collapsed="false">
      <c r="B133" s="466"/>
      <c r="C133" s="466"/>
      <c r="D133" s="466"/>
      <c r="E133" s="466"/>
      <c r="F133" s="467"/>
      <c r="G133" s="467"/>
      <c r="H133" s="467"/>
      <c r="I133" s="467"/>
      <c r="J133" s="467"/>
      <c r="K133" s="467"/>
      <c r="L133" s="467"/>
      <c r="M133" s="467"/>
      <c r="N133" s="467"/>
      <c r="O133" s="467"/>
      <c r="P133" s="467"/>
      <c r="Q133" s="467"/>
    </row>
    <row r="134" customFormat="false" ht="15.75" hidden="false" customHeight="true" outlineLevel="0" collapsed="false">
      <c r="B134" s="466"/>
      <c r="C134" s="466"/>
      <c r="D134" s="466"/>
      <c r="E134" s="466"/>
      <c r="F134" s="467"/>
      <c r="G134" s="467"/>
      <c r="H134" s="467"/>
      <c r="I134" s="467"/>
      <c r="J134" s="467"/>
      <c r="K134" s="467"/>
      <c r="L134" s="467"/>
      <c r="M134" s="467"/>
      <c r="N134" s="467"/>
      <c r="O134" s="467"/>
      <c r="P134" s="467"/>
      <c r="Q134" s="467"/>
    </row>
    <row r="135" customFormat="false" ht="15.75" hidden="false" customHeight="true" outlineLevel="0" collapsed="false">
      <c r="B135" s="466"/>
      <c r="C135" s="466"/>
      <c r="D135" s="466"/>
      <c r="E135" s="466"/>
      <c r="F135" s="467"/>
      <c r="G135" s="467"/>
      <c r="H135" s="467"/>
      <c r="I135" s="467"/>
      <c r="J135" s="467"/>
      <c r="K135" s="467"/>
      <c r="L135" s="467"/>
      <c r="M135" s="467"/>
      <c r="N135" s="467"/>
      <c r="O135" s="467"/>
      <c r="P135" s="467"/>
      <c r="Q135" s="467"/>
    </row>
    <row r="136" customFormat="false" ht="15.75" hidden="false" customHeight="true" outlineLevel="0" collapsed="false">
      <c r="B136" s="466"/>
      <c r="C136" s="466"/>
      <c r="D136" s="466"/>
      <c r="E136" s="466"/>
      <c r="F136" s="467"/>
      <c r="G136" s="467"/>
      <c r="H136" s="467"/>
      <c r="I136" s="467"/>
      <c r="J136" s="467"/>
      <c r="K136" s="467"/>
      <c r="L136" s="467"/>
      <c r="M136" s="467"/>
      <c r="N136" s="467"/>
      <c r="O136" s="467"/>
      <c r="P136" s="467"/>
      <c r="Q136" s="467"/>
    </row>
    <row r="137" customFormat="false" ht="15.75" hidden="false" customHeight="true" outlineLevel="0" collapsed="false">
      <c r="B137" s="466"/>
      <c r="C137" s="466"/>
      <c r="D137" s="466"/>
      <c r="E137" s="466"/>
      <c r="F137" s="467"/>
      <c r="G137" s="467"/>
      <c r="H137" s="467"/>
      <c r="I137" s="467"/>
      <c r="J137" s="467"/>
      <c r="K137" s="467"/>
      <c r="L137" s="467"/>
      <c r="M137" s="467"/>
      <c r="N137" s="467"/>
      <c r="O137" s="467"/>
      <c r="P137" s="467"/>
      <c r="Q137" s="467"/>
    </row>
    <row r="138" customFormat="false" ht="15.75" hidden="false" customHeight="true" outlineLevel="0" collapsed="false">
      <c r="B138" s="466"/>
      <c r="C138" s="466"/>
      <c r="D138" s="466"/>
      <c r="E138" s="466"/>
      <c r="F138" s="467"/>
      <c r="G138" s="467"/>
      <c r="H138" s="467"/>
      <c r="I138" s="467"/>
      <c r="J138" s="467"/>
      <c r="K138" s="467"/>
      <c r="L138" s="467"/>
      <c r="M138" s="467"/>
      <c r="N138" s="467"/>
      <c r="O138" s="467"/>
      <c r="P138" s="467"/>
      <c r="Q138" s="467"/>
    </row>
    <row r="139" customFormat="false" ht="15.75" hidden="false" customHeight="true" outlineLevel="0" collapsed="false">
      <c r="B139" s="466"/>
      <c r="C139" s="466"/>
      <c r="D139" s="466"/>
      <c r="E139" s="466"/>
      <c r="F139" s="467"/>
      <c r="G139" s="467"/>
      <c r="H139" s="467"/>
      <c r="I139" s="467"/>
      <c r="J139" s="467"/>
      <c r="K139" s="467"/>
      <c r="L139" s="467"/>
      <c r="M139" s="467"/>
      <c r="N139" s="467"/>
      <c r="O139" s="467"/>
      <c r="P139" s="467"/>
      <c r="Q139" s="467"/>
    </row>
    <row r="140" customFormat="false" ht="15.75" hidden="false" customHeight="true" outlineLevel="0" collapsed="false">
      <c r="B140" s="466"/>
      <c r="C140" s="466"/>
      <c r="D140" s="466"/>
      <c r="E140" s="466"/>
      <c r="F140" s="467"/>
      <c r="G140" s="467"/>
      <c r="H140" s="467"/>
      <c r="I140" s="467"/>
      <c r="J140" s="467"/>
      <c r="K140" s="467"/>
      <c r="L140" s="467"/>
      <c r="M140" s="467"/>
      <c r="N140" s="467"/>
      <c r="O140" s="467"/>
      <c r="P140" s="467"/>
      <c r="Q140" s="467"/>
    </row>
    <row r="141" customFormat="false" ht="14.25" hidden="false" customHeight="true" outlineLevel="0" collapsed="false">
      <c r="B141" s="466"/>
      <c r="C141" s="466"/>
      <c r="D141" s="466"/>
      <c r="E141" s="466"/>
      <c r="F141" s="467"/>
      <c r="G141" s="467"/>
      <c r="H141" s="467"/>
      <c r="I141" s="467"/>
      <c r="J141" s="467"/>
      <c r="K141" s="467"/>
      <c r="L141" s="467"/>
      <c r="M141" s="467"/>
      <c r="N141" s="467"/>
      <c r="O141" s="467"/>
      <c r="P141" s="467"/>
      <c r="Q141" s="467"/>
    </row>
    <row r="142" customFormat="false" ht="15.75" hidden="false" customHeight="true" outlineLevel="0" collapsed="false">
      <c r="B142" s="466"/>
      <c r="C142" s="466"/>
      <c r="D142" s="466"/>
      <c r="E142" s="466"/>
      <c r="F142" s="467"/>
      <c r="G142" s="467"/>
      <c r="H142" s="467"/>
      <c r="I142" s="467"/>
      <c r="J142" s="467"/>
      <c r="K142" s="467"/>
      <c r="L142" s="467"/>
      <c r="M142" s="467"/>
      <c r="N142" s="467"/>
      <c r="O142" s="467"/>
      <c r="P142" s="467"/>
      <c r="Q142" s="467"/>
    </row>
    <row r="143" customFormat="false" ht="15.75" hidden="false" customHeight="true" outlineLevel="0" collapsed="false">
      <c r="A143" s="464"/>
      <c r="B143" s="464"/>
      <c r="C143" s="464"/>
      <c r="D143" s="464"/>
      <c r="E143" s="464"/>
      <c r="F143" s="464"/>
      <c r="G143" s="464"/>
      <c r="H143" s="464"/>
      <c r="I143" s="464"/>
      <c r="J143" s="464"/>
      <c r="K143" s="464"/>
      <c r="L143" s="464"/>
      <c r="M143" s="464"/>
      <c r="N143" s="464"/>
      <c r="O143" s="464"/>
      <c r="P143" s="449" t="s">
        <v>574</v>
      </c>
      <c r="Q143" s="449"/>
      <c r="R143" s="449"/>
    </row>
    <row r="144" customFormat="false" ht="15.75" hidden="false" customHeight="true" outlineLevel="0" collapsed="false">
      <c r="A144" s="450" t="s">
        <v>551</v>
      </c>
      <c r="B144" s="450"/>
      <c r="C144" s="450"/>
      <c r="D144" s="450"/>
      <c r="E144" s="450"/>
      <c r="F144" s="450"/>
      <c r="G144" s="450"/>
      <c r="H144" s="450"/>
      <c r="I144" s="450"/>
      <c r="J144" s="450"/>
      <c r="K144" s="450"/>
      <c r="L144" s="450"/>
      <c r="M144" s="450"/>
      <c r="N144" s="450"/>
      <c r="O144" s="450"/>
      <c r="P144" s="450"/>
      <c r="Q144" s="450"/>
      <c r="R144" s="450"/>
    </row>
    <row r="145" customFormat="false" ht="15.75" hidden="false" customHeight="true" outlineLevel="0" collapsed="false">
      <c r="A145" s="450"/>
      <c r="B145" s="450"/>
      <c r="C145" s="450"/>
      <c r="D145" s="450"/>
      <c r="E145" s="450"/>
      <c r="F145" s="450"/>
      <c r="G145" s="450"/>
      <c r="H145" s="450"/>
      <c r="I145" s="450"/>
      <c r="J145" s="450"/>
      <c r="K145" s="450"/>
      <c r="L145" s="450"/>
      <c r="M145" s="450"/>
      <c r="N145" s="450"/>
      <c r="O145" s="450"/>
      <c r="P145" s="450"/>
      <c r="Q145" s="450"/>
      <c r="R145" s="450"/>
    </row>
    <row r="146" customFormat="false" ht="15.75" hidden="false" customHeight="true" outlineLevel="0" collapsed="false">
      <c r="A146" s="450"/>
      <c r="B146" s="450"/>
      <c r="C146" s="450"/>
      <c r="D146" s="450"/>
      <c r="E146" s="450"/>
      <c r="F146" s="450"/>
      <c r="G146" s="450"/>
      <c r="H146" s="450"/>
      <c r="I146" s="450"/>
      <c r="J146" s="450"/>
      <c r="K146" s="450"/>
      <c r="L146" s="450"/>
      <c r="M146" s="450"/>
      <c r="N146" s="450"/>
      <c r="O146" s="450"/>
      <c r="P146" s="450"/>
      <c r="Q146" s="450"/>
      <c r="R146" s="450"/>
    </row>
    <row r="147" customFormat="false" ht="15.75" hidden="false" customHeight="true" outlineLevel="0" collapsed="false">
      <c r="A147" s="450"/>
      <c r="B147" s="450"/>
      <c r="C147" s="450"/>
      <c r="D147" s="450"/>
      <c r="E147" s="450"/>
      <c r="F147" s="450"/>
      <c r="G147" s="450"/>
      <c r="H147" s="450"/>
      <c r="I147" s="450"/>
      <c r="J147" s="450"/>
      <c r="K147" s="450"/>
      <c r="L147" s="450"/>
      <c r="M147" s="450"/>
      <c r="N147" s="450"/>
      <c r="O147" s="450"/>
      <c r="P147" s="450"/>
      <c r="Q147" s="450"/>
      <c r="R147" s="450"/>
    </row>
    <row r="148" customFormat="false" ht="10.5" hidden="false" customHeight="true" outlineLevel="0" collapsed="false"/>
    <row r="188" customFormat="false" ht="15.75" hidden="false" customHeight="true" outlineLevel="0" collapsed="false">
      <c r="A188" s="464"/>
      <c r="B188" s="464"/>
      <c r="C188" s="464"/>
      <c r="D188" s="464"/>
      <c r="E188" s="464"/>
      <c r="F188" s="464"/>
      <c r="G188" s="464"/>
      <c r="H188" s="464"/>
      <c r="I188" s="464"/>
      <c r="J188" s="464"/>
      <c r="K188" s="464"/>
      <c r="L188" s="464"/>
      <c r="M188" s="464"/>
      <c r="N188" s="464"/>
      <c r="O188" s="464"/>
      <c r="P188" s="449" t="s">
        <v>575</v>
      </c>
      <c r="Q188" s="449"/>
      <c r="R188" s="449"/>
    </row>
    <row r="189" customFormat="false" ht="15.75" hidden="false" customHeight="true" outlineLevel="0" collapsed="false">
      <c r="A189" s="450" t="s">
        <v>551</v>
      </c>
      <c r="B189" s="450"/>
      <c r="C189" s="450"/>
      <c r="D189" s="450"/>
      <c r="E189" s="450"/>
      <c r="F189" s="450"/>
      <c r="G189" s="450"/>
      <c r="H189" s="450"/>
      <c r="I189" s="450"/>
      <c r="J189" s="450"/>
      <c r="K189" s="450"/>
      <c r="L189" s="450"/>
      <c r="M189" s="450"/>
      <c r="N189" s="450"/>
      <c r="O189" s="450"/>
      <c r="P189" s="450"/>
      <c r="Q189" s="450"/>
      <c r="R189" s="450"/>
    </row>
    <row r="190" customFormat="false" ht="15.75" hidden="false" customHeight="true" outlineLevel="0" collapsed="false">
      <c r="A190" s="450"/>
      <c r="B190" s="450"/>
      <c r="C190" s="450"/>
      <c r="D190" s="450"/>
      <c r="E190" s="450"/>
      <c r="F190" s="450"/>
      <c r="G190" s="450"/>
      <c r="H190" s="450"/>
      <c r="I190" s="450"/>
      <c r="J190" s="450"/>
      <c r="K190" s="450"/>
      <c r="L190" s="450"/>
      <c r="M190" s="450"/>
      <c r="N190" s="450"/>
      <c r="O190" s="450"/>
      <c r="P190" s="450"/>
      <c r="Q190" s="450"/>
      <c r="R190" s="450"/>
    </row>
    <row r="191" customFormat="false" ht="15.75" hidden="false" customHeight="true" outlineLevel="0" collapsed="false">
      <c r="A191" s="450"/>
      <c r="B191" s="450"/>
      <c r="C191" s="450"/>
      <c r="D191" s="450"/>
      <c r="E191" s="450"/>
      <c r="F191" s="450"/>
      <c r="G191" s="450"/>
      <c r="H191" s="450"/>
      <c r="I191" s="450"/>
      <c r="J191" s="450"/>
      <c r="K191" s="450"/>
      <c r="L191" s="450"/>
      <c r="M191" s="450"/>
      <c r="N191" s="450"/>
      <c r="O191" s="450"/>
      <c r="P191" s="450"/>
      <c r="Q191" s="450"/>
      <c r="R191" s="450"/>
    </row>
    <row r="192" customFormat="false" ht="15.75" hidden="false" customHeight="true" outlineLevel="0" collapsed="false">
      <c r="A192" s="450"/>
      <c r="B192" s="450"/>
      <c r="C192" s="450"/>
      <c r="D192" s="450"/>
      <c r="E192" s="450"/>
      <c r="F192" s="450"/>
      <c r="G192" s="450"/>
      <c r="H192" s="450"/>
      <c r="I192" s="450"/>
      <c r="J192" s="450"/>
      <c r="K192" s="450"/>
      <c r="L192" s="450"/>
      <c r="M192" s="450"/>
      <c r="N192" s="450"/>
      <c r="O192" s="450"/>
      <c r="P192" s="450"/>
      <c r="Q192" s="450"/>
      <c r="R192" s="450"/>
    </row>
  </sheetData>
  <mergeCells count="166">
    <mergeCell ref="M2:R4"/>
    <mergeCell ref="A6:R6"/>
    <mergeCell ref="A7:R7"/>
    <mergeCell ref="G10:R10"/>
    <mergeCell ref="G13:R15"/>
    <mergeCell ref="G17:R17"/>
    <mergeCell ref="G20:R20"/>
    <mergeCell ref="G23:R23"/>
    <mergeCell ref="G26:R27"/>
    <mergeCell ref="G29:R29"/>
    <mergeCell ref="G32:R32"/>
    <mergeCell ref="A42:H42"/>
    <mergeCell ref="K42:R42"/>
    <mergeCell ref="A43:H43"/>
    <mergeCell ref="K43:R43"/>
    <mergeCell ref="P45:R45"/>
    <mergeCell ref="A46:R49"/>
    <mergeCell ref="M51:R53"/>
    <mergeCell ref="A55:R55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5:Q65"/>
    <mergeCell ref="B66:E68"/>
    <mergeCell ref="F66:I68"/>
    <mergeCell ref="J66:L68"/>
    <mergeCell ref="M66:Q68"/>
    <mergeCell ref="B69:E69"/>
    <mergeCell ref="F69:I69"/>
    <mergeCell ref="J69:L69"/>
    <mergeCell ref="M69:Q69"/>
    <mergeCell ref="B70:E70"/>
    <mergeCell ref="F70:I70"/>
    <mergeCell ref="J70:L70"/>
    <mergeCell ref="M70:Q70"/>
    <mergeCell ref="B71:E71"/>
    <mergeCell ref="F71:I71"/>
    <mergeCell ref="J71:L71"/>
    <mergeCell ref="M71:Q71"/>
    <mergeCell ref="B72:E72"/>
    <mergeCell ref="F72:I72"/>
    <mergeCell ref="J72:L72"/>
    <mergeCell ref="M72:Q72"/>
    <mergeCell ref="B73:E73"/>
    <mergeCell ref="F73:I73"/>
    <mergeCell ref="J73:L73"/>
    <mergeCell ref="M73:Q73"/>
    <mergeCell ref="B74:E74"/>
    <mergeCell ref="F74:I74"/>
    <mergeCell ref="J74:L74"/>
    <mergeCell ref="M74:Q74"/>
    <mergeCell ref="B75:E75"/>
    <mergeCell ref="F75:I75"/>
    <mergeCell ref="J75:L75"/>
    <mergeCell ref="M75:Q75"/>
    <mergeCell ref="B76:E76"/>
    <mergeCell ref="F76:I76"/>
    <mergeCell ref="J76:L76"/>
    <mergeCell ref="M76:Q76"/>
    <mergeCell ref="B77:E77"/>
    <mergeCell ref="F77:I77"/>
    <mergeCell ref="J77:L77"/>
    <mergeCell ref="M77:Q77"/>
    <mergeCell ref="B78:E78"/>
    <mergeCell ref="F78:I78"/>
    <mergeCell ref="J78:L78"/>
    <mergeCell ref="M78:Q78"/>
    <mergeCell ref="B79:E79"/>
    <mergeCell ref="F79:I79"/>
    <mergeCell ref="J79:L79"/>
    <mergeCell ref="M79:Q79"/>
    <mergeCell ref="B80:E80"/>
    <mergeCell ref="F80:I80"/>
    <mergeCell ref="J80:L80"/>
    <mergeCell ref="M80:Q80"/>
    <mergeCell ref="B81:E81"/>
    <mergeCell ref="F81:I81"/>
    <mergeCell ref="J81:L81"/>
    <mergeCell ref="M81:Q81"/>
    <mergeCell ref="B82:E82"/>
    <mergeCell ref="F82:I82"/>
    <mergeCell ref="J82:L82"/>
    <mergeCell ref="M82:Q82"/>
    <mergeCell ref="B83:E83"/>
    <mergeCell ref="F83:I83"/>
    <mergeCell ref="J83:L83"/>
    <mergeCell ref="M83:Q83"/>
    <mergeCell ref="B84:E84"/>
    <mergeCell ref="F84:I84"/>
    <mergeCell ref="J84:L84"/>
    <mergeCell ref="M84:Q84"/>
    <mergeCell ref="B85:E85"/>
    <mergeCell ref="F85:I85"/>
    <mergeCell ref="J85:L85"/>
    <mergeCell ref="M85:Q85"/>
    <mergeCell ref="B86:E86"/>
    <mergeCell ref="F86:I86"/>
    <mergeCell ref="J86:L86"/>
    <mergeCell ref="M86:Q86"/>
    <mergeCell ref="B87:E87"/>
    <mergeCell ref="F87:I87"/>
    <mergeCell ref="J87:L87"/>
    <mergeCell ref="M87:Q87"/>
    <mergeCell ref="B88:E88"/>
    <mergeCell ref="F88:I88"/>
    <mergeCell ref="J88:L88"/>
    <mergeCell ref="M88:Q88"/>
    <mergeCell ref="B89:E89"/>
    <mergeCell ref="F89:I89"/>
    <mergeCell ref="J89:L89"/>
    <mergeCell ref="M89:Q89"/>
    <mergeCell ref="B90:E90"/>
    <mergeCell ref="F90:I90"/>
    <mergeCell ref="J90:L90"/>
    <mergeCell ref="M90:Q90"/>
    <mergeCell ref="B91:E91"/>
    <mergeCell ref="F91:I91"/>
    <mergeCell ref="J91:L91"/>
    <mergeCell ref="M91:Q91"/>
    <mergeCell ref="B92:E92"/>
    <mergeCell ref="F92:I92"/>
    <mergeCell ref="J92:L92"/>
    <mergeCell ref="M92:Q92"/>
    <mergeCell ref="P94:R94"/>
    <mergeCell ref="A95:R98"/>
    <mergeCell ref="M100:R102"/>
    <mergeCell ref="B105:E107"/>
    <mergeCell ref="F105:I107"/>
    <mergeCell ref="J105:L107"/>
    <mergeCell ref="M105:Q107"/>
    <mergeCell ref="B108:E108"/>
    <mergeCell ref="F108:I108"/>
    <mergeCell ref="J108:L108"/>
    <mergeCell ref="M108:Q108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1:E111"/>
    <mergeCell ref="F111:I111"/>
    <mergeCell ref="J111:L111"/>
    <mergeCell ref="M111:Q111"/>
    <mergeCell ref="C114:R118"/>
    <mergeCell ref="C119:R119"/>
    <mergeCell ref="C120:R121"/>
    <mergeCell ref="C122:R123"/>
    <mergeCell ref="C124:R125"/>
    <mergeCell ref="E127:I127"/>
    <mergeCell ref="K127:P127"/>
    <mergeCell ref="F128:O128"/>
    <mergeCell ref="F130:R131"/>
    <mergeCell ref="A132:R132"/>
    <mergeCell ref="P143:R143"/>
    <mergeCell ref="A144:R147"/>
    <mergeCell ref="P188:R188"/>
    <mergeCell ref="A189:R192"/>
  </mergeCells>
  <printOptions headings="false" gridLines="false" gridLinesSet="true" horizontalCentered="false" verticalCentered="true"/>
  <pageMargins left="0.984027777777778" right="0.590277777777778" top="0.196527777777778" bottom="0.196527777777778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49" man="true" max="16383" min="0"/>
  </row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true"/>
  </sheetPr>
  <dimension ref="A1:P1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6" activeCellId="0" sqref="E6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7.33"/>
    <col collapsed="false" customWidth="true" hidden="false" outlineLevel="0" max="3" min="3" style="1" width="18.67"/>
    <col collapsed="false" customWidth="true" hidden="false" outlineLevel="0" max="4" min="4" style="1" width="11.83"/>
    <col collapsed="false" customWidth="true" hidden="false" outlineLevel="0" max="10" min="10" style="1" width="13"/>
  </cols>
  <sheetData>
    <row r="1" customFormat="false" ht="15.75" hidden="false" customHeight="false" outlineLevel="0" collapsed="false"/>
    <row r="2" customFormat="false" ht="15.75" hidden="false" customHeight="true" outlineLevel="0" collapsed="false">
      <c r="A2" s="482" t="str">
        <f aca="false">'conversion datos'!A1</f>
        <v>Bloque</v>
      </c>
      <c r="B2" s="482" t="s">
        <v>576</v>
      </c>
      <c r="C2" s="483" t="s">
        <v>577</v>
      </c>
      <c r="D2" s="484" t="s">
        <v>578</v>
      </c>
      <c r="E2" s="484" t="s">
        <v>579</v>
      </c>
      <c r="F2" s="484" t="s">
        <v>580</v>
      </c>
      <c r="G2" s="485" t="s">
        <v>581</v>
      </c>
      <c r="K2" s="484" t="s">
        <v>578</v>
      </c>
      <c r="L2" s="484" t="s">
        <v>579</v>
      </c>
      <c r="M2" s="484" t="s">
        <v>580</v>
      </c>
      <c r="N2" s="485" t="s">
        <v>581</v>
      </c>
    </row>
    <row r="3" customFormat="false" ht="16.5" hidden="false" customHeight="false" outlineLevel="0" collapsed="false">
      <c r="A3" s="482"/>
      <c r="B3" s="482"/>
      <c r="C3" s="483"/>
      <c r="D3" s="486" t="str">
        <f aca="false">"ºC"</f>
        <v>ºC</v>
      </c>
      <c r="E3" s="486" t="str">
        <f aca="false">"ºC"</f>
        <v>ºC</v>
      </c>
      <c r="F3" s="486" t="str">
        <f aca="false">"ºC"</f>
        <v>ºC</v>
      </c>
      <c r="G3" s="487" t="s">
        <v>48</v>
      </c>
      <c r="K3" s="486" t="str">
        <f aca="false">"ºC"</f>
        <v>ºC</v>
      </c>
      <c r="L3" s="486" t="str">
        <f aca="false">"ºC"</f>
        <v>ºC</v>
      </c>
      <c r="M3" s="486" t="str">
        <f aca="false">"ºC"</f>
        <v>ºC</v>
      </c>
      <c r="N3" s="487" t="s">
        <v>48</v>
      </c>
    </row>
    <row r="4" customFormat="false" ht="15" hidden="false" customHeight="false" outlineLevel="0" collapsed="false">
      <c r="A4" s="65" t="n">
        <f aca="false">'conversion datos'!A2</f>
        <v>1</v>
      </c>
      <c r="B4" s="65" t="e">
        <f aca="false">IF('conversion datos'!B2="","",'conversion datos'!B2)</f>
        <v>#VALUE!</v>
      </c>
      <c r="C4" s="488" t="str">
        <f aca="false">IF('conversion datos'!C2="","",'conversion datos'!C2)</f>
        <v/>
      </c>
      <c r="D4" s="489" t="e">
        <f aca="false">IF(B4="","",'Introduccion de datos de Calib.'!I2)</f>
        <v>#VALUE!</v>
      </c>
      <c r="E4" s="489" t="e">
        <f aca="false">IF(B4="","",'Introduccion de datos de Calib.'!J2)</f>
        <v>#VALUE!</v>
      </c>
      <c r="F4" s="489" t="e">
        <f aca="false">IF(B4="","",'Introduccion de datos de Calib.'!L2)</f>
        <v>#VALUE!</v>
      </c>
      <c r="G4" s="490" t="e">
        <f aca="false">IF(B4="","",'Introduccion de datos de Calib.'!M2)</f>
        <v>#VALUE!</v>
      </c>
      <c r="I4" s="491" t="s">
        <v>582</v>
      </c>
      <c r="J4" s="491"/>
      <c r="K4" s="492" t="e">
        <f aca="false">MIN(D4:D125)</f>
        <v>#VALUE!</v>
      </c>
      <c r="L4" s="492" t="e">
        <f aca="false">MIN(E4:E125)</f>
        <v>#VALUE!</v>
      </c>
      <c r="M4" s="492" t="e">
        <f aca="false">MIN(F4:F125)</f>
        <v>#VALUE!</v>
      </c>
      <c r="N4" s="493" t="e">
        <f aca="false">MIN(G4:G125)</f>
        <v>#VALUE!</v>
      </c>
    </row>
    <row r="5" customFormat="false" ht="15.75" hidden="false" customHeight="false" outlineLevel="0" collapsed="false">
      <c r="A5" s="65" t="n">
        <f aca="false">'conversion datos'!A3</f>
        <v>2</v>
      </c>
      <c r="B5" s="65" t="e">
        <f aca="false">IF('conversion datos'!B3="","",'conversion datos'!B3)</f>
        <v>#VALUE!</v>
      </c>
      <c r="C5" s="494" t="str">
        <f aca="false">IF('conversion datos'!C3="","",'conversion datos'!C3)</f>
        <v/>
      </c>
      <c r="D5" s="489" t="e">
        <f aca="false">IF(B5="","",'Introduccion de datos de Calib.'!I3)</f>
        <v>#VALUE!</v>
      </c>
      <c r="E5" s="489" t="e">
        <f aca="false">IF(B5="","",'Introduccion de datos de Calib.'!J3)</f>
        <v>#VALUE!</v>
      </c>
      <c r="F5" s="489" t="e">
        <f aca="false">IF(B5="","",'Introduccion de datos de Calib.'!L3)</f>
        <v>#VALUE!</v>
      </c>
      <c r="G5" s="490" t="e">
        <f aca="false">IF(B5="","",'Introduccion de datos de Calib.'!M3)</f>
        <v>#VALUE!</v>
      </c>
      <c r="I5" s="495" t="s">
        <v>583</v>
      </c>
      <c r="J5" s="495"/>
      <c r="K5" s="496" t="e">
        <f aca="false">MAX(D4:D125)</f>
        <v>#VALUE!</v>
      </c>
      <c r="L5" s="496" t="e">
        <f aca="false">MAX(E4:E125)</f>
        <v>#VALUE!</v>
      </c>
      <c r="M5" s="496" t="e">
        <f aca="false">MAX(F4:F125)</f>
        <v>#VALUE!</v>
      </c>
      <c r="N5" s="497" t="e">
        <f aca="false">MAX(G4:G125)</f>
        <v>#VALUE!</v>
      </c>
    </row>
    <row r="6" customFormat="false" ht="15.75" hidden="false" customHeight="false" outlineLevel="0" collapsed="false">
      <c r="A6" s="65" t="n">
        <f aca="false">'conversion datos'!A4</f>
        <v>3</v>
      </c>
      <c r="B6" s="65" t="e">
        <f aca="false">IF('conversion datos'!B4="","",'conversion datos'!B4)</f>
        <v>#VALUE!</v>
      </c>
      <c r="C6" s="494" t="str">
        <f aca="false">IF('conversion datos'!C4="","",'conversion datos'!C4)</f>
        <v/>
      </c>
      <c r="D6" s="489" t="e">
        <f aca="false">IF(B6="","",'Introduccion de datos de Calib.'!I4)</f>
        <v>#VALUE!</v>
      </c>
      <c r="E6" s="489" t="e">
        <f aca="false">IF(B6="","",'Introduccion de datos de Calib.'!J4)</f>
        <v>#VALUE!</v>
      </c>
      <c r="F6" s="489" t="e">
        <f aca="false">IF(B6="","",'Introduccion de datos de Calib.'!L4)</f>
        <v>#VALUE!</v>
      </c>
      <c r="G6" s="490" t="e">
        <f aca="false">IF(B6="","",'Introduccion de datos de Calib.'!M4)</f>
        <v>#VALUE!</v>
      </c>
    </row>
    <row r="7" customFormat="false" ht="15.75" hidden="false" customHeight="true" outlineLevel="0" collapsed="false">
      <c r="A7" s="65" t="n">
        <f aca="false">'conversion datos'!A5</f>
        <v>4</v>
      </c>
      <c r="B7" s="65" t="e">
        <f aca="false">IF('conversion datos'!B5="","",'conversion datos'!B5)</f>
        <v>#VALUE!</v>
      </c>
      <c r="C7" s="494" t="str">
        <f aca="false">IF('conversion datos'!C5="","",'conversion datos'!C5)</f>
        <v/>
      </c>
      <c r="D7" s="489" t="e">
        <f aca="false">IF(B7="","",'Introduccion de datos de Calib.'!I5)</f>
        <v>#VALUE!</v>
      </c>
      <c r="E7" s="489" t="e">
        <f aca="false">IF(B7="","",'Introduccion de datos de Calib.'!J5)</f>
        <v>#VALUE!</v>
      </c>
      <c r="F7" s="489" t="e">
        <f aca="false">IF(B7="","",'Introduccion de datos de Calib.'!L5)</f>
        <v>#VALUE!</v>
      </c>
      <c r="G7" s="490" t="e">
        <f aca="false">IF(B7="","",'Introduccion de datos de Calib.'!M5)</f>
        <v>#VALUE!</v>
      </c>
      <c r="I7" s="498" t="s">
        <v>584</v>
      </c>
      <c r="J7" s="498"/>
      <c r="K7" s="499" t="n">
        <v>10</v>
      </c>
      <c r="L7" s="500" t="s">
        <v>48</v>
      </c>
    </row>
    <row r="8" customFormat="false" ht="15" hidden="false" customHeight="false" outlineLevel="0" collapsed="false">
      <c r="A8" s="65" t="n">
        <f aca="false">'conversion datos'!A6</f>
        <v>5</v>
      </c>
      <c r="B8" s="65" t="e">
        <f aca="false">IF('conversion datos'!B6="","",'conversion datos'!B6)</f>
        <v>#VALUE!</v>
      </c>
      <c r="C8" s="494" t="str">
        <f aca="false">IF('conversion datos'!C6="","",'conversion datos'!C6)</f>
        <v/>
      </c>
      <c r="D8" s="489" t="e">
        <f aca="false">IF(B8="","",'Introduccion de datos de Calib.'!I6)</f>
        <v>#VALUE!</v>
      </c>
      <c r="E8" s="489" t="e">
        <f aca="false">IF(B8="","",'Introduccion de datos de Calib.'!J6)</f>
        <v>#VALUE!</v>
      </c>
      <c r="F8" s="489" t="e">
        <f aca="false">IF(B8="","",'Introduccion de datos de Calib.'!L6)</f>
        <v>#VALUE!</v>
      </c>
      <c r="G8" s="490" t="e">
        <f aca="false">IF(B8="","",'Introduccion de datos de Calib.'!M6)</f>
        <v>#VALUE!</v>
      </c>
    </row>
    <row r="9" customFormat="false" ht="15" hidden="false" customHeight="false" outlineLevel="0" collapsed="false">
      <c r="A9" s="65" t="n">
        <f aca="false">'conversion datos'!A7</f>
        <v>6</v>
      </c>
      <c r="B9" s="65" t="e">
        <f aca="false">IF('conversion datos'!B7="","",'conversion datos'!B7)</f>
        <v>#VALUE!</v>
      </c>
      <c r="C9" s="494" t="str">
        <f aca="false">IF('conversion datos'!C7="","",'conversion datos'!C7)</f>
        <v/>
      </c>
      <c r="D9" s="489" t="e">
        <f aca="false">IF(B9="","",'Introduccion de datos de Calib.'!I7)</f>
        <v>#VALUE!</v>
      </c>
      <c r="E9" s="489" t="e">
        <f aca="false">IF(B9="","",'Introduccion de datos de Calib.'!J7)</f>
        <v>#VALUE!</v>
      </c>
      <c r="F9" s="489" t="e">
        <f aca="false">IF(B9="","",'Introduccion de datos de Calib.'!L7)</f>
        <v>#VALUE!</v>
      </c>
      <c r="G9" s="490" t="e">
        <f aca="false">IF(B9="","",'Introduccion de datos de Calib.'!M7)</f>
        <v>#VALUE!</v>
      </c>
      <c r="I9" s="501"/>
      <c r="J9" s="501"/>
      <c r="K9" s="501"/>
      <c r="L9" s="501"/>
      <c r="M9" s="501"/>
      <c r="N9" s="501"/>
      <c r="O9" s="501"/>
      <c r="P9" s="501"/>
    </row>
    <row r="10" customFormat="false" ht="15" hidden="false" customHeight="false" outlineLevel="0" collapsed="false">
      <c r="A10" s="65" t="n">
        <f aca="false">'conversion datos'!A8</f>
        <v>7</v>
      </c>
      <c r="B10" s="65" t="e">
        <f aca="false">IF('conversion datos'!B8="","",'conversion datos'!B8)</f>
        <v>#VALUE!</v>
      </c>
      <c r="C10" s="494" t="str">
        <f aca="false">IF('conversion datos'!C8="","",'conversion datos'!C8)</f>
        <v/>
      </c>
      <c r="D10" s="489" t="e">
        <f aca="false">IF(B10="","",'Introduccion de datos de Calib.'!I8)</f>
        <v>#VALUE!</v>
      </c>
      <c r="E10" s="489" t="e">
        <f aca="false">IF(B10="","",'Introduccion de datos de Calib.'!J8)</f>
        <v>#VALUE!</v>
      </c>
      <c r="F10" s="489" t="e">
        <f aca="false">IF(B10="","",'Introduccion de datos de Calib.'!L8)</f>
        <v>#VALUE!</v>
      </c>
      <c r="G10" s="490" t="e">
        <f aca="false">IF(B10="","",'Introduccion de datos de Calib.'!M8)</f>
        <v>#VALUE!</v>
      </c>
      <c r="I10" s="501"/>
      <c r="J10" s="501"/>
      <c r="K10" s="501"/>
      <c r="L10" s="501"/>
      <c r="M10" s="501"/>
      <c r="N10" s="501"/>
      <c r="O10" s="501"/>
      <c r="P10" s="501"/>
    </row>
    <row r="11" customFormat="false" ht="15" hidden="false" customHeight="false" outlineLevel="0" collapsed="false">
      <c r="A11" s="65" t="n">
        <f aca="false">'conversion datos'!A9</f>
        <v>8</v>
      </c>
      <c r="B11" s="65" t="e">
        <f aca="false">IF('conversion datos'!B9="","",'conversion datos'!B9)</f>
        <v>#VALUE!</v>
      </c>
      <c r="C11" s="494" t="str">
        <f aca="false">IF('conversion datos'!C9="","",'conversion datos'!C9)</f>
        <v/>
      </c>
      <c r="D11" s="489" t="e">
        <f aca="false">IF(B11="","",'Introduccion de datos de Calib.'!I9)</f>
        <v>#VALUE!</v>
      </c>
      <c r="E11" s="489" t="e">
        <f aca="false">IF(B11="","",'Introduccion de datos de Calib.'!J9)</f>
        <v>#VALUE!</v>
      </c>
      <c r="F11" s="489" t="e">
        <f aca="false">IF(B11="","",'Introduccion de datos de Calib.'!L9)</f>
        <v>#VALUE!</v>
      </c>
      <c r="G11" s="490" t="e">
        <f aca="false">IF(B11="","",'Introduccion de datos de Calib.'!M9)</f>
        <v>#VALUE!</v>
      </c>
      <c r="I11" s="501"/>
      <c r="J11" s="501"/>
      <c r="K11" s="501"/>
      <c r="L11" s="501"/>
      <c r="M11" s="501"/>
      <c r="N11" s="501"/>
      <c r="O11" s="501"/>
      <c r="P11" s="501"/>
    </row>
    <row r="12" customFormat="false" ht="15" hidden="false" customHeight="false" outlineLevel="0" collapsed="false">
      <c r="A12" s="65" t="n">
        <f aca="false">'conversion datos'!A10</f>
        <v>9</v>
      </c>
      <c r="B12" s="65" t="e">
        <f aca="false">IF('conversion datos'!B10="","",'conversion datos'!B10)</f>
        <v>#VALUE!</v>
      </c>
      <c r="C12" s="494" t="str">
        <f aca="false">IF('conversion datos'!C10="","",'conversion datos'!C10)</f>
        <v/>
      </c>
      <c r="D12" s="489" t="e">
        <f aca="false">IF(B12="","",'Introduccion de datos de Calib.'!I10)</f>
        <v>#VALUE!</v>
      </c>
      <c r="E12" s="489" t="e">
        <f aca="false">IF(B12="","",'Introduccion de datos de Calib.'!J10)</f>
        <v>#VALUE!</v>
      </c>
      <c r="F12" s="489" t="e">
        <f aca="false">IF(B12="","",'Introduccion de datos de Calib.'!L10)</f>
        <v>#VALUE!</v>
      </c>
      <c r="G12" s="490" t="e">
        <f aca="false">IF(B12="","",'Introduccion de datos de Calib.'!M10)</f>
        <v>#VALUE!</v>
      </c>
      <c r="I12" s="501"/>
      <c r="J12" s="501"/>
      <c r="K12" s="501"/>
      <c r="L12" s="501"/>
      <c r="M12" s="501"/>
      <c r="N12" s="501"/>
      <c r="O12" s="501"/>
      <c r="P12" s="501"/>
    </row>
    <row r="13" customFormat="false" ht="15" hidden="false" customHeight="false" outlineLevel="0" collapsed="false">
      <c r="A13" s="65" t="n">
        <f aca="false">'conversion datos'!A11</f>
        <v>10</v>
      </c>
      <c r="B13" s="65" t="e">
        <f aca="false">IF('conversion datos'!B11="","",'conversion datos'!B11)</f>
        <v>#VALUE!</v>
      </c>
      <c r="C13" s="494" t="str">
        <f aca="false">IF('conversion datos'!C11="","",'conversion datos'!C11)</f>
        <v/>
      </c>
      <c r="D13" s="489" t="e">
        <f aca="false">IF(B13="","",'Introduccion de datos de Calib.'!I11)</f>
        <v>#VALUE!</v>
      </c>
      <c r="E13" s="489" t="e">
        <f aca="false">IF(B13="","",'Introduccion de datos de Calib.'!J11)</f>
        <v>#VALUE!</v>
      </c>
      <c r="F13" s="489" t="e">
        <f aca="false">IF(B13="","",'Introduccion de datos de Calib.'!L11)</f>
        <v>#VALUE!</v>
      </c>
      <c r="G13" s="490" t="e">
        <f aca="false">IF(B13="","",'Introduccion de datos de Calib.'!M11)</f>
        <v>#VALUE!</v>
      </c>
      <c r="I13" s="501"/>
      <c r="J13" s="501"/>
      <c r="K13" s="501"/>
      <c r="L13" s="501"/>
      <c r="M13" s="501"/>
      <c r="N13" s="501"/>
      <c r="O13" s="501"/>
      <c r="P13" s="501"/>
    </row>
    <row r="14" customFormat="false" ht="15" hidden="false" customHeight="false" outlineLevel="0" collapsed="false">
      <c r="A14" s="65" t="n">
        <f aca="false">'conversion datos'!A12</f>
        <v>11</v>
      </c>
      <c r="B14" s="65" t="e">
        <f aca="false">IF('conversion datos'!B12="","",'conversion datos'!B12)</f>
        <v>#VALUE!</v>
      </c>
      <c r="C14" s="494" t="str">
        <f aca="false">IF('conversion datos'!C12="","",'conversion datos'!C12)</f>
        <v/>
      </c>
      <c r="D14" s="489" t="e">
        <f aca="false">IF(B14="","",'Introduccion de datos de Calib.'!I12)</f>
        <v>#VALUE!</v>
      </c>
      <c r="E14" s="489" t="e">
        <f aca="false">IF(B14="","",'Introduccion de datos de Calib.'!J12)</f>
        <v>#VALUE!</v>
      </c>
      <c r="F14" s="489" t="e">
        <f aca="false">IF(B14="","",'Introduccion de datos de Calib.'!L12)</f>
        <v>#VALUE!</v>
      </c>
      <c r="G14" s="490" t="e">
        <f aca="false">IF(B14="","",'Introduccion de datos de Calib.'!M12)</f>
        <v>#VALUE!</v>
      </c>
      <c r="I14" s="501"/>
      <c r="J14" s="501"/>
      <c r="K14" s="501"/>
      <c r="L14" s="501"/>
      <c r="M14" s="501"/>
      <c r="N14" s="501"/>
      <c r="O14" s="501"/>
      <c r="P14" s="501"/>
    </row>
    <row r="15" customFormat="false" ht="15" hidden="false" customHeight="false" outlineLevel="0" collapsed="false">
      <c r="A15" s="65" t="n">
        <f aca="false">'conversion datos'!A13</f>
        <v>12</v>
      </c>
      <c r="B15" s="65" t="e">
        <f aca="false">IF('conversion datos'!B13="","",'conversion datos'!B13)</f>
        <v>#VALUE!</v>
      </c>
      <c r="C15" s="494" t="str">
        <f aca="false">IF('conversion datos'!C13="","",'conversion datos'!C13)</f>
        <v/>
      </c>
      <c r="D15" s="489" t="e">
        <f aca="false">IF(B15="","",'Introduccion de datos de Calib.'!I13)</f>
        <v>#VALUE!</v>
      </c>
      <c r="E15" s="489" t="e">
        <f aca="false">IF(B15="","",'Introduccion de datos de Calib.'!J13)</f>
        <v>#VALUE!</v>
      </c>
      <c r="F15" s="489" t="e">
        <f aca="false">IF(B15="","",'Introduccion de datos de Calib.'!L13)</f>
        <v>#VALUE!</v>
      </c>
      <c r="G15" s="490" t="e">
        <f aca="false">IF(B15="","",'Introduccion de datos de Calib.'!M13)</f>
        <v>#VALUE!</v>
      </c>
      <c r="I15" s="501"/>
      <c r="J15" s="501"/>
      <c r="K15" s="501"/>
      <c r="L15" s="501"/>
      <c r="M15" s="501"/>
      <c r="N15" s="501"/>
      <c r="O15" s="501"/>
      <c r="P15" s="501"/>
    </row>
    <row r="16" customFormat="false" ht="15" hidden="false" customHeight="false" outlineLevel="0" collapsed="false">
      <c r="A16" s="65" t="n">
        <f aca="false">'conversion datos'!A14</f>
        <v>13</v>
      </c>
      <c r="B16" s="65" t="e">
        <f aca="false">IF('conversion datos'!B14="","",'conversion datos'!B14)</f>
        <v>#VALUE!</v>
      </c>
      <c r="C16" s="494" t="str">
        <f aca="false">IF('conversion datos'!C14="","",'conversion datos'!C14)</f>
        <v/>
      </c>
      <c r="D16" s="489" t="e">
        <f aca="false">IF(B16="","",'Introduccion de datos de Calib.'!I14)</f>
        <v>#VALUE!</v>
      </c>
      <c r="E16" s="489" t="e">
        <f aca="false">IF(B16="","",'Introduccion de datos de Calib.'!J14)</f>
        <v>#VALUE!</v>
      </c>
      <c r="F16" s="489" t="e">
        <f aca="false">IF(B16="","",'Introduccion de datos de Calib.'!L14)</f>
        <v>#VALUE!</v>
      </c>
      <c r="G16" s="490" t="e">
        <f aca="false">IF(B16="","",'Introduccion de datos de Calib.'!M14)</f>
        <v>#VALUE!</v>
      </c>
      <c r="I16" s="501"/>
      <c r="J16" s="501"/>
      <c r="K16" s="501"/>
      <c r="L16" s="501"/>
      <c r="M16" s="501"/>
      <c r="N16" s="501"/>
      <c r="O16" s="501"/>
      <c r="P16" s="501"/>
    </row>
    <row r="17" customFormat="false" ht="15" hidden="false" customHeight="false" outlineLevel="0" collapsed="false">
      <c r="A17" s="65" t="n">
        <f aca="false">'conversion datos'!A15</f>
        <v>14</v>
      </c>
      <c r="B17" s="65" t="e">
        <f aca="false">IF('conversion datos'!B15="","",'conversion datos'!B15)</f>
        <v>#VALUE!</v>
      </c>
      <c r="C17" s="494" t="str">
        <f aca="false">IF('conversion datos'!C15="","",'conversion datos'!C15)</f>
        <v/>
      </c>
      <c r="D17" s="489" t="e">
        <f aca="false">IF(B17="","",'Introduccion de datos de Calib.'!I15)</f>
        <v>#VALUE!</v>
      </c>
      <c r="E17" s="489" t="e">
        <f aca="false">IF(B17="","",'Introduccion de datos de Calib.'!J15)</f>
        <v>#VALUE!</v>
      </c>
      <c r="F17" s="489" t="e">
        <f aca="false">IF(B17="","",'Introduccion de datos de Calib.'!L15)</f>
        <v>#VALUE!</v>
      </c>
      <c r="G17" s="490" t="e">
        <f aca="false">IF(B17="","",'Introduccion de datos de Calib.'!M15)</f>
        <v>#VALUE!</v>
      </c>
      <c r="I17" s="501"/>
      <c r="J17" s="501"/>
      <c r="K17" s="501"/>
      <c r="L17" s="501"/>
      <c r="M17" s="501"/>
      <c r="N17" s="501"/>
      <c r="O17" s="501"/>
      <c r="P17" s="501"/>
    </row>
    <row r="18" customFormat="false" ht="15" hidden="false" customHeight="false" outlineLevel="0" collapsed="false">
      <c r="A18" s="65" t="n">
        <f aca="false">'conversion datos'!A16</f>
        <v>15</v>
      </c>
      <c r="B18" s="65" t="e">
        <f aca="false">IF('conversion datos'!B16="","",'conversion datos'!B16)</f>
        <v>#VALUE!</v>
      </c>
      <c r="C18" s="494" t="str">
        <f aca="false">IF('conversion datos'!C16="","",'conversion datos'!C16)</f>
        <v/>
      </c>
      <c r="D18" s="489" t="e">
        <f aca="false">IF(B18="","",'Introduccion de datos de Calib.'!I16)</f>
        <v>#VALUE!</v>
      </c>
      <c r="E18" s="489" t="e">
        <f aca="false">IF(B18="","",'Introduccion de datos de Calib.'!J16)</f>
        <v>#VALUE!</v>
      </c>
      <c r="F18" s="489" t="e">
        <f aca="false">IF(B18="","",'Introduccion de datos de Calib.'!L16)</f>
        <v>#VALUE!</v>
      </c>
      <c r="G18" s="490" t="e">
        <f aca="false">IF(B18="","",'Introduccion de datos de Calib.'!M16)</f>
        <v>#VALUE!</v>
      </c>
      <c r="I18" s="501"/>
      <c r="J18" s="501"/>
      <c r="K18" s="501"/>
      <c r="L18" s="501"/>
      <c r="M18" s="501"/>
      <c r="N18" s="501"/>
      <c r="O18" s="501"/>
      <c r="P18" s="501"/>
    </row>
    <row r="19" customFormat="false" ht="15" hidden="false" customHeight="false" outlineLevel="0" collapsed="false">
      <c r="A19" s="65" t="n">
        <f aca="false">'conversion datos'!A17</f>
        <v>16</v>
      </c>
      <c r="B19" s="65" t="e">
        <f aca="false">IF('conversion datos'!B17="","",'conversion datos'!B17)</f>
        <v>#VALUE!</v>
      </c>
      <c r="C19" s="494" t="str">
        <f aca="false">IF('conversion datos'!C17="","",'conversion datos'!C17)</f>
        <v/>
      </c>
      <c r="D19" s="489" t="e">
        <f aca="false">IF(B19="","",'Introduccion de datos de Calib.'!I17)</f>
        <v>#VALUE!</v>
      </c>
      <c r="E19" s="489" t="e">
        <f aca="false">IF(B19="","",'Introduccion de datos de Calib.'!J17)</f>
        <v>#VALUE!</v>
      </c>
      <c r="F19" s="489" t="e">
        <f aca="false">IF(B19="","",'Introduccion de datos de Calib.'!L17)</f>
        <v>#VALUE!</v>
      </c>
      <c r="G19" s="490" t="e">
        <f aca="false">IF(B19="","",'Introduccion de datos de Calib.'!M17)</f>
        <v>#VALUE!</v>
      </c>
      <c r="I19" s="501"/>
      <c r="J19" s="501"/>
      <c r="K19" s="501"/>
      <c r="L19" s="501"/>
      <c r="M19" s="501"/>
      <c r="N19" s="501"/>
      <c r="O19" s="501"/>
      <c r="P19" s="501"/>
    </row>
    <row r="20" customFormat="false" ht="15" hidden="false" customHeight="false" outlineLevel="0" collapsed="false">
      <c r="A20" s="65" t="n">
        <f aca="false">'conversion datos'!A18</f>
        <v>17</v>
      </c>
      <c r="B20" s="65" t="e">
        <f aca="false">IF('conversion datos'!B18="","",'conversion datos'!B18)</f>
        <v>#VALUE!</v>
      </c>
      <c r="C20" s="494" t="str">
        <f aca="false">IF('conversion datos'!C18="","",'conversion datos'!C18)</f>
        <v/>
      </c>
      <c r="D20" s="489" t="e">
        <f aca="false">IF(B20="","",'Introduccion de datos de Calib.'!I18)</f>
        <v>#VALUE!</v>
      </c>
      <c r="E20" s="489" t="e">
        <f aca="false">IF(B20="","",'Introduccion de datos de Calib.'!J18)</f>
        <v>#VALUE!</v>
      </c>
      <c r="F20" s="489" t="e">
        <f aca="false">IF(B20="","",'Introduccion de datos de Calib.'!L18)</f>
        <v>#VALUE!</v>
      </c>
      <c r="G20" s="490" t="e">
        <f aca="false">IF(B20="","",'Introduccion de datos de Calib.'!M18)</f>
        <v>#VALUE!</v>
      </c>
      <c r="I20" s="501"/>
      <c r="J20" s="501"/>
      <c r="K20" s="501"/>
      <c r="L20" s="501"/>
      <c r="M20" s="501"/>
      <c r="N20" s="501"/>
      <c r="O20" s="501"/>
      <c r="P20" s="501"/>
    </row>
    <row r="21" customFormat="false" ht="15" hidden="false" customHeight="false" outlineLevel="0" collapsed="false">
      <c r="A21" s="65" t="n">
        <f aca="false">'conversion datos'!A19</f>
        <v>18</v>
      </c>
      <c r="B21" s="65" t="e">
        <f aca="false">IF('conversion datos'!B19="","",'conversion datos'!B19)</f>
        <v>#VALUE!</v>
      </c>
      <c r="C21" s="494" t="str">
        <f aca="false">IF('conversion datos'!C19="","",'conversion datos'!C19)</f>
        <v/>
      </c>
      <c r="D21" s="489" t="e">
        <f aca="false">IF(B21="","",'Introduccion de datos de Calib.'!I19)</f>
        <v>#VALUE!</v>
      </c>
      <c r="E21" s="489" t="e">
        <f aca="false">IF(B21="","",'Introduccion de datos de Calib.'!J19)</f>
        <v>#VALUE!</v>
      </c>
      <c r="F21" s="489" t="e">
        <f aca="false">IF(B21="","",'Introduccion de datos de Calib.'!L19)</f>
        <v>#VALUE!</v>
      </c>
      <c r="G21" s="490" t="e">
        <f aca="false">IF(B21="","",'Introduccion de datos de Calib.'!M19)</f>
        <v>#VALUE!</v>
      </c>
      <c r="I21" s="501"/>
      <c r="J21" s="501"/>
      <c r="K21" s="501"/>
      <c r="L21" s="501"/>
      <c r="M21" s="501"/>
      <c r="N21" s="501"/>
      <c r="O21" s="501"/>
      <c r="P21" s="501"/>
    </row>
    <row r="22" customFormat="false" ht="15" hidden="false" customHeight="false" outlineLevel="0" collapsed="false">
      <c r="A22" s="65" t="n">
        <f aca="false">'conversion datos'!A20</f>
        <v>19</v>
      </c>
      <c r="B22" s="65" t="e">
        <f aca="false">IF('conversion datos'!B20="","",'conversion datos'!B20)</f>
        <v>#VALUE!</v>
      </c>
      <c r="C22" s="494" t="str">
        <f aca="false">IF('conversion datos'!C20="","",'conversion datos'!C20)</f>
        <v/>
      </c>
      <c r="D22" s="489" t="e">
        <f aca="false">IF(B22="","",'Introduccion de datos de Calib.'!I20)</f>
        <v>#VALUE!</v>
      </c>
      <c r="E22" s="489" t="e">
        <f aca="false">IF(B22="","",'Introduccion de datos de Calib.'!J20)</f>
        <v>#VALUE!</v>
      </c>
      <c r="F22" s="489" t="e">
        <f aca="false">IF(B22="","",'Introduccion de datos de Calib.'!L20)</f>
        <v>#VALUE!</v>
      </c>
      <c r="G22" s="490" t="e">
        <f aca="false">IF(B22="","",'Introduccion de datos de Calib.'!M20)</f>
        <v>#VALUE!</v>
      </c>
      <c r="I22" s="501"/>
      <c r="J22" s="501"/>
      <c r="K22" s="501"/>
      <c r="L22" s="501"/>
      <c r="M22" s="501"/>
      <c r="N22" s="501"/>
      <c r="O22" s="501"/>
      <c r="P22" s="501"/>
    </row>
    <row r="23" customFormat="false" ht="15" hidden="false" customHeight="false" outlineLevel="0" collapsed="false">
      <c r="A23" s="65" t="n">
        <f aca="false">'conversion datos'!A21</f>
        <v>20</v>
      </c>
      <c r="B23" s="65" t="e">
        <f aca="false">IF('conversion datos'!B21="","",'conversion datos'!B21)</f>
        <v>#VALUE!</v>
      </c>
      <c r="C23" s="494" t="str">
        <f aca="false">IF('conversion datos'!C21="","",'conversion datos'!C21)</f>
        <v/>
      </c>
      <c r="D23" s="489" t="e">
        <f aca="false">IF(B23="","",'Introduccion de datos de Calib.'!I21)</f>
        <v>#VALUE!</v>
      </c>
      <c r="E23" s="489" t="e">
        <f aca="false">IF(B23="","",'Introduccion de datos de Calib.'!J21)</f>
        <v>#VALUE!</v>
      </c>
      <c r="F23" s="489" t="e">
        <f aca="false">IF(B23="","",'Introduccion de datos de Calib.'!L21)</f>
        <v>#VALUE!</v>
      </c>
      <c r="G23" s="490" t="e">
        <f aca="false">IF(B23="","",'Introduccion de datos de Calib.'!M21)</f>
        <v>#VALUE!</v>
      </c>
      <c r="I23" s="501"/>
      <c r="J23" s="501"/>
      <c r="K23" s="501"/>
      <c r="L23" s="501"/>
      <c r="M23" s="501"/>
      <c r="N23" s="501"/>
      <c r="O23" s="501"/>
      <c r="P23" s="501"/>
    </row>
    <row r="24" customFormat="false" ht="15" hidden="false" customHeight="false" outlineLevel="0" collapsed="false">
      <c r="A24" s="65" t="n">
        <f aca="false">'conversion datos'!A22</f>
        <v>21</v>
      </c>
      <c r="B24" s="65" t="e">
        <f aca="false">IF('conversion datos'!B22="","",'conversion datos'!B22)</f>
        <v>#VALUE!</v>
      </c>
      <c r="C24" s="494" t="str">
        <f aca="false">IF('conversion datos'!C22="","",'conversion datos'!C22)</f>
        <v/>
      </c>
      <c r="D24" s="489" t="e">
        <f aca="false">IF(B24="","",'Introduccion de datos de Calib.'!I22)</f>
        <v>#VALUE!</v>
      </c>
      <c r="E24" s="489" t="e">
        <f aca="false">IF(B24="","",'Introduccion de datos de Calib.'!J22)</f>
        <v>#VALUE!</v>
      </c>
      <c r="F24" s="489" t="e">
        <f aca="false">IF(B24="","",'Introduccion de datos de Calib.'!L22)</f>
        <v>#VALUE!</v>
      </c>
      <c r="G24" s="490" t="e">
        <f aca="false">IF(B24="","",'Introduccion de datos de Calib.'!M22)</f>
        <v>#VALUE!</v>
      </c>
      <c r="I24" s="501"/>
      <c r="J24" s="501"/>
      <c r="K24" s="501"/>
      <c r="L24" s="501"/>
      <c r="M24" s="501"/>
      <c r="N24" s="501"/>
      <c r="O24" s="501"/>
      <c r="P24" s="501"/>
    </row>
    <row r="25" customFormat="false" ht="15" hidden="false" customHeight="false" outlineLevel="0" collapsed="false">
      <c r="A25" s="65" t="n">
        <f aca="false">'conversion datos'!A23</f>
        <v>22</v>
      </c>
      <c r="B25" s="65" t="e">
        <f aca="false">IF('conversion datos'!B23="","",'conversion datos'!B23)</f>
        <v>#VALUE!</v>
      </c>
      <c r="C25" s="494" t="str">
        <f aca="false">IF('conversion datos'!C23="","",'conversion datos'!C23)</f>
        <v/>
      </c>
      <c r="D25" s="489" t="e">
        <f aca="false">IF(B25="","",'Introduccion de datos de Calib.'!I23)</f>
        <v>#VALUE!</v>
      </c>
      <c r="E25" s="489" t="e">
        <f aca="false">IF(B25="","",'Introduccion de datos de Calib.'!J23)</f>
        <v>#VALUE!</v>
      </c>
      <c r="F25" s="489" t="e">
        <f aca="false">IF(B25="","",'Introduccion de datos de Calib.'!L23)</f>
        <v>#VALUE!</v>
      </c>
      <c r="G25" s="490" t="e">
        <f aca="false">IF(B25="","",'Introduccion de datos de Calib.'!M23)</f>
        <v>#VALUE!</v>
      </c>
      <c r="I25" s="501"/>
      <c r="J25" s="501"/>
      <c r="K25" s="501"/>
      <c r="L25" s="501"/>
      <c r="M25" s="501"/>
      <c r="N25" s="501"/>
      <c r="O25" s="501"/>
      <c r="P25" s="501"/>
    </row>
    <row r="26" customFormat="false" ht="15" hidden="false" customHeight="false" outlineLevel="0" collapsed="false">
      <c r="A26" s="65" t="n">
        <f aca="false">'conversion datos'!A24</f>
        <v>23</v>
      </c>
      <c r="B26" s="65" t="e">
        <f aca="false">IF('conversion datos'!B24="","",'conversion datos'!B24)</f>
        <v>#VALUE!</v>
      </c>
      <c r="C26" s="494" t="str">
        <f aca="false">IF('conversion datos'!C24="","",'conversion datos'!C24)</f>
        <v/>
      </c>
      <c r="D26" s="489" t="e">
        <f aca="false">IF(B26="","",'Introduccion de datos de Calib.'!I24)</f>
        <v>#VALUE!</v>
      </c>
      <c r="E26" s="489" t="e">
        <f aca="false">IF(B26="","",'Introduccion de datos de Calib.'!J24)</f>
        <v>#VALUE!</v>
      </c>
      <c r="F26" s="489" t="e">
        <f aca="false">IF(B26="","",'Introduccion de datos de Calib.'!L24)</f>
        <v>#VALUE!</v>
      </c>
      <c r="G26" s="490" t="e">
        <f aca="false">IF(B26="","",'Introduccion de datos de Calib.'!M24)</f>
        <v>#VALUE!</v>
      </c>
      <c r="I26" s="501"/>
      <c r="J26" s="501"/>
      <c r="K26" s="501"/>
      <c r="L26" s="501"/>
      <c r="M26" s="501"/>
      <c r="N26" s="501"/>
      <c r="O26" s="501"/>
      <c r="P26" s="501"/>
    </row>
    <row r="27" customFormat="false" ht="15" hidden="false" customHeight="false" outlineLevel="0" collapsed="false">
      <c r="A27" s="65" t="n">
        <f aca="false">'conversion datos'!A25</f>
        <v>24</v>
      </c>
      <c r="B27" s="65" t="e">
        <f aca="false">IF('conversion datos'!B25="","",'conversion datos'!B25)</f>
        <v>#VALUE!</v>
      </c>
      <c r="C27" s="494" t="str">
        <f aca="false">IF('conversion datos'!C25="","",'conversion datos'!C25)</f>
        <v/>
      </c>
      <c r="D27" s="489" t="e">
        <f aca="false">IF(B27="","",'Introduccion de datos de Calib.'!I25)</f>
        <v>#VALUE!</v>
      </c>
      <c r="E27" s="489" t="e">
        <f aca="false">IF(B27="","",'Introduccion de datos de Calib.'!J25)</f>
        <v>#VALUE!</v>
      </c>
      <c r="F27" s="489" t="e">
        <f aca="false">IF(B27="","",'Introduccion de datos de Calib.'!L25)</f>
        <v>#VALUE!</v>
      </c>
      <c r="G27" s="490" t="e">
        <f aca="false">IF(B27="","",'Introduccion de datos de Calib.'!M25)</f>
        <v>#VALUE!</v>
      </c>
      <c r="I27" s="501"/>
      <c r="J27" s="501"/>
      <c r="K27" s="501"/>
      <c r="L27" s="501"/>
      <c r="M27" s="501"/>
      <c r="N27" s="501"/>
      <c r="O27" s="501"/>
      <c r="P27" s="501"/>
    </row>
    <row r="28" customFormat="false" ht="15" hidden="false" customHeight="false" outlineLevel="0" collapsed="false">
      <c r="A28" s="65" t="n">
        <f aca="false">'conversion datos'!A26</f>
        <v>25</v>
      </c>
      <c r="B28" s="65" t="e">
        <f aca="false">IF('conversion datos'!B26="","",'conversion datos'!B26)</f>
        <v>#VALUE!</v>
      </c>
      <c r="C28" s="494" t="str">
        <f aca="false">IF('conversion datos'!C26="","",'conversion datos'!C26)</f>
        <v/>
      </c>
      <c r="D28" s="489" t="e">
        <f aca="false">IF(B28="","",'Introduccion de datos de Calib.'!I26)</f>
        <v>#VALUE!</v>
      </c>
      <c r="E28" s="489" t="e">
        <f aca="false">IF(B28="","",'Introduccion de datos de Calib.'!J26)</f>
        <v>#VALUE!</v>
      </c>
      <c r="F28" s="489" t="e">
        <f aca="false">IF(B28="","",'Introduccion de datos de Calib.'!L26)</f>
        <v>#VALUE!</v>
      </c>
      <c r="G28" s="490" t="e">
        <f aca="false">IF(B28="","",'Introduccion de datos de Calib.'!M26)</f>
        <v>#VALUE!</v>
      </c>
      <c r="I28" s="501"/>
      <c r="J28" s="501"/>
      <c r="K28" s="501"/>
      <c r="M28" s="501"/>
    </row>
    <row r="29" customFormat="false" ht="15" hidden="false" customHeight="false" outlineLevel="0" collapsed="false">
      <c r="A29" s="65" t="n">
        <f aca="false">'conversion datos'!A27</f>
        <v>26</v>
      </c>
      <c r="B29" s="65" t="e">
        <f aca="false">IF('conversion datos'!B27="","",'conversion datos'!B27)</f>
        <v>#VALUE!</v>
      </c>
      <c r="C29" s="494" t="str">
        <f aca="false">IF('conversion datos'!C27="","",'conversion datos'!C27)</f>
        <v/>
      </c>
      <c r="D29" s="489" t="e">
        <f aca="false">IF(B29="","",'Introduccion de datos de Calib.'!I27)</f>
        <v>#VALUE!</v>
      </c>
      <c r="E29" s="489" t="e">
        <f aca="false">IF(B29="","",'Introduccion de datos de Calib.'!J27)</f>
        <v>#VALUE!</v>
      </c>
      <c r="F29" s="489" t="e">
        <f aca="false">IF(B29="","",'Introduccion de datos de Calib.'!L27)</f>
        <v>#VALUE!</v>
      </c>
      <c r="G29" s="490" t="e">
        <f aca="false">IF(B29="","",'Introduccion de datos de Calib.'!M27)</f>
        <v>#VALUE!</v>
      </c>
      <c r="I29" s="501"/>
      <c r="J29" s="501"/>
      <c r="K29" s="501"/>
      <c r="M29" s="501"/>
    </row>
    <row r="30" customFormat="false" ht="15" hidden="false" customHeight="false" outlineLevel="0" collapsed="false">
      <c r="A30" s="65" t="n">
        <f aca="false">'conversion datos'!A28</f>
        <v>27</v>
      </c>
      <c r="B30" s="65" t="e">
        <f aca="false">IF('conversion datos'!B28="","",'conversion datos'!B28)</f>
        <v>#VALUE!</v>
      </c>
      <c r="C30" s="494" t="str">
        <f aca="false">IF('conversion datos'!C28="","",'conversion datos'!C28)</f>
        <v/>
      </c>
      <c r="D30" s="489" t="e">
        <f aca="false">IF(B30="","",'Introduccion de datos de Calib.'!I28)</f>
        <v>#VALUE!</v>
      </c>
      <c r="E30" s="489" t="e">
        <f aca="false">IF(B30="","",'Introduccion de datos de Calib.'!J28)</f>
        <v>#VALUE!</v>
      </c>
      <c r="F30" s="489" t="e">
        <f aca="false">IF(B30="","",'Introduccion de datos de Calib.'!L28)</f>
        <v>#VALUE!</v>
      </c>
      <c r="G30" s="490" t="e">
        <f aca="false">IF(B30="","",'Introduccion de datos de Calib.'!M28)</f>
        <v>#VALUE!</v>
      </c>
      <c r="I30" s="501"/>
      <c r="J30" s="501"/>
      <c r="K30" s="501"/>
      <c r="M30" s="501"/>
    </row>
    <row r="31" customFormat="false" ht="15" hidden="false" customHeight="false" outlineLevel="0" collapsed="false">
      <c r="A31" s="65" t="n">
        <f aca="false">'conversion datos'!A29</f>
        <v>28</v>
      </c>
      <c r="B31" s="65" t="e">
        <f aca="false">IF('conversion datos'!B29="","",'conversion datos'!B29)</f>
        <v>#VALUE!</v>
      </c>
      <c r="C31" s="494" t="str">
        <f aca="false">IF('conversion datos'!C29="","",'conversion datos'!C29)</f>
        <v/>
      </c>
      <c r="D31" s="489" t="e">
        <f aca="false">IF(B31="","",'Introduccion de datos de Calib.'!I29)</f>
        <v>#VALUE!</v>
      </c>
      <c r="E31" s="489" t="e">
        <f aca="false">IF(B31="","",'Introduccion de datos de Calib.'!J29)</f>
        <v>#VALUE!</v>
      </c>
      <c r="F31" s="489" t="e">
        <f aca="false">IF(B31="","",'Introduccion de datos de Calib.'!L29)</f>
        <v>#VALUE!</v>
      </c>
      <c r="G31" s="490" t="e">
        <f aca="false">IF(B31="","",'Introduccion de datos de Calib.'!M29)</f>
        <v>#VALUE!</v>
      </c>
    </row>
    <row r="32" customFormat="false" ht="15" hidden="false" customHeight="false" outlineLevel="0" collapsed="false">
      <c r="A32" s="65" t="n">
        <f aca="false">'conversion datos'!A30</f>
        <v>29</v>
      </c>
      <c r="B32" s="65" t="e">
        <f aca="false">IF('conversion datos'!B30="","",'conversion datos'!B30)</f>
        <v>#VALUE!</v>
      </c>
      <c r="C32" s="494" t="str">
        <f aca="false">IF('conversion datos'!C30="","",'conversion datos'!C30)</f>
        <v/>
      </c>
      <c r="D32" s="489" t="e">
        <f aca="false">IF(B32="","",'Introduccion de datos de Calib.'!I30)</f>
        <v>#VALUE!</v>
      </c>
      <c r="E32" s="489" t="e">
        <f aca="false">IF(B32="","",'Introduccion de datos de Calib.'!J30)</f>
        <v>#VALUE!</v>
      </c>
      <c r="F32" s="489" t="e">
        <f aca="false">IF(B32="","",'Introduccion de datos de Calib.'!L30)</f>
        <v>#VALUE!</v>
      </c>
      <c r="G32" s="490" t="e">
        <f aca="false">IF(B32="","",'Introduccion de datos de Calib.'!M30)</f>
        <v>#VALUE!</v>
      </c>
    </row>
    <row r="33" customFormat="false" ht="15" hidden="false" customHeight="false" outlineLevel="0" collapsed="false">
      <c r="A33" s="65" t="n">
        <f aca="false">'conversion datos'!A31</f>
        <v>30</v>
      </c>
      <c r="B33" s="65" t="e">
        <f aca="false">IF('conversion datos'!B31="","",'conversion datos'!B31)</f>
        <v>#VALUE!</v>
      </c>
      <c r="C33" s="494" t="str">
        <f aca="false">IF('conversion datos'!C31="","",'conversion datos'!C31)</f>
        <v/>
      </c>
      <c r="D33" s="489" t="e">
        <f aca="false">IF(B33="","",'Introduccion de datos de Calib.'!I31)</f>
        <v>#VALUE!</v>
      </c>
      <c r="E33" s="489" t="e">
        <f aca="false">IF(B33="","",'Introduccion de datos de Calib.'!J31)</f>
        <v>#VALUE!</v>
      </c>
      <c r="F33" s="489" t="e">
        <f aca="false">IF(B33="","",'Introduccion de datos de Calib.'!L31)</f>
        <v>#VALUE!</v>
      </c>
      <c r="G33" s="490" t="e">
        <f aca="false">IF(B33="","",'Introduccion de datos de Calib.'!M31)</f>
        <v>#VALUE!</v>
      </c>
    </row>
    <row r="34" customFormat="false" ht="15" hidden="false" customHeight="false" outlineLevel="0" collapsed="false">
      <c r="A34" s="65" t="n">
        <f aca="false">'conversion datos'!A32</f>
        <v>31</v>
      </c>
      <c r="B34" s="65" t="e">
        <f aca="false">IF('conversion datos'!B32="","",'conversion datos'!B32)</f>
        <v>#VALUE!</v>
      </c>
      <c r="C34" s="494" t="str">
        <f aca="false">IF('conversion datos'!C32="","",'conversion datos'!C32)</f>
        <v/>
      </c>
      <c r="D34" s="489" t="e">
        <f aca="false">IF(B34="","",'Introduccion de datos de Calib.'!I32)</f>
        <v>#VALUE!</v>
      </c>
      <c r="E34" s="489" t="e">
        <f aca="false">IF(B34="","",'Introduccion de datos de Calib.'!J32)</f>
        <v>#VALUE!</v>
      </c>
      <c r="F34" s="489" t="e">
        <f aca="false">IF(B34="","",'Introduccion de datos de Calib.'!L32)</f>
        <v>#VALUE!</v>
      </c>
      <c r="G34" s="490" t="e">
        <f aca="false">IF(B34="","",'Introduccion de datos de Calib.'!M32)</f>
        <v>#VALUE!</v>
      </c>
    </row>
    <row r="35" customFormat="false" ht="15" hidden="false" customHeight="false" outlineLevel="0" collapsed="false">
      <c r="A35" s="65" t="n">
        <f aca="false">'conversion datos'!A33</f>
        <v>32</v>
      </c>
      <c r="B35" s="65" t="e">
        <f aca="false">IF('conversion datos'!B33="","",'conversion datos'!B33)</f>
        <v>#VALUE!</v>
      </c>
      <c r="C35" s="494" t="str">
        <f aca="false">IF('conversion datos'!C33="","",'conversion datos'!C33)</f>
        <v/>
      </c>
      <c r="D35" s="489" t="e">
        <f aca="false">IF(B35="","",'Introduccion de datos de Calib.'!I33)</f>
        <v>#VALUE!</v>
      </c>
      <c r="E35" s="489" t="e">
        <f aca="false">IF(B35="","",'Introduccion de datos de Calib.'!J33)</f>
        <v>#VALUE!</v>
      </c>
      <c r="F35" s="489" t="e">
        <f aca="false">IF(B35="","",'Introduccion de datos de Calib.'!L33)</f>
        <v>#VALUE!</v>
      </c>
      <c r="G35" s="490" t="e">
        <f aca="false">IF(B35="","",'Introduccion de datos de Calib.'!M33)</f>
        <v>#VALUE!</v>
      </c>
    </row>
    <row r="36" customFormat="false" ht="15" hidden="false" customHeight="false" outlineLevel="0" collapsed="false">
      <c r="A36" s="65" t="n">
        <f aca="false">'conversion datos'!A34</f>
        <v>33</v>
      </c>
      <c r="B36" s="65" t="e">
        <f aca="false">IF('conversion datos'!B34="","",'conversion datos'!B34)</f>
        <v>#VALUE!</v>
      </c>
      <c r="C36" s="494" t="str">
        <f aca="false">IF('conversion datos'!C34="","",'conversion datos'!C34)</f>
        <v/>
      </c>
      <c r="D36" s="489" t="e">
        <f aca="false">IF(B36="","",'Introduccion de datos de Calib.'!I34)</f>
        <v>#VALUE!</v>
      </c>
      <c r="E36" s="489" t="e">
        <f aca="false">IF(B36="","",'Introduccion de datos de Calib.'!J34)</f>
        <v>#VALUE!</v>
      </c>
      <c r="F36" s="489" t="e">
        <f aca="false">IF(B36="","",'Introduccion de datos de Calib.'!L34)</f>
        <v>#VALUE!</v>
      </c>
      <c r="G36" s="490" t="e">
        <f aca="false">IF(B36="","",'Introduccion de datos de Calib.'!M34)</f>
        <v>#VALUE!</v>
      </c>
    </row>
    <row r="37" customFormat="false" ht="15" hidden="false" customHeight="false" outlineLevel="0" collapsed="false">
      <c r="A37" s="65" t="n">
        <f aca="false">'conversion datos'!A35</f>
        <v>34</v>
      </c>
      <c r="B37" s="65" t="e">
        <f aca="false">IF('conversion datos'!B35="","",'conversion datos'!B35)</f>
        <v>#VALUE!</v>
      </c>
      <c r="C37" s="494" t="str">
        <f aca="false">IF('conversion datos'!C35="","",'conversion datos'!C35)</f>
        <v/>
      </c>
      <c r="D37" s="489" t="e">
        <f aca="false">IF(B37="","",'Introduccion de datos de Calib.'!I35)</f>
        <v>#VALUE!</v>
      </c>
      <c r="E37" s="489" t="e">
        <f aca="false">IF(B37="","",'Introduccion de datos de Calib.'!J35)</f>
        <v>#VALUE!</v>
      </c>
      <c r="F37" s="489" t="e">
        <f aca="false">IF(B37="","",'Introduccion de datos de Calib.'!L35)</f>
        <v>#VALUE!</v>
      </c>
      <c r="G37" s="490" t="e">
        <f aca="false">IF(B37="","",'Introduccion de datos de Calib.'!M35)</f>
        <v>#VALUE!</v>
      </c>
    </row>
    <row r="38" customFormat="false" ht="15" hidden="false" customHeight="false" outlineLevel="0" collapsed="false">
      <c r="A38" s="65" t="n">
        <f aca="false">'conversion datos'!A36</f>
        <v>35</v>
      </c>
      <c r="B38" s="65" t="e">
        <f aca="false">IF('conversion datos'!B36="","",'conversion datos'!B36)</f>
        <v>#VALUE!</v>
      </c>
      <c r="C38" s="494" t="str">
        <f aca="false">IF('conversion datos'!C36="","",'conversion datos'!C36)</f>
        <v/>
      </c>
      <c r="D38" s="489" t="e">
        <f aca="false">IF(B38="","",'Introduccion de datos de Calib.'!I36)</f>
        <v>#VALUE!</v>
      </c>
      <c r="E38" s="489" t="e">
        <f aca="false">IF(B38="","",'Introduccion de datos de Calib.'!J36)</f>
        <v>#VALUE!</v>
      </c>
      <c r="F38" s="489" t="e">
        <f aca="false">IF(B38="","",'Introduccion de datos de Calib.'!L36)</f>
        <v>#VALUE!</v>
      </c>
      <c r="G38" s="490" t="e">
        <f aca="false">IF(B38="","",'Introduccion de datos de Calib.'!M36)</f>
        <v>#VALUE!</v>
      </c>
    </row>
    <row r="39" customFormat="false" ht="15" hidden="false" customHeight="false" outlineLevel="0" collapsed="false">
      <c r="A39" s="65" t="n">
        <f aca="false">'conversion datos'!A37</f>
        <v>36</v>
      </c>
      <c r="B39" s="65" t="e">
        <f aca="false">IF('conversion datos'!B37="","",'conversion datos'!B37)</f>
        <v>#VALUE!</v>
      </c>
      <c r="C39" s="494" t="str">
        <f aca="false">IF('conversion datos'!C37="","",'conversion datos'!C37)</f>
        <v/>
      </c>
      <c r="D39" s="489" t="e">
        <f aca="false">IF(B39="","",'Introduccion de datos de Calib.'!I37)</f>
        <v>#VALUE!</v>
      </c>
      <c r="E39" s="489" t="e">
        <f aca="false">IF(B39="","",'Introduccion de datos de Calib.'!J37)</f>
        <v>#VALUE!</v>
      </c>
      <c r="F39" s="489" t="e">
        <f aca="false">IF(B39="","",'Introduccion de datos de Calib.'!L37)</f>
        <v>#VALUE!</v>
      </c>
      <c r="G39" s="490" t="e">
        <f aca="false">IF(B39="","",'Introduccion de datos de Calib.'!M37)</f>
        <v>#VALUE!</v>
      </c>
    </row>
    <row r="40" customFormat="false" ht="15" hidden="false" customHeight="false" outlineLevel="0" collapsed="false">
      <c r="A40" s="65" t="n">
        <f aca="false">'conversion datos'!A38</f>
        <v>37</v>
      </c>
      <c r="B40" s="65" t="e">
        <f aca="false">IF('conversion datos'!B38="","",'conversion datos'!B38)</f>
        <v>#VALUE!</v>
      </c>
      <c r="C40" s="494" t="str">
        <f aca="false">IF('conversion datos'!C38="","",'conversion datos'!C38)</f>
        <v/>
      </c>
      <c r="D40" s="489" t="e">
        <f aca="false">IF(B40="","",'Introduccion de datos de Calib.'!I38)</f>
        <v>#VALUE!</v>
      </c>
      <c r="E40" s="489" t="e">
        <f aca="false">IF(B40="","",'Introduccion de datos de Calib.'!J38)</f>
        <v>#VALUE!</v>
      </c>
      <c r="F40" s="489" t="e">
        <f aca="false">IF(B40="","",'Introduccion de datos de Calib.'!L38)</f>
        <v>#VALUE!</v>
      </c>
      <c r="G40" s="490" t="e">
        <f aca="false">IF(B40="","",'Introduccion de datos de Calib.'!M38)</f>
        <v>#VALUE!</v>
      </c>
    </row>
    <row r="41" customFormat="false" ht="15" hidden="false" customHeight="false" outlineLevel="0" collapsed="false">
      <c r="A41" s="65" t="n">
        <f aca="false">'conversion datos'!A39</f>
        <v>38</v>
      </c>
      <c r="B41" s="65" t="e">
        <f aca="false">IF('conversion datos'!B39="","",'conversion datos'!B39)</f>
        <v>#VALUE!</v>
      </c>
      <c r="C41" s="494" t="str">
        <f aca="false">IF('conversion datos'!C39="","",'conversion datos'!C39)</f>
        <v/>
      </c>
      <c r="D41" s="489" t="e">
        <f aca="false">IF(B41="","",'Introduccion de datos de Calib.'!I39)</f>
        <v>#VALUE!</v>
      </c>
      <c r="E41" s="489" t="e">
        <f aca="false">IF(B41="","",'Introduccion de datos de Calib.'!J39)</f>
        <v>#VALUE!</v>
      </c>
      <c r="F41" s="489" t="e">
        <f aca="false">IF(B41="","",'Introduccion de datos de Calib.'!L39)</f>
        <v>#VALUE!</v>
      </c>
      <c r="G41" s="490" t="e">
        <f aca="false">IF(B41="","",'Introduccion de datos de Calib.'!M39)</f>
        <v>#VALUE!</v>
      </c>
    </row>
    <row r="42" customFormat="false" ht="15" hidden="false" customHeight="false" outlineLevel="0" collapsed="false">
      <c r="A42" s="65" t="n">
        <f aca="false">'conversion datos'!A40</f>
        <v>39</v>
      </c>
      <c r="B42" s="65" t="e">
        <f aca="false">IF('conversion datos'!B40="","",'conversion datos'!B40)</f>
        <v>#VALUE!</v>
      </c>
      <c r="C42" s="494" t="str">
        <f aca="false">IF('conversion datos'!C40="","",'conversion datos'!C40)</f>
        <v/>
      </c>
      <c r="D42" s="489" t="e">
        <f aca="false">IF(B42="","",'Introduccion de datos de Calib.'!I40)</f>
        <v>#VALUE!</v>
      </c>
      <c r="E42" s="489" t="e">
        <f aca="false">IF(B42="","",'Introduccion de datos de Calib.'!J40)</f>
        <v>#VALUE!</v>
      </c>
      <c r="F42" s="489" t="e">
        <f aca="false">IF(B42="","",'Introduccion de datos de Calib.'!L40)</f>
        <v>#VALUE!</v>
      </c>
      <c r="G42" s="490" t="e">
        <f aca="false">IF(B42="","",'Introduccion de datos de Calib.'!M40)</f>
        <v>#VALUE!</v>
      </c>
    </row>
    <row r="43" customFormat="false" ht="15" hidden="false" customHeight="false" outlineLevel="0" collapsed="false">
      <c r="A43" s="65" t="n">
        <f aca="false">'conversion datos'!A41</f>
        <v>40</v>
      </c>
      <c r="B43" s="65" t="e">
        <f aca="false">IF('conversion datos'!B41="","",'conversion datos'!B41)</f>
        <v>#VALUE!</v>
      </c>
      <c r="C43" s="494" t="str">
        <f aca="false">IF('conversion datos'!C41="","",'conversion datos'!C41)</f>
        <v/>
      </c>
      <c r="D43" s="489" t="e">
        <f aca="false">IF(B43="","",'Introduccion de datos de Calib.'!I41)</f>
        <v>#VALUE!</v>
      </c>
      <c r="E43" s="489" t="e">
        <f aca="false">IF(B43="","",'Introduccion de datos de Calib.'!J41)</f>
        <v>#VALUE!</v>
      </c>
      <c r="F43" s="489" t="e">
        <f aca="false">IF(B43="","",'Introduccion de datos de Calib.'!L41)</f>
        <v>#VALUE!</v>
      </c>
      <c r="G43" s="490" t="e">
        <f aca="false">IF(B43="","",'Introduccion de datos de Calib.'!M41)</f>
        <v>#VALUE!</v>
      </c>
    </row>
    <row r="44" customFormat="false" ht="15" hidden="false" customHeight="false" outlineLevel="0" collapsed="false">
      <c r="A44" s="65" t="n">
        <f aca="false">'conversion datos'!A42</f>
        <v>41</v>
      </c>
      <c r="B44" s="65" t="e">
        <f aca="false">IF('conversion datos'!B42="","",'conversion datos'!B42)</f>
        <v>#VALUE!</v>
      </c>
      <c r="C44" s="494" t="str">
        <f aca="false">IF('conversion datos'!C42="","",'conversion datos'!C42)</f>
        <v/>
      </c>
      <c r="D44" s="489" t="e">
        <f aca="false">IF(B44="","",'Introduccion de datos de Calib.'!I42)</f>
        <v>#VALUE!</v>
      </c>
      <c r="E44" s="489" t="e">
        <f aca="false">IF(B44="","",'Introduccion de datos de Calib.'!J42)</f>
        <v>#VALUE!</v>
      </c>
      <c r="F44" s="489" t="e">
        <f aca="false">IF(B44="","",'Introduccion de datos de Calib.'!L42)</f>
        <v>#VALUE!</v>
      </c>
      <c r="G44" s="490" t="e">
        <f aca="false">IF(B44="","",'Introduccion de datos de Calib.'!M42)</f>
        <v>#VALUE!</v>
      </c>
    </row>
    <row r="45" customFormat="false" ht="15" hidden="false" customHeight="false" outlineLevel="0" collapsed="false">
      <c r="A45" s="65" t="n">
        <f aca="false">'conversion datos'!A43</f>
        <v>42</v>
      </c>
      <c r="B45" s="65" t="e">
        <f aca="false">IF('conversion datos'!B43="","",'conversion datos'!B43)</f>
        <v>#VALUE!</v>
      </c>
      <c r="C45" s="494" t="str">
        <f aca="false">IF('conversion datos'!C43="","",'conversion datos'!C43)</f>
        <v/>
      </c>
      <c r="D45" s="489" t="e">
        <f aca="false">IF(B45="","",'Introduccion de datos de Calib.'!I43)</f>
        <v>#VALUE!</v>
      </c>
      <c r="E45" s="489" t="e">
        <f aca="false">IF(B45="","",'Introduccion de datos de Calib.'!J43)</f>
        <v>#VALUE!</v>
      </c>
      <c r="F45" s="489" t="e">
        <f aca="false">IF(B45="","",'Introduccion de datos de Calib.'!L43)</f>
        <v>#VALUE!</v>
      </c>
      <c r="G45" s="490" t="e">
        <f aca="false">IF(B45="","",'Introduccion de datos de Calib.'!M43)</f>
        <v>#VALUE!</v>
      </c>
    </row>
    <row r="46" customFormat="false" ht="15" hidden="false" customHeight="false" outlineLevel="0" collapsed="false">
      <c r="A46" s="65" t="n">
        <f aca="false">'conversion datos'!A44</f>
        <v>43</v>
      </c>
      <c r="B46" s="65" t="e">
        <f aca="false">IF('conversion datos'!B44="","",'conversion datos'!B44)</f>
        <v>#VALUE!</v>
      </c>
      <c r="C46" s="494" t="str">
        <f aca="false">IF('conversion datos'!C44="","",'conversion datos'!C44)</f>
        <v/>
      </c>
      <c r="D46" s="489" t="e">
        <f aca="false">IF(B46="","",'Introduccion de datos de Calib.'!I44)</f>
        <v>#VALUE!</v>
      </c>
      <c r="E46" s="489" t="e">
        <f aca="false">IF(B46="","",'Introduccion de datos de Calib.'!J44)</f>
        <v>#VALUE!</v>
      </c>
      <c r="F46" s="489" t="e">
        <f aca="false">IF(B46="","",'Introduccion de datos de Calib.'!L44)</f>
        <v>#VALUE!</v>
      </c>
      <c r="G46" s="490" t="e">
        <f aca="false">IF(B46="","",'Introduccion de datos de Calib.'!M44)</f>
        <v>#VALUE!</v>
      </c>
    </row>
    <row r="47" customFormat="false" ht="15" hidden="false" customHeight="false" outlineLevel="0" collapsed="false">
      <c r="A47" s="65" t="n">
        <f aca="false">'conversion datos'!A45</f>
        <v>44</v>
      </c>
      <c r="B47" s="65" t="e">
        <f aca="false">IF('conversion datos'!B45="","",'conversion datos'!B45)</f>
        <v>#VALUE!</v>
      </c>
      <c r="C47" s="494" t="str">
        <f aca="false">IF('conversion datos'!C45="","",'conversion datos'!C45)</f>
        <v/>
      </c>
      <c r="D47" s="489" t="e">
        <f aca="false">IF(B47="","",'Introduccion de datos de Calib.'!I45)</f>
        <v>#VALUE!</v>
      </c>
      <c r="E47" s="489" t="e">
        <f aca="false">IF(B47="","",'Introduccion de datos de Calib.'!J45)</f>
        <v>#VALUE!</v>
      </c>
      <c r="F47" s="489" t="e">
        <f aca="false">IF(B47="","",'Introduccion de datos de Calib.'!L45)</f>
        <v>#VALUE!</v>
      </c>
      <c r="G47" s="490" t="e">
        <f aca="false">IF(B47="","",'Introduccion de datos de Calib.'!M45)</f>
        <v>#VALUE!</v>
      </c>
    </row>
    <row r="48" customFormat="false" ht="15" hidden="false" customHeight="false" outlineLevel="0" collapsed="false">
      <c r="A48" s="65" t="n">
        <f aca="false">'conversion datos'!A46</f>
        <v>45</v>
      </c>
      <c r="B48" s="65" t="e">
        <f aca="false">IF('conversion datos'!B46="","",'conversion datos'!B46)</f>
        <v>#VALUE!</v>
      </c>
      <c r="C48" s="494" t="str">
        <f aca="false">IF('conversion datos'!C46="","",'conversion datos'!C46)</f>
        <v/>
      </c>
      <c r="D48" s="489" t="e">
        <f aca="false">IF(B48="","",'Introduccion de datos de Calib.'!I46)</f>
        <v>#VALUE!</v>
      </c>
      <c r="E48" s="489" t="e">
        <f aca="false">IF(B48="","",'Introduccion de datos de Calib.'!J46)</f>
        <v>#VALUE!</v>
      </c>
      <c r="F48" s="489" t="e">
        <f aca="false">IF(B48="","",'Introduccion de datos de Calib.'!L46)</f>
        <v>#VALUE!</v>
      </c>
      <c r="G48" s="490" t="e">
        <f aca="false">IF(B48="","",'Introduccion de datos de Calib.'!M46)</f>
        <v>#VALUE!</v>
      </c>
    </row>
    <row r="49" customFormat="false" ht="15" hidden="false" customHeight="false" outlineLevel="0" collapsed="false">
      <c r="A49" s="65" t="n">
        <f aca="false">'conversion datos'!A47</f>
        <v>46</v>
      </c>
      <c r="B49" s="65" t="e">
        <f aca="false">IF('conversion datos'!B47="","",'conversion datos'!B47)</f>
        <v>#VALUE!</v>
      </c>
      <c r="C49" s="494" t="str">
        <f aca="false">IF('conversion datos'!C47="","",'conversion datos'!C47)</f>
        <v/>
      </c>
      <c r="D49" s="489" t="e">
        <f aca="false">IF(B49="","",'Introduccion de datos de Calib.'!I47)</f>
        <v>#VALUE!</v>
      </c>
      <c r="E49" s="489" t="e">
        <f aca="false">IF(B49="","",'Introduccion de datos de Calib.'!J47)</f>
        <v>#VALUE!</v>
      </c>
      <c r="F49" s="489" t="e">
        <f aca="false">IF(B49="","",'Introduccion de datos de Calib.'!L47)</f>
        <v>#VALUE!</v>
      </c>
      <c r="G49" s="490" t="e">
        <f aca="false">IF(B49="","",'Introduccion de datos de Calib.'!M47)</f>
        <v>#VALUE!</v>
      </c>
    </row>
    <row r="50" customFormat="false" ht="15" hidden="false" customHeight="false" outlineLevel="0" collapsed="false">
      <c r="A50" s="65" t="n">
        <f aca="false">'conversion datos'!A48</f>
        <v>47</v>
      </c>
      <c r="B50" s="65" t="e">
        <f aca="false">IF('conversion datos'!B48="","",'conversion datos'!B48)</f>
        <v>#VALUE!</v>
      </c>
      <c r="C50" s="494" t="str">
        <f aca="false">IF('conversion datos'!C48="","",'conversion datos'!C48)</f>
        <v/>
      </c>
      <c r="D50" s="489" t="e">
        <f aca="false">IF(B50="","",'Introduccion de datos de Calib.'!I48)</f>
        <v>#VALUE!</v>
      </c>
      <c r="E50" s="489" t="e">
        <f aca="false">IF(B50="","",'Introduccion de datos de Calib.'!J48)</f>
        <v>#VALUE!</v>
      </c>
      <c r="F50" s="489" t="e">
        <f aca="false">IF(B50="","",'Introduccion de datos de Calib.'!L48)</f>
        <v>#VALUE!</v>
      </c>
      <c r="G50" s="490" t="e">
        <f aca="false">IF(B50="","",'Introduccion de datos de Calib.'!M48)</f>
        <v>#VALUE!</v>
      </c>
    </row>
    <row r="51" customFormat="false" ht="15" hidden="false" customHeight="false" outlineLevel="0" collapsed="false">
      <c r="A51" s="65" t="n">
        <f aca="false">'conversion datos'!A49</f>
        <v>48</v>
      </c>
      <c r="B51" s="65" t="e">
        <f aca="false">IF('conversion datos'!B49="","",'conversion datos'!B49)</f>
        <v>#VALUE!</v>
      </c>
      <c r="C51" s="494" t="str">
        <f aca="false">IF('conversion datos'!C49="","",'conversion datos'!C49)</f>
        <v/>
      </c>
      <c r="D51" s="489" t="e">
        <f aca="false">IF(B51="","",'Introduccion de datos de Calib.'!I49)</f>
        <v>#VALUE!</v>
      </c>
      <c r="E51" s="489" t="e">
        <f aca="false">IF(B51="","",'Introduccion de datos de Calib.'!J49)</f>
        <v>#VALUE!</v>
      </c>
      <c r="F51" s="489" t="e">
        <f aca="false">IF(B51="","",'Introduccion de datos de Calib.'!L49)</f>
        <v>#VALUE!</v>
      </c>
      <c r="G51" s="490" t="e">
        <f aca="false">IF(B51="","",'Introduccion de datos de Calib.'!M49)</f>
        <v>#VALUE!</v>
      </c>
    </row>
    <row r="52" customFormat="false" ht="15" hidden="false" customHeight="false" outlineLevel="0" collapsed="false">
      <c r="A52" s="65" t="n">
        <f aca="false">'conversion datos'!A50</f>
        <v>49</v>
      </c>
      <c r="B52" s="65" t="e">
        <f aca="false">IF('conversion datos'!B50="","",'conversion datos'!B50)</f>
        <v>#VALUE!</v>
      </c>
      <c r="C52" s="494" t="str">
        <f aca="false">IF('conversion datos'!C50="","",'conversion datos'!C50)</f>
        <v/>
      </c>
      <c r="D52" s="489" t="e">
        <f aca="false">IF(B52="","",'Introduccion de datos de Calib.'!I50)</f>
        <v>#VALUE!</v>
      </c>
      <c r="E52" s="489" t="e">
        <f aca="false">IF(B52="","",'Introduccion de datos de Calib.'!J50)</f>
        <v>#VALUE!</v>
      </c>
      <c r="F52" s="489" t="e">
        <f aca="false">IF(B52="","",'Introduccion de datos de Calib.'!L50)</f>
        <v>#VALUE!</v>
      </c>
      <c r="G52" s="490" t="e">
        <f aca="false">IF(B52="","",'Introduccion de datos de Calib.'!M50)</f>
        <v>#VALUE!</v>
      </c>
    </row>
    <row r="53" customFormat="false" ht="15" hidden="false" customHeight="false" outlineLevel="0" collapsed="false">
      <c r="A53" s="65" t="n">
        <f aca="false">'conversion datos'!A51</f>
        <v>50</v>
      </c>
      <c r="B53" s="65" t="e">
        <f aca="false">IF('conversion datos'!B51="","",'conversion datos'!B51)</f>
        <v>#VALUE!</v>
      </c>
      <c r="C53" s="494" t="str">
        <f aca="false">IF('conversion datos'!C51="","",'conversion datos'!C51)</f>
        <v/>
      </c>
      <c r="D53" s="489" t="e">
        <f aca="false">IF(B53="","",'Introduccion de datos de Calib.'!I51)</f>
        <v>#VALUE!</v>
      </c>
      <c r="E53" s="489" t="e">
        <f aca="false">IF(B53="","",'Introduccion de datos de Calib.'!J51)</f>
        <v>#VALUE!</v>
      </c>
      <c r="F53" s="489" t="e">
        <f aca="false">IF(B53="","",'Introduccion de datos de Calib.'!L51)</f>
        <v>#VALUE!</v>
      </c>
      <c r="G53" s="490" t="e">
        <f aca="false">IF(B53="","",'Introduccion de datos de Calib.'!M51)</f>
        <v>#VALUE!</v>
      </c>
    </row>
    <row r="54" customFormat="false" ht="15" hidden="false" customHeight="false" outlineLevel="0" collapsed="false">
      <c r="A54" s="65" t="n">
        <f aca="false">'conversion datos'!A52</f>
        <v>51</v>
      </c>
      <c r="B54" s="65" t="e">
        <f aca="false">IF('conversion datos'!B52="","",'conversion datos'!B52)</f>
        <v>#VALUE!</v>
      </c>
      <c r="C54" s="494" t="str">
        <f aca="false">IF('conversion datos'!C52="","",'conversion datos'!C52)</f>
        <v/>
      </c>
      <c r="D54" s="489" t="e">
        <f aca="false">IF(B54="","",'Introduccion de datos de Calib.'!I52)</f>
        <v>#VALUE!</v>
      </c>
      <c r="E54" s="489" t="e">
        <f aca="false">IF(B54="","",'Introduccion de datos de Calib.'!J52)</f>
        <v>#VALUE!</v>
      </c>
      <c r="F54" s="489" t="e">
        <f aca="false">IF(B54="","",'Introduccion de datos de Calib.'!L52)</f>
        <v>#VALUE!</v>
      </c>
      <c r="G54" s="490" t="e">
        <f aca="false">IF(B54="","",'Introduccion de datos de Calib.'!M52)</f>
        <v>#VALUE!</v>
      </c>
    </row>
    <row r="55" customFormat="false" ht="15" hidden="false" customHeight="false" outlineLevel="0" collapsed="false">
      <c r="A55" s="65" t="n">
        <f aca="false">'conversion datos'!A53</f>
        <v>52</v>
      </c>
      <c r="B55" s="65" t="e">
        <f aca="false">IF('conversion datos'!B53="","",'conversion datos'!B53)</f>
        <v>#VALUE!</v>
      </c>
      <c r="C55" s="494" t="str">
        <f aca="false">IF('conversion datos'!C53="","",'conversion datos'!C53)</f>
        <v/>
      </c>
      <c r="D55" s="489" t="e">
        <f aca="false">IF(B55="","",'Introduccion de datos de Calib.'!I53)</f>
        <v>#VALUE!</v>
      </c>
      <c r="E55" s="489" t="e">
        <f aca="false">IF(B55="","",'Introduccion de datos de Calib.'!J53)</f>
        <v>#VALUE!</v>
      </c>
      <c r="F55" s="489" t="e">
        <f aca="false">IF(B55="","",'Introduccion de datos de Calib.'!L53)</f>
        <v>#VALUE!</v>
      </c>
      <c r="G55" s="490" t="e">
        <f aca="false">IF(B55="","",'Introduccion de datos de Calib.'!M53)</f>
        <v>#VALUE!</v>
      </c>
    </row>
    <row r="56" customFormat="false" ht="15" hidden="false" customHeight="false" outlineLevel="0" collapsed="false">
      <c r="A56" s="65" t="n">
        <f aca="false">'conversion datos'!A54</f>
        <v>53</v>
      </c>
      <c r="B56" s="65" t="e">
        <f aca="false">IF('conversion datos'!B54="","",'conversion datos'!B54)</f>
        <v>#VALUE!</v>
      </c>
      <c r="C56" s="494" t="str">
        <f aca="false">IF('conversion datos'!C54="","",'conversion datos'!C54)</f>
        <v/>
      </c>
      <c r="D56" s="489" t="e">
        <f aca="false">IF(B56="","",'Introduccion de datos de Calib.'!I54)</f>
        <v>#VALUE!</v>
      </c>
      <c r="E56" s="489" t="e">
        <f aca="false">IF(B56="","",'Introduccion de datos de Calib.'!J54)</f>
        <v>#VALUE!</v>
      </c>
      <c r="F56" s="489" t="e">
        <f aca="false">IF(B56="","",'Introduccion de datos de Calib.'!L54)</f>
        <v>#VALUE!</v>
      </c>
      <c r="G56" s="490" t="e">
        <f aca="false">IF(B56="","",'Introduccion de datos de Calib.'!M54)</f>
        <v>#VALUE!</v>
      </c>
    </row>
    <row r="57" customFormat="false" ht="15" hidden="false" customHeight="false" outlineLevel="0" collapsed="false">
      <c r="A57" s="65" t="n">
        <f aca="false">'conversion datos'!A55</f>
        <v>54</v>
      </c>
      <c r="B57" s="65" t="e">
        <f aca="false">IF('conversion datos'!B55="","",'conversion datos'!B55)</f>
        <v>#VALUE!</v>
      </c>
      <c r="C57" s="494" t="str">
        <f aca="false">IF('conversion datos'!C55="","",'conversion datos'!C55)</f>
        <v/>
      </c>
      <c r="D57" s="489" t="e">
        <f aca="false">IF(B57="","",'Introduccion de datos de Calib.'!I55)</f>
        <v>#VALUE!</v>
      </c>
      <c r="E57" s="489" t="e">
        <f aca="false">IF(B57="","",'Introduccion de datos de Calib.'!J55)</f>
        <v>#VALUE!</v>
      </c>
      <c r="F57" s="489" t="e">
        <f aca="false">IF(B57="","",'Introduccion de datos de Calib.'!L55)</f>
        <v>#VALUE!</v>
      </c>
      <c r="G57" s="490" t="e">
        <f aca="false">IF(B57="","",'Introduccion de datos de Calib.'!M55)</f>
        <v>#VALUE!</v>
      </c>
    </row>
    <row r="58" customFormat="false" ht="15" hidden="false" customHeight="false" outlineLevel="0" collapsed="false">
      <c r="A58" s="65" t="n">
        <f aca="false">'conversion datos'!A56</f>
        <v>55</v>
      </c>
      <c r="B58" s="65" t="e">
        <f aca="false">IF('conversion datos'!B56="","",'conversion datos'!B56)</f>
        <v>#VALUE!</v>
      </c>
      <c r="C58" s="494" t="str">
        <f aca="false">IF('conversion datos'!C56="","",'conversion datos'!C56)</f>
        <v/>
      </c>
      <c r="D58" s="489" t="e">
        <f aca="false">IF(B58="","",'Introduccion de datos de Calib.'!I56)</f>
        <v>#VALUE!</v>
      </c>
      <c r="E58" s="489" t="e">
        <f aca="false">IF(B58="","",'Introduccion de datos de Calib.'!J56)</f>
        <v>#VALUE!</v>
      </c>
      <c r="F58" s="489" t="e">
        <f aca="false">IF(B58="","",'Introduccion de datos de Calib.'!L56)</f>
        <v>#VALUE!</v>
      </c>
      <c r="G58" s="490" t="e">
        <f aca="false">IF(B58="","",'Introduccion de datos de Calib.'!M56)</f>
        <v>#VALUE!</v>
      </c>
    </row>
    <row r="59" customFormat="false" ht="15" hidden="false" customHeight="false" outlineLevel="0" collapsed="false">
      <c r="A59" s="65" t="n">
        <f aca="false">'conversion datos'!A57</f>
        <v>56</v>
      </c>
      <c r="B59" s="65" t="e">
        <f aca="false">IF('conversion datos'!B57="","",'conversion datos'!B57)</f>
        <v>#VALUE!</v>
      </c>
      <c r="C59" s="494" t="str">
        <f aca="false">IF('conversion datos'!C57="","",'conversion datos'!C57)</f>
        <v/>
      </c>
      <c r="D59" s="489" t="e">
        <f aca="false">IF(B59="","",'Introduccion de datos de Calib.'!I57)</f>
        <v>#VALUE!</v>
      </c>
      <c r="E59" s="489" t="e">
        <f aca="false">IF(B59="","",'Introduccion de datos de Calib.'!J57)</f>
        <v>#VALUE!</v>
      </c>
      <c r="F59" s="489" t="e">
        <f aca="false">IF(B59="","",'Introduccion de datos de Calib.'!L57)</f>
        <v>#VALUE!</v>
      </c>
      <c r="G59" s="490" t="e">
        <f aca="false">IF(B59="","",'Introduccion de datos de Calib.'!M57)</f>
        <v>#VALUE!</v>
      </c>
    </row>
    <row r="60" customFormat="false" ht="15" hidden="false" customHeight="false" outlineLevel="0" collapsed="false">
      <c r="A60" s="65" t="n">
        <f aca="false">'conversion datos'!A58</f>
        <v>57</v>
      </c>
      <c r="B60" s="65" t="e">
        <f aca="false">IF('conversion datos'!B58="","",'conversion datos'!B58)</f>
        <v>#VALUE!</v>
      </c>
      <c r="C60" s="494" t="str">
        <f aca="false">IF('conversion datos'!C58="","",'conversion datos'!C58)</f>
        <v/>
      </c>
      <c r="D60" s="489" t="e">
        <f aca="false">IF(B60="","",'Introduccion de datos de Calib.'!I58)</f>
        <v>#VALUE!</v>
      </c>
      <c r="E60" s="489" t="e">
        <f aca="false">IF(B60="","",'Introduccion de datos de Calib.'!J58)</f>
        <v>#VALUE!</v>
      </c>
      <c r="F60" s="489" t="e">
        <f aca="false">IF(B60="","",'Introduccion de datos de Calib.'!L58)</f>
        <v>#VALUE!</v>
      </c>
      <c r="G60" s="490" t="e">
        <f aca="false">IF(B60="","",'Introduccion de datos de Calib.'!M58)</f>
        <v>#VALUE!</v>
      </c>
    </row>
    <row r="61" customFormat="false" ht="15" hidden="false" customHeight="false" outlineLevel="0" collapsed="false">
      <c r="A61" s="65" t="n">
        <f aca="false">'conversion datos'!A59</f>
        <v>58</v>
      </c>
      <c r="B61" s="65" t="e">
        <f aca="false">IF('conversion datos'!B59="","",'conversion datos'!B59)</f>
        <v>#VALUE!</v>
      </c>
      <c r="C61" s="494" t="str">
        <f aca="false">IF('conversion datos'!C59="","",'conversion datos'!C59)</f>
        <v/>
      </c>
      <c r="D61" s="489" t="e">
        <f aca="false">IF(B61="","",'Introduccion de datos de Calib.'!I59)</f>
        <v>#VALUE!</v>
      </c>
      <c r="E61" s="489" t="e">
        <f aca="false">IF(B61="","",'Introduccion de datos de Calib.'!J59)</f>
        <v>#VALUE!</v>
      </c>
      <c r="F61" s="489" t="e">
        <f aca="false">IF(B61="","",'Introduccion de datos de Calib.'!L59)</f>
        <v>#VALUE!</v>
      </c>
      <c r="G61" s="490" t="e">
        <f aca="false">IF(B61="","",'Introduccion de datos de Calib.'!M59)</f>
        <v>#VALUE!</v>
      </c>
    </row>
    <row r="62" customFormat="false" ht="15" hidden="false" customHeight="false" outlineLevel="0" collapsed="false">
      <c r="A62" s="65" t="n">
        <f aca="false">'conversion datos'!A60</f>
        <v>59</v>
      </c>
      <c r="B62" s="65" t="e">
        <f aca="false">IF('conversion datos'!B60="","",'conversion datos'!B60)</f>
        <v>#VALUE!</v>
      </c>
      <c r="C62" s="494" t="str">
        <f aca="false">IF('conversion datos'!C60="","",'conversion datos'!C60)</f>
        <v/>
      </c>
      <c r="D62" s="489" t="e">
        <f aca="false">IF(B62="","",'Introduccion de datos de Calib.'!I60)</f>
        <v>#VALUE!</v>
      </c>
      <c r="E62" s="489" t="e">
        <f aca="false">IF(B62="","",'Introduccion de datos de Calib.'!J60)</f>
        <v>#VALUE!</v>
      </c>
      <c r="F62" s="489" t="e">
        <f aca="false">IF(B62="","",'Introduccion de datos de Calib.'!L60)</f>
        <v>#VALUE!</v>
      </c>
      <c r="G62" s="490" t="e">
        <f aca="false">IF(B62="","",'Introduccion de datos de Calib.'!M60)</f>
        <v>#VALUE!</v>
      </c>
    </row>
    <row r="63" customFormat="false" ht="15" hidden="false" customHeight="false" outlineLevel="0" collapsed="false">
      <c r="A63" s="65" t="n">
        <f aca="false">'conversion datos'!A61</f>
        <v>60</v>
      </c>
      <c r="B63" s="65" t="e">
        <f aca="false">IF('conversion datos'!B61="","",'conversion datos'!B61)</f>
        <v>#VALUE!</v>
      </c>
      <c r="C63" s="494" t="str">
        <f aca="false">IF('conversion datos'!C61="","",'conversion datos'!C61)</f>
        <v/>
      </c>
      <c r="D63" s="489" t="e">
        <f aca="false">IF(B63="","",'Introduccion de datos de Calib.'!I61)</f>
        <v>#VALUE!</v>
      </c>
      <c r="E63" s="489" t="e">
        <f aca="false">IF(B63="","",'Introduccion de datos de Calib.'!J61)</f>
        <v>#VALUE!</v>
      </c>
      <c r="F63" s="489" t="e">
        <f aca="false">IF(B63="","",'Introduccion de datos de Calib.'!L61)</f>
        <v>#VALUE!</v>
      </c>
      <c r="G63" s="490" t="e">
        <f aca="false">IF(B63="","",'Introduccion de datos de Calib.'!M61)</f>
        <v>#VALUE!</v>
      </c>
    </row>
    <row r="64" customFormat="false" ht="15" hidden="false" customHeight="false" outlineLevel="0" collapsed="false">
      <c r="A64" s="65" t="n">
        <f aca="false">'conversion datos'!A62</f>
        <v>61</v>
      </c>
      <c r="B64" s="65" t="e">
        <f aca="false">IF('conversion datos'!B62="","",'conversion datos'!B62)</f>
        <v>#VALUE!</v>
      </c>
      <c r="C64" s="494" t="str">
        <f aca="false">IF('conversion datos'!C62="","",'conversion datos'!C62)</f>
        <v/>
      </c>
      <c r="D64" s="489" t="e">
        <f aca="false">IF(B64="","",'Introduccion de datos de Calib.'!I62)</f>
        <v>#VALUE!</v>
      </c>
      <c r="E64" s="489" t="e">
        <f aca="false">IF(B64="","",'Introduccion de datos de Calib.'!J62)</f>
        <v>#VALUE!</v>
      </c>
      <c r="F64" s="489" t="e">
        <f aca="false">IF(B64="","",'Introduccion de datos de Calib.'!L62)</f>
        <v>#VALUE!</v>
      </c>
      <c r="G64" s="490" t="e">
        <f aca="false">IF(B64="","",'Introduccion de datos de Calib.'!M62)</f>
        <v>#VALUE!</v>
      </c>
    </row>
    <row r="65" customFormat="false" ht="15" hidden="false" customHeight="false" outlineLevel="0" collapsed="false">
      <c r="A65" s="65" t="n">
        <f aca="false">'conversion datos'!A63</f>
        <v>62</v>
      </c>
      <c r="B65" s="65" t="e">
        <f aca="false">IF('conversion datos'!B63="","",'conversion datos'!B63)</f>
        <v>#VALUE!</v>
      </c>
      <c r="C65" s="494" t="str">
        <f aca="false">IF('conversion datos'!C63="","",'conversion datos'!C63)</f>
        <v/>
      </c>
      <c r="D65" s="489" t="e">
        <f aca="false">IF(B65="","",'Introduccion de datos de Calib.'!I63)</f>
        <v>#VALUE!</v>
      </c>
      <c r="E65" s="489" t="e">
        <f aca="false">IF(B65="","",'Introduccion de datos de Calib.'!J63)</f>
        <v>#VALUE!</v>
      </c>
      <c r="F65" s="489" t="e">
        <f aca="false">IF(B65="","",'Introduccion de datos de Calib.'!L63)</f>
        <v>#VALUE!</v>
      </c>
      <c r="G65" s="490" t="e">
        <f aca="false">IF(B65="","",'Introduccion de datos de Calib.'!M63)</f>
        <v>#VALUE!</v>
      </c>
    </row>
    <row r="66" customFormat="false" ht="15" hidden="false" customHeight="false" outlineLevel="0" collapsed="false">
      <c r="A66" s="65" t="n">
        <f aca="false">'conversion datos'!A64</f>
        <v>63</v>
      </c>
      <c r="B66" s="65" t="e">
        <f aca="false">IF('conversion datos'!B64="","",'conversion datos'!B64)</f>
        <v>#VALUE!</v>
      </c>
      <c r="C66" s="494" t="str">
        <f aca="false">IF('conversion datos'!C64="","",'conversion datos'!C64)</f>
        <v/>
      </c>
      <c r="D66" s="489" t="e">
        <f aca="false">IF(B66="","",'Introduccion de datos de Calib.'!I64)</f>
        <v>#VALUE!</v>
      </c>
      <c r="E66" s="489" t="e">
        <f aca="false">IF(B66="","",'Introduccion de datos de Calib.'!J64)</f>
        <v>#VALUE!</v>
      </c>
      <c r="F66" s="489" t="e">
        <f aca="false">IF(B66="","",'Introduccion de datos de Calib.'!L64)</f>
        <v>#VALUE!</v>
      </c>
      <c r="G66" s="490" t="e">
        <f aca="false">IF(B66="","",'Introduccion de datos de Calib.'!M64)</f>
        <v>#VALUE!</v>
      </c>
    </row>
    <row r="67" customFormat="false" ht="15" hidden="false" customHeight="false" outlineLevel="0" collapsed="false">
      <c r="A67" s="65" t="n">
        <f aca="false">'conversion datos'!A65</f>
        <v>64</v>
      </c>
      <c r="B67" s="65" t="e">
        <f aca="false">IF('conversion datos'!B65="","",'conversion datos'!B65)</f>
        <v>#VALUE!</v>
      </c>
      <c r="C67" s="494" t="str">
        <f aca="false">IF('conversion datos'!C65="","",'conversion datos'!C65)</f>
        <v/>
      </c>
      <c r="D67" s="489" t="e">
        <f aca="false">IF(B67="","",'Introduccion de datos de Calib.'!I65)</f>
        <v>#VALUE!</v>
      </c>
      <c r="E67" s="489" t="e">
        <f aca="false">IF(B67="","",'Introduccion de datos de Calib.'!J65)</f>
        <v>#VALUE!</v>
      </c>
      <c r="F67" s="489" t="e">
        <f aca="false">IF(B67="","",'Introduccion de datos de Calib.'!L65)</f>
        <v>#VALUE!</v>
      </c>
      <c r="G67" s="490" t="e">
        <f aca="false">IF(B67="","",'Introduccion de datos de Calib.'!M65)</f>
        <v>#VALUE!</v>
      </c>
    </row>
    <row r="68" customFormat="false" ht="15" hidden="false" customHeight="false" outlineLevel="0" collapsed="false">
      <c r="A68" s="65" t="n">
        <f aca="false">'conversion datos'!A66</f>
        <v>65</v>
      </c>
      <c r="B68" s="65" t="e">
        <f aca="false">IF('conversion datos'!B66="","",'conversion datos'!B66)</f>
        <v>#VALUE!</v>
      </c>
      <c r="C68" s="494" t="str">
        <f aca="false">IF('conversion datos'!C66="","",'conversion datos'!C66)</f>
        <v/>
      </c>
      <c r="D68" s="489" t="e">
        <f aca="false">IF(B68="","",'Introduccion de datos de Calib.'!I66)</f>
        <v>#VALUE!</v>
      </c>
      <c r="E68" s="489" t="e">
        <f aca="false">IF(B68="","",'Introduccion de datos de Calib.'!J66)</f>
        <v>#VALUE!</v>
      </c>
      <c r="F68" s="489" t="e">
        <f aca="false">IF(B68="","",'Introduccion de datos de Calib.'!L66)</f>
        <v>#VALUE!</v>
      </c>
      <c r="G68" s="490" t="e">
        <f aca="false">IF(B68="","",'Introduccion de datos de Calib.'!M66)</f>
        <v>#VALUE!</v>
      </c>
    </row>
    <row r="69" customFormat="false" ht="15" hidden="false" customHeight="false" outlineLevel="0" collapsed="false">
      <c r="A69" s="65" t="n">
        <f aca="false">'conversion datos'!A67</f>
        <v>66</v>
      </c>
      <c r="B69" s="65" t="e">
        <f aca="false">IF('conversion datos'!B67="","",'conversion datos'!B67)</f>
        <v>#VALUE!</v>
      </c>
      <c r="C69" s="494" t="str">
        <f aca="false">IF('conversion datos'!C67="","",'conversion datos'!C67)</f>
        <v/>
      </c>
      <c r="D69" s="489" t="e">
        <f aca="false">IF(B69="","",'Introduccion de datos de Calib.'!I67)</f>
        <v>#VALUE!</v>
      </c>
      <c r="E69" s="489" t="e">
        <f aca="false">IF(B69="","",'Introduccion de datos de Calib.'!J67)</f>
        <v>#VALUE!</v>
      </c>
      <c r="F69" s="489" t="e">
        <f aca="false">IF(B69="","",'Introduccion de datos de Calib.'!L67)</f>
        <v>#VALUE!</v>
      </c>
      <c r="G69" s="490" t="e">
        <f aca="false">IF(B69="","",'Introduccion de datos de Calib.'!M67)</f>
        <v>#VALUE!</v>
      </c>
    </row>
    <row r="70" customFormat="false" ht="15" hidden="false" customHeight="false" outlineLevel="0" collapsed="false">
      <c r="A70" s="65" t="n">
        <f aca="false">'conversion datos'!A68</f>
        <v>67</v>
      </c>
      <c r="B70" s="65" t="e">
        <f aca="false">IF('conversion datos'!B68="","",'conversion datos'!B68)</f>
        <v>#VALUE!</v>
      </c>
      <c r="C70" s="494" t="str">
        <f aca="false">IF('conversion datos'!C68="","",'conversion datos'!C68)</f>
        <v/>
      </c>
      <c r="D70" s="489" t="e">
        <f aca="false">IF(B70="","",'Introduccion de datos de Calib.'!I68)</f>
        <v>#VALUE!</v>
      </c>
      <c r="E70" s="489" t="e">
        <f aca="false">IF(B70="","",'Introduccion de datos de Calib.'!J68)</f>
        <v>#VALUE!</v>
      </c>
      <c r="F70" s="489" t="e">
        <f aca="false">IF(B70="","",'Introduccion de datos de Calib.'!L68)</f>
        <v>#VALUE!</v>
      </c>
      <c r="G70" s="490" t="e">
        <f aca="false">IF(B70="","",'Introduccion de datos de Calib.'!M68)</f>
        <v>#VALUE!</v>
      </c>
    </row>
    <row r="71" customFormat="false" ht="15" hidden="false" customHeight="false" outlineLevel="0" collapsed="false">
      <c r="A71" s="65" t="n">
        <f aca="false">'conversion datos'!A69</f>
        <v>68</v>
      </c>
      <c r="B71" s="65" t="e">
        <f aca="false">IF('conversion datos'!B69="","",'conversion datos'!B69)</f>
        <v>#VALUE!</v>
      </c>
      <c r="C71" s="494" t="str">
        <f aca="false">IF('conversion datos'!C69="","",'conversion datos'!C69)</f>
        <v/>
      </c>
      <c r="D71" s="489" t="e">
        <f aca="false">IF(B71="","",'Introduccion de datos de Calib.'!I69)</f>
        <v>#VALUE!</v>
      </c>
      <c r="E71" s="489" t="e">
        <f aca="false">IF(B71="","",'Introduccion de datos de Calib.'!J69)</f>
        <v>#VALUE!</v>
      </c>
      <c r="F71" s="489" t="e">
        <f aca="false">IF(B71="","",'Introduccion de datos de Calib.'!L69)</f>
        <v>#VALUE!</v>
      </c>
      <c r="G71" s="490" t="e">
        <f aca="false">IF(B71="","",'Introduccion de datos de Calib.'!M69)</f>
        <v>#VALUE!</v>
      </c>
    </row>
    <row r="72" customFormat="false" ht="15" hidden="false" customHeight="false" outlineLevel="0" collapsed="false">
      <c r="A72" s="65" t="n">
        <f aca="false">'conversion datos'!A70</f>
        <v>69</v>
      </c>
      <c r="B72" s="65" t="e">
        <f aca="false">IF('conversion datos'!B70="","",'conversion datos'!B70)</f>
        <v>#VALUE!</v>
      </c>
      <c r="C72" s="494" t="str">
        <f aca="false">IF('conversion datos'!C70="","",'conversion datos'!C70)</f>
        <v/>
      </c>
      <c r="D72" s="489" t="e">
        <f aca="false">IF(B72="","",'Introduccion de datos de Calib.'!I70)</f>
        <v>#VALUE!</v>
      </c>
      <c r="E72" s="489" t="e">
        <f aca="false">IF(B72="","",'Introduccion de datos de Calib.'!J70)</f>
        <v>#VALUE!</v>
      </c>
      <c r="F72" s="489" t="e">
        <f aca="false">IF(B72="","",'Introduccion de datos de Calib.'!L70)</f>
        <v>#VALUE!</v>
      </c>
      <c r="G72" s="490" t="e">
        <f aca="false">IF(B72="","",'Introduccion de datos de Calib.'!M70)</f>
        <v>#VALUE!</v>
      </c>
    </row>
    <row r="73" customFormat="false" ht="15" hidden="false" customHeight="false" outlineLevel="0" collapsed="false">
      <c r="A73" s="65" t="n">
        <f aca="false">'conversion datos'!A71</f>
        <v>70</v>
      </c>
      <c r="B73" s="65" t="e">
        <f aca="false">IF('conversion datos'!B71="","",'conversion datos'!B71)</f>
        <v>#VALUE!</v>
      </c>
      <c r="C73" s="494" t="str">
        <f aca="false">IF('conversion datos'!C71="","",'conversion datos'!C71)</f>
        <v/>
      </c>
      <c r="D73" s="489" t="e">
        <f aca="false">IF(B73="","",'Introduccion de datos de Calib.'!I71)</f>
        <v>#VALUE!</v>
      </c>
      <c r="E73" s="489" t="e">
        <f aca="false">IF(B73="","",'Introduccion de datos de Calib.'!J71)</f>
        <v>#VALUE!</v>
      </c>
      <c r="F73" s="489" t="e">
        <f aca="false">IF(B73="","",'Introduccion de datos de Calib.'!L71)</f>
        <v>#VALUE!</v>
      </c>
      <c r="G73" s="490" t="e">
        <f aca="false">IF(B73="","",'Introduccion de datos de Calib.'!M71)</f>
        <v>#VALUE!</v>
      </c>
    </row>
    <row r="74" customFormat="false" ht="15" hidden="false" customHeight="false" outlineLevel="0" collapsed="false">
      <c r="A74" s="65" t="n">
        <f aca="false">'conversion datos'!A72</f>
        <v>71</v>
      </c>
      <c r="B74" s="65" t="e">
        <f aca="false">IF('conversion datos'!B72="","",'conversion datos'!B72)</f>
        <v>#VALUE!</v>
      </c>
      <c r="C74" s="494" t="str">
        <f aca="false">IF('conversion datos'!C72="","",'conversion datos'!C72)</f>
        <v/>
      </c>
      <c r="D74" s="489" t="e">
        <f aca="false">IF(B74="","",'Introduccion de datos de Calib.'!I72)</f>
        <v>#VALUE!</v>
      </c>
      <c r="E74" s="489" t="e">
        <f aca="false">IF(B74="","",'Introduccion de datos de Calib.'!J72)</f>
        <v>#VALUE!</v>
      </c>
      <c r="F74" s="489" t="e">
        <f aca="false">IF(B74="","",'Introduccion de datos de Calib.'!L72)</f>
        <v>#VALUE!</v>
      </c>
      <c r="G74" s="490" t="e">
        <f aca="false">IF(B74="","",'Introduccion de datos de Calib.'!M72)</f>
        <v>#VALUE!</v>
      </c>
    </row>
    <row r="75" customFormat="false" ht="15" hidden="false" customHeight="false" outlineLevel="0" collapsed="false">
      <c r="A75" s="65" t="n">
        <f aca="false">'conversion datos'!A73</f>
        <v>72</v>
      </c>
      <c r="B75" s="65" t="e">
        <f aca="false">IF('conversion datos'!B73="","",'conversion datos'!B73)</f>
        <v>#VALUE!</v>
      </c>
      <c r="C75" s="494" t="str">
        <f aca="false">IF('conversion datos'!C73="","",'conversion datos'!C73)</f>
        <v/>
      </c>
      <c r="D75" s="489" t="e">
        <f aca="false">IF(B75="","",'Introduccion de datos de Calib.'!I73)</f>
        <v>#VALUE!</v>
      </c>
      <c r="E75" s="489" t="e">
        <f aca="false">IF(B75="","",'Introduccion de datos de Calib.'!J73)</f>
        <v>#VALUE!</v>
      </c>
      <c r="F75" s="489" t="e">
        <f aca="false">IF(B75="","",'Introduccion de datos de Calib.'!L73)</f>
        <v>#VALUE!</v>
      </c>
      <c r="G75" s="490" t="e">
        <f aca="false">IF(B75="","",'Introduccion de datos de Calib.'!M73)</f>
        <v>#VALUE!</v>
      </c>
    </row>
    <row r="76" customFormat="false" ht="15" hidden="false" customHeight="false" outlineLevel="0" collapsed="false">
      <c r="A76" s="65" t="n">
        <f aca="false">'conversion datos'!A74</f>
        <v>73</v>
      </c>
      <c r="B76" s="65" t="e">
        <f aca="false">IF('conversion datos'!B74="","",'conversion datos'!B74)</f>
        <v>#VALUE!</v>
      </c>
      <c r="C76" s="494" t="str">
        <f aca="false">IF('conversion datos'!C74="","",'conversion datos'!C74)</f>
        <v/>
      </c>
      <c r="D76" s="489" t="e">
        <f aca="false">IF(B76="","",'Introduccion de datos de Calib.'!I74)</f>
        <v>#VALUE!</v>
      </c>
      <c r="E76" s="489" t="e">
        <f aca="false">IF(B76="","",'Introduccion de datos de Calib.'!J74)</f>
        <v>#VALUE!</v>
      </c>
      <c r="F76" s="489" t="e">
        <f aca="false">IF(B76="","",'Introduccion de datos de Calib.'!L74)</f>
        <v>#VALUE!</v>
      </c>
      <c r="G76" s="490" t="e">
        <f aca="false">IF(B76="","",'Introduccion de datos de Calib.'!M74)</f>
        <v>#VALUE!</v>
      </c>
    </row>
    <row r="77" customFormat="false" ht="15" hidden="false" customHeight="false" outlineLevel="0" collapsed="false">
      <c r="A77" s="65" t="n">
        <f aca="false">'conversion datos'!A75</f>
        <v>74</v>
      </c>
      <c r="B77" s="65" t="e">
        <f aca="false">IF('conversion datos'!B75="","",'conversion datos'!B75)</f>
        <v>#VALUE!</v>
      </c>
      <c r="C77" s="494" t="str">
        <f aca="false">IF('conversion datos'!C75="","",'conversion datos'!C75)</f>
        <v/>
      </c>
      <c r="D77" s="489" t="e">
        <f aca="false">IF(B77="","",'Introduccion de datos de Calib.'!I75)</f>
        <v>#VALUE!</v>
      </c>
      <c r="E77" s="489" t="e">
        <f aca="false">IF(B77="","",'Introduccion de datos de Calib.'!J75)</f>
        <v>#VALUE!</v>
      </c>
      <c r="F77" s="489" t="e">
        <f aca="false">IF(B77="","",'Introduccion de datos de Calib.'!L75)</f>
        <v>#VALUE!</v>
      </c>
      <c r="G77" s="490" t="e">
        <f aca="false">IF(B77="","",'Introduccion de datos de Calib.'!M75)</f>
        <v>#VALUE!</v>
      </c>
    </row>
    <row r="78" customFormat="false" ht="15" hidden="false" customHeight="false" outlineLevel="0" collapsed="false">
      <c r="A78" s="65" t="n">
        <f aca="false">'conversion datos'!A76</f>
        <v>75</v>
      </c>
      <c r="B78" s="65" t="e">
        <f aca="false">IF('conversion datos'!B76="","",'conversion datos'!B76)</f>
        <v>#VALUE!</v>
      </c>
      <c r="C78" s="494" t="str">
        <f aca="false">IF('conversion datos'!C76="","",'conversion datos'!C76)</f>
        <v/>
      </c>
      <c r="D78" s="489" t="e">
        <f aca="false">IF(B78="","",'Introduccion de datos de Calib.'!I76)</f>
        <v>#VALUE!</v>
      </c>
      <c r="E78" s="489" t="e">
        <f aca="false">IF(B78="","",'Introduccion de datos de Calib.'!J76)</f>
        <v>#VALUE!</v>
      </c>
      <c r="F78" s="489" t="e">
        <f aca="false">IF(B78="","",'Introduccion de datos de Calib.'!L76)</f>
        <v>#VALUE!</v>
      </c>
      <c r="G78" s="490" t="e">
        <f aca="false">IF(B78="","",'Introduccion de datos de Calib.'!M76)</f>
        <v>#VALUE!</v>
      </c>
    </row>
    <row r="79" customFormat="false" ht="15" hidden="false" customHeight="false" outlineLevel="0" collapsed="false">
      <c r="A79" s="65" t="n">
        <f aca="false">'conversion datos'!A77</f>
        <v>76</v>
      </c>
      <c r="B79" s="65" t="e">
        <f aca="false">IF('conversion datos'!B77="","",'conversion datos'!B77)</f>
        <v>#VALUE!</v>
      </c>
      <c r="C79" s="494" t="str">
        <f aca="false">IF('conversion datos'!C77="","",'conversion datos'!C77)</f>
        <v/>
      </c>
      <c r="D79" s="489" t="e">
        <f aca="false">IF(B79="","",'Introduccion de datos de Calib.'!I77)</f>
        <v>#VALUE!</v>
      </c>
      <c r="E79" s="489" t="e">
        <f aca="false">IF(B79="","",'Introduccion de datos de Calib.'!J77)</f>
        <v>#VALUE!</v>
      </c>
      <c r="F79" s="489" t="e">
        <f aca="false">IF(B79="","",'Introduccion de datos de Calib.'!L77)</f>
        <v>#VALUE!</v>
      </c>
      <c r="G79" s="490" t="e">
        <f aca="false">IF(B79="","",'Introduccion de datos de Calib.'!M77)</f>
        <v>#VALUE!</v>
      </c>
    </row>
    <row r="80" customFormat="false" ht="15" hidden="false" customHeight="false" outlineLevel="0" collapsed="false">
      <c r="A80" s="65" t="n">
        <f aca="false">'conversion datos'!A78</f>
        <v>77</v>
      </c>
      <c r="B80" s="65" t="e">
        <f aca="false">IF('conversion datos'!B78="","",'conversion datos'!B78)</f>
        <v>#VALUE!</v>
      </c>
      <c r="C80" s="494" t="str">
        <f aca="false">IF('conversion datos'!C78="","",'conversion datos'!C78)</f>
        <v/>
      </c>
      <c r="D80" s="489" t="e">
        <f aca="false">IF(B80="","",'Introduccion de datos de Calib.'!I78)</f>
        <v>#VALUE!</v>
      </c>
      <c r="E80" s="489" t="e">
        <f aca="false">IF(B80="","",'Introduccion de datos de Calib.'!J78)</f>
        <v>#VALUE!</v>
      </c>
      <c r="F80" s="489" t="e">
        <f aca="false">IF(B80="","",'Introduccion de datos de Calib.'!L78)</f>
        <v>#VALUE!</v>
      </c>
      <c r="G80" s="490" t="e">
        <f aca="false">IF(B80="","",'Introduccion de datos de Calib.'!M78)</f>
        <v>#VALUE!</v>
      </c>
    </row>
    <row r="81" customFormat="false" ht="15" hidden="false" customHeight="false" outlineLevel="0" collapsed="false">
      <c r="A81" s="65" t="n">
        <f aca="false">'conversion datos'!A79</f>
        <v>78</v>
      </c>
      <c r="B81" s="65" t="e">
        <f aca="false">IF('conversion datos'!B79="","",'conversion datos'!B79)</f>
        <v>#VALUE!</v>
      </c>
      <c r="C81" s="494" t="str">
        <f aca="false">IF('conversion datos'!C79="","",'conversion datos'!C79)</f>
        <v/>
      </c>
      <c r="D81" s="489" t="e">
        <f aca="false">IF(B81="","",'Introduccion de datos de Calib.'!I79)</f>
        <v>#VALUE!</v>
      </c>
      <c r="E81" s="489" t="e">
        <f aca="false">IF(B81="","",'Introduccion de datos de Calib.'!J79)</f>
        <v>#VALUE!</v>
      </c>
      <c r="F81" s="489" t="e">
        <f aca="false">IF(B81="","",'Introduccion de datos de Calib.'!L79)</f>
        <v>#VALUE!</v>
      </c>
      <c r="G81" s="490" t="e">
        <f aca="false">IF(B81="","",'Introduccion de datos de Calib.'!M79)</f>
        <v>#VALUE!</v>
      </c>
    </row>
    <row r="82" customFormat="false" ht="15" hidden="false" customHeight="false" outlineLevel="0" collapsed="false">
      <c r="A82" s="65" t="n">
        <f aca="false">'conversion datos'!A80</f>
        <v>79</v>
      </c>
      <c r="B82" s="65" t="e">
        <f aca="false">IF('conversion datos'!B80="","",'conversion datos'!B80)</f>
        <v>#VALUE!</v>
      </c>
      <c r="C82" s="494" t="str">
        <f aca="false">IF('conversion datos'!C80="","",'conversion datos'!C80)</f>
        <v/>
      </c>
      <c r="D82" s="489" t="e">
        <f aca="false">IF(B82="","",'Introduccion de datos de Calib.'!I80)</f>
        <v>#VALUE!</v>
      </c>
      <c r="E82" s="489" t="e">
        <f aca="false">IF(B82="","",'Introduccion de datos de Calib.'!J80)</f>
        <v>#VALUE!</v>
      </c>
      <c r="F82" s="489" t="e">
        <f aca="false">IF(B82="","",'Introduccion de datos de Calib.'!L80)</f>
        <v>#VALUE!</v>
      </c>
      <c r="G82" s="490" t="e">
        <f aca="false">IF(B82="","",'Introduccion de datos de Calib.'!M80)</f>
        <v>#VALUE!</v>
      </c>
    </row>
    <row r="83" customFormat="false" ht="15" hidden="false" customHeight="false" outlineLevel="0" collapsed="false">
      <c r="A83" s="65" t="n">
        <f aca="false">'conversion datos'!A81</f>
        <v>80</v>
      </c>
      <c r="B83" s="65" t="e">
        <f aca="false">IF('conversion datos'!B81="","",'conversion datos'!B81)</f>
        <v>#VALUE!</v>
      </c>
      <c r="C83" s="494" t="str">
        <f aca="false">IF('conversion datos'!C81="","",'conversion datos'!C81)</f>
        <v/>
      </c>
      <c r="D83" s="489" t="e">
        <f aca="false">IF(B83="","",'Introduccion de datos de Calib.'!I81)</f>
        <v>#VALUE!</v>
      </c>
      <c r="E83" s="489" t="e">
        <f aca="false">IF(B83="","",'Introduccion de datos de Calib.'!J81)</f>
        <v>#VALUE!</v>
      </c>
      <c r="F83" s="489" t="e">
        <f aca="false">IF(B83="","",'Introduccion de datos de Calib.'!L81)</f>
        <v>#VALUE!</v>
      </c>
      <c r="G83" s="490" t="e">
        <f aca="false">IF(B83="","",'Introduccion de datos de Calib.'!M81)</f>
        <v>#VALUE!</v>
      </c>
    </row>
    <row r="84" customFormat="false" ht="15" hidden="false" customHeight="false" outlineLevel="0" collapsed="false">
      <c r="A84" s="65" t="n">
        <f aca="false">'conversion datos'!A82</f>
        <v>81</v>
      </c>
      <c r="B84" s="65" t="e">
        <f aca="false">IF('conversion datos'!B82="","",'conversion datos'!B82)</f>
        <v>#VALUE!</v>
      </c>
      <c r="C84" s="494" t="str">
        <f aca="false">IF('conversion datos'!C82="","",'conversion datos'!C82)</f>
        <v/>
      </c>
      <c r="D84" s="489" t="e">
        <f aca="false">IF(B84="","",'Introduccion de datos de Calib.'!I82)</f>
        <v>#VALUE!</v>
      </c>
      <c r="E84" s="489" t="e">
        <f aca="false">IF(B84="","",'Introduccion de datos de Calib.'!J82)</f>
        <v>#VALUE!</v>
      </c>
      <c r="F84" s="489" t="e">
        <f aca="false">IF(B84="","",'Introduccion de datos de Calib.'!L82)</f>
        <v>#VALUE!</v>
      </c>
      <c r="G84" s="490" t="e">
        <f aca="false">IF(B84="","",'Introduccion de datos de Calib.'!M82)</f>
        <v>#VALUE!</v>
      </c>
    </row>
    <row r="85" customFormat="false" ht="15" hidden="false" customHeight="false" outlineLevel="0" collapsed="false">
      <c r="A85" s="65" t="n">
        <f aca="false">'conversion datos'!A83</f>
        <v>82</v>
      </c>
      <c r="B85" s="65" t="e">
        <f aca="false">IF('conversion datos'!B83="","",'conversion datos'!B83)</f>
        <v>#VALUE!</v>
      </c>
      <c r="C85" s="494" t="str">
        <f aca="false">IF('conversion datos'!C83="","",'conversion datos'!C83)</f>
        <v/>
      </c>
      <c r="D85" s="489" t="e">
        <f aca="false">IF(B85="","",'Introduccion de datos de Calib.'!I83)</f>
        <v>#VALUE!</v>
      </c>
      <c r="E85" s="489" t="e">
        <f aca="false">IF(B85="","",'Introduccion de datos de Calib.'!J83)</f>
        <v>#VALUE!</v>
      </c>
      <c r="F85" s="489" t="e">
        <f aca="false">IF(B85="","",'Introduccion de datos de Calib.'!L83)</f>
        <v>#VALUE!</v>
      </c>
      <c r="G85" s="490" t="e">
        <f aca="false">IF(B85="","",'Introduccion de datos de Calib.'!M83)</f>
        <v>#VALUE!</v>
      </c>
    </row>
    <row r="86" customFormat="false" ht="15" hidden="false" customHeight="false" outlineLevel="0" collapsed="false">
      <c r="A86" s="65" t="n">
        <f aca="false">'conversion datos'!A84</f>
        <v>83</v>
      </c>
      <c r="B86" s="65" t="e">
        <f aca="false">IF('conversion datos'!B84="","",'conversion datos'!B84)</f>
        <v>#VALUE!</v>
      </c>
      <c r="C86" s="494" t="str">
        <f aca="false">IF('conversion datos'!C84="","",'conversion datos'!C84)</f>
        <v/>
      </c>
      <c r="D86" s="489" t="e">
        <f aca="false">IF(B86="","",'Introduccion de datos de Calib.'!I84)</f>
        <v>#VALUE!</v>
      </c>
      <c r="E86" s="489" t="e">
        <f aca="false">IF(B86="","",'Introduccion de datos de Calib.'!J84)</f>
        <v>#VALUE!</v>
      </c>
      <c r="F86" s="489" t="e">
        <f aca="false">IF(B86="","",'Introduccion de datos de Calib.'!L84)</f>
        <v>#VALUE!</v>
      </c>
      <c r="G86" s="490" t="e">
        <f aca="false">IF(B86="","",'Introduccion de datos de Calib.'!M84)</f>
        <v>#VALUE!</v>
      </c>
    </row>
    <row r="87" customFormat="false" ht="15" hidden="false" customHeight="false" outlineLevel="0" collapsed="false">
      <c r="A87" s="65" t="n">
        <f aca="false">'conversion datos'!A85</f>
        <v>84</v>
      </c>
      <c r="B87" s="65" t="e">
        <f aca="false">IF('conversion datos'!B85="","",'conversion datos'!B85)</f>
        <v>#VALUE!</v>
      </c>
      <c r="C87" s="494" t="str">
        <f aca="false">IF('conversion datos'!C85="","",'conversion datos'!C85)</f>
        <v/>
      </c>
      <c r="D87" s="489" t="e">
        <f aca="false">IF(B87="","",'Introduccion de datos de Calib.'!I85)</f>
        <v>#VALUE!</v>
      </c>
      <c r="E87" s="489" t="e">
        <f aca="false">IF(B87="","",'Introduccion de datos de Calib.'!J85)</f>
        <v>#VALUE!</v>
      </c>
      <c r="F87" s="489" t="e">
        <f aca="false">IF(B87="","",'Introduccion de datos de Calib.'!L85)</f>
        <v>#VALUE!</v>
      </c>
      <c r="G87" s="490" t="e">
        <f aca="false">IF(B87="","",'Introduccion de datos de Calib.'!M85)</f>
        <v>#VALUE!</v>
      </c>
    </row>
    <row r="88" customFormat="false" ht="15" hidden="false" customHeight="false" outlineLevel="0" collapsed="false">
      <c r="A88" s="65" t="n">
        <f aca="false">'conversion datos'!A86</f>
        <v>85</v>
      </c>
      <c r="B88" s="65" t="e">
        <f aca="false">IF('conversion datos'!B86="","",'conversion datos'!B86)</f>
        <v>#VALUE!</v>
      </c>
      <c r="C88" s="494" t="str">
        <f aca="false">IF('conversion datos'!C86="","",'conversion datos'!C86)</f>
        <v/>
      </c>
      <c r="D88" s="489" t="e">
        <f aca="false">IF(B88="","",'Introduccion de datos de Calib.'!I86)</f>
        <v>#VALUE!</v>
      </c>
      <c r="E88" s="489" t="e">
        <f aca="false">IF(B88="","",'Introduccion de datos de Calib.'!J86)</f>
        <v>#VALUE!</v>
      </c>
      <c r="F88" s="489" t="e">
        <f aca="false">IF(B88="","",'Introduccion de datos de Calib.'!L86)</f>
        <v>#VALUE!</v>
      </c>
      <c r="G88" s="490" t="e">
        <f aca="false">IF(B88="","",'Introduccion de datos de Calib.'!M86)</f>
        <v>#VALUE!</v>
      </c>
    </row>
    <row r="89" customFormat="false" ht="15" hidden="false" customHeight="false" outlineLevel="0" collapsed="false">
      <c r="A89" s="65" t="n">
        <f aca="false">'conversion datos'!A87</f>
        <v>86</v>
      </c>
      <c r="B89" s="65" t="e">
        <f aca="false">IF('conversion datos'!B87="","",'conversion datos'!B87)</f>
        <v>#VALUE!</v>
      </c>
      <c r="C89" s="494" t="str">
        <f aca="false">IF('conversion datos'!C87="","",'conversion datos'!C87)</f>
        <v/>
      </c>
      <c r="D89" s="489" t="e">
        <f aca="false">IF(B89="","",'Introduccion de datos de Calib.'!I87)</f>
        <v>#VALUE!</v>
      </c>
      <c r="E89" s="489" t="e">
        <f aca="false">IF(B89="","",'Introduccion de datos de Calib.'!J87)</f>
        <v>#VALUE!</v>
      </c>
      <c r="F89" s="489" t="e">
        <f aca="false">IF(B89="","",'Introduccion de datos de Calib.'!L87)</f>
        <v>#VALUE!</v>
      </c>
      <c r="G89" s="490" t="e">
        <f aca="false">IF(B89="","",'Introduccion de datos de Calib.'!M87)</f>
        <v>#VALUE!</v>
      </c>
    </row>
    <row r="90" customFormat="false" ht="15" hidden="false" customHeight="false" outlineLevel="0" collapsed="false">
      <c r="A90" s="65" t="n">
        <f aca="false">'conversion datos'!A88</f>
        <v>87</v>
      </c>
      <c r="B90" s="65" t="e">
        <f aca="false">IF('conversion datos'!B88="","",'conversion datos'!B88)</f>
        <v>#VALUE!</v>
      </c>
      <c r="C90" s="494" t="str">
        <f aca="false">IF('conversion datos'!C88="","",'conversion datos'!C88)</f>
        <v/>
      </c>
      <c r="D90" s="489" t="e">
        <f aca="false">IF(B90="","",'Introduccion de datos de Calib.'!I88)</f>
        <v>#VALUE!</v>
      </c>
      <c r="E90" s="489" t="e">
        <f aca="false">IF(B90="","",'Introduccion de datos de Calib.'!J88)</f>
        <v>#VALUE!</v>
      </c>
      <c r="F90" s="489" t="e">
        <f aca="false">IF(B90="","",'Introduccion de datos de Calib.'!L88)</f>
        <v>#VALUE!</v>
      </c>
      <c r="G90" s="490" t="e">
        <f aca="false">IF(B90="","",'Introduccion de datos de Calib.'!M88)</f>
        <v>#VALUE!</v>
      </c>
    </row>
    <row r="91" customFormat="false" ht="15" hidden="false" customHeight="false" outlineLevel="0" collapsed="false">
      <c r="A91" s="65" t="n">
        <f aca="false">'conversion datos'!A89</f>
        <v>88</v>
      </c>
      <c r="B91" s="65" t="e">
        <f aca="false">IF('conversion datos'!B89="","",'conversion datos'!B89)</f>
        <v>#VALUE!</v>
      </c>
      <c r="C91" s="494" t="str">
        <f aca="false">IF('conversion datos'!C89="","",'conversion datos'!C89)</f>
        <v/>
      </c>
      <c r="D91" s="489" t="e">
        <f aca="false">IF(B91="","",'Introduccion de datos de Calib.'!I89)</f>
        <v>#VALUE!</v>
      </c>
      <c r="E91" s="489" t="e">
        <f aca="false">IF(B91="","",'Introduccion de datos de Calib.'!J89)</f>
        <v>#VALUE!</v>
      </c>
      <c r="F91" s="489" t="e">
        <f aca="false">IF(B91="","",'Introduccion de datos de Calib.'!L89)</f>
        <v>#VALUE!</v>
      </c>
      <c r="G91" s="490" t="e">
        <f aca="false">IF(B91="","",'Introduccion de datos de Calib.'!M89)</f>
        <v>#VALUE!</v>
      </c>
    </row>
    <row r="92" customFormat="false" ht="15" hidden="false" customHeight="false" outlineLevel="0" collapsed="false">
      <c r="A92" s="65" t="n">
        <f aca="false">'conversion datos'!A90</f>
        <v>89</v>
      </c>
      <c r="B92" s="65" t="e">
        <f aca="false">IF('conversion datos'!B90="","",'conversion datos'!B90)</f>
        <v>#VALUE!</v>
      </c>
      <c r="C92" s="494" t="str">
        <f aca="false">IF('conversion datos'!C90="","",'conversion datos'!C90)</f>
        <v/>
      </c>
      <c r="D92" s="489" t="e">
        <f aca="false">IF(B92="","",'Introduccion de datos de Calib.'!I90)</f>
        <v>#VALUE!</v>
      </c>
      <c r="E92" s="489" t="e">
        <f aca="false">IF(B92="","",'Introduccion de datos de Calib.'!J90)</f>
        <v>#VALUE!</v>
      </c>
      <c r="F92" s="489" t="e">
        <f aca="false">IF(B92="","",'Introduccion de datos de Calib.'!L90)</f>
        <v>#VALUE!</v>
      </c>
      <c r="G92" s="490" t="e">
        <f aca="false">IF(B92="","",'Introduccion de datos de Calib.'!M90)</f>
        <v>#VALUE!</v>
      </c>
    </row>
    <row r="93" customFormat="false" ht="15" hidden="false" customHeight="false" outlineLevel="0" collapsed="false">
      <c r="A93" s="65" t="n">
        <f aca="false">'conversion datos'!A91</f>
        <v>90</v>
      </c>
      <c r="B93" s="65" t="e">
        <f aca="false">IF('conversion datos'!B91="","",'conversion datos'!B91)</f>
        <v>#VALUE!</v>
      </c>
      <c r="C93" s="494" t="str">
        <f aca="false">IF('conversion datos'!C91="","",'conversion datos'!C91)</f>
        <v/>
      </c>
      <c r="D93" s="489" t="e">
        <f aca="false">IF(B93="","",'Introduccion de datos de Calib.'!I91)</f>
        <v>#VALUE!</v>
      </c>
      <c r="E93" s="489" t="e">
        <f aca="false">IF(B93="","",'Introduccion de datos de Calib.'!J91)</f>
        <v>#VALUE!</v>
      </c>
      <c r="F93" s="489" t="e">
        <f aca="false">IF(B93="","",'Introduccion de datos de Calib.'!L91)</f>
        <v>#VALUE!</v>
      </c>
      <c r="G93" s="490" t="e">
        <f aca="false">IF(B93="","",'Introduccion de datos de Calib.'!M91)</f>
        <v>#VALUE!</v>
      </c>
    </row>
    <row r="94" customFormat="false" ht="15" hidden="false" customHeight="false" outlineLevel="0" collapsed="false">
      <c r="A94" s="65" t="n">
        <f aca="false">'conversion datos'!A92</f>
        <v>91</v>
      </c>
      <c r="B94" s="65" t="e">
        <f aca="false">IF('conversion datos'!B92="","",'conversion datos'!B92)</f>
        <v>#VALUE!</v>
      </c>
      <c r="C94" s="494" t="str">
        <f aca="false">IF('conversion datos'!C92="","",'conversion datos'!C92)</f>
        <v/>
      </c>
      <c r="D94" s="489" t="e">
        <f aca="false">IF(B94="","",'Introduccion de datos de Calib.'!I92)</f>
        <v>#VALUE!</v>
      </c>
      <c r="E94" s="489" t="e">
        <f aca="false">IF(B94="","",'Introduccion de datos de Calib.'!J92)</f>
        <v>#VALUE!</v>
      </c>
      <c r="F94" s="489" t="e">
        <f aca="false">IF(B94="","",'Introduccion de datos de Calib.'!L92)</f>
        <v>#VALUE!</v>
      </c>
      <c r="G94" s="490" t="e">
        <f aca="false">IF(B94="","",'Introduccion de datos de Calib.'!M92)</f>
        <v>#VALUE!</v>
      </c>
    </row>
    <row r="95" customFormat="false" ht="15" hidden="false" customHeight="false" outlineLevel="0" collapsed="false">
      <c r="A95" s="65" t="n">
        <f aca="false">'conversion datos'!A93</f>
        <v>92</v>
      </c>
      <c r="B95" s="65" t="e">
        <f aca="false">IF('conversion datos'!B93="","",'conversion datos'!B93)</f>
        <v>#VALUE!</v>
      </c>
      <c r="C95" s="494" t="str">
        <f aca="false">IF('conversion datos'!C93="","",'conversion datos'!C93)</f>
        <v/>
      </c>
      <c r="D95" s="489" t="e">
        <f aca="false">IF(B95="","",'Introduccion de datos de Calib.'!I93)</f>
        <v>#VALUE!</v>
      </c>
      <c r="E95" s="489" t="e">
        <f aca="false">IF(B95="","",'Introduccion de datos de Calib.'!J93)</f>
        <v>#VALUE!</v>
      </c>
      <c r="F95" s="489" t="e">
        <f aca="false">IF(B95="","",'Introduccion de datos de Calib.'!L93)</f>
        <v>#VALUE!</v>
      </c>
      <c r="G95" s="490" t="e">
        <f aca="false">IF(B95="","",'Introduccion de datos de Calib.'!M93)</f>
        <v>#VALUE!</v>
      </c>
    </row>
    <row r="96" customFormat="false" ht="15" hidden="false" customHeight="false" outlineLevel="0" collapsed="false">
      <c r="A96" s="65" t="n">
        <f aca="false">'conversion datos'!A94</f>
        <v>93</v>
      </c>
      <c r="B96" s="65" t="e">
        <f aca="false">IF('conversion datos'!B94="","",'conversion datos'!B94)</f>
        <v>#VALUE!</v>
      </c>
      <c r="C96" s="494" t="str">
        <f aca="false">IF('conversion datos'!C94="","",'conversion datos'!C94)</f>
        <v/>
      </c>
      <c r="D96" s="489" t="e">
        <f aca="false">IF(B96="","",'Introduccion de datos de Calib.'!I94)</f>
        <v>#VALUE!</v>
      </c>
      <c r="E96" s="489" t="e">
        <f aca="false">IF(B96="","",'Introduccion de datos de Calib.'!J94)</f>
        <v>#VALUE!</v>
      </c>
      <c r="F96" s="489" t="e">
        <f aca="false">IF(B96="","",'Introduccion de datos de Calib.'!L94)</f>
        <v>#VALUE!</v>
      </c>
      <c r="G96" s="490" t="e">
        <f aca="false">IF(B96="","",'Introduccion de datos de Calib.'!M94)</f>
        <v>#VALUE!</v>
      </c>
    </row>
    <row r="97" customFormat="false" ht="15" hidden="false" customHeight="false" outlineLevel="0" collapsed="false">
      <c r="A97" s="65" t="n">
        <f aca="false">'conversion datos'!A95</f>
        <v>94</v>
      </c>
      <c r="B97" s="65" t="e">
        <f aca="false">IF('conversion datos'!B95="","",'conversion datos'!B95)</f>
        <v>#VALUE!</v>
      </c>
      <c r="C97" s="494" t="str">
        <f aca="false">IF('conversion datos'!C95="","",'conversion datos'!C95)</f>
        <v/>
      </c>
      <c r="D97" s="489" t="e">
        <f aca="false">IF(B97="","",'Introduccion de datos de Calib.'!I95)</f>
        <v>#VALUE!</v>
      </c>
      <c r="E97" s="489" t="e">
        <f aca="false">IF(B97="","",'Introduccion de datos de Calib.'!J95)</f>
        <v>#VALUE!</v>
      </c>
      <c r="F97" s="489" t="e">
        <f aca="false">IF(B97="","",'Introduccion de datos de Calib.'!L95)</f>
        <v>#VALUE!</v>
      </c>
      <c r="G97" s="490" t="e">
        <f aca="false">IF(B97="","",'Introduccion de datos de Calib.'!M95)</f>
        <v>#VALUE!</v>
      </c>
    </row>
    <row r="98" customFormat="false" ht="15" hidden="false" customHeight="false" outlineLevel="0" collapsed="false">
      <c r="A98" s="65" t="n">
        <f aca="false">'conversion datos'!A96</f>
        <v>95</v>
      </c>
      <c r="B98" s="65" t="e">
        <f aca="false">IF('conversion datos'!B96="","",'conversion datos'!B96)</f>
        <v>#VALUE!</v>
      </c>
      <c r="C98" s="494" t="str">
        <f aca="false">IF('conversion datos'!C96="","",'conversion datos'!C96)</f>
        <v/>
      </c>
      <c r="D98" s="489" t="e">
        <f aca="false">IF(B98="","",'Introduccion de datos de Calib.'!I96)</f>
        <v>#VALUE!</v>
      </c>
      <c r="E98" s="489" t="e">
        <f aca="false">IF(B98="","",'Introduccion de datos de Calib.'!J96)</f>
        <v>#VALUE!</v>
      </c>
      <c r="F98" s="489" t="e">
        <f aca="false">IF(B98="","",'Introduccion de datos de Calib.'!L96)</f>
        <v>#VALUE!</v>
      </c>
      <c r="G98" s="490" t="e">
        <f aca="false">IF(B98="","",'Introduccion de datos de Calib.'!M96)</f>
        <v>#VALUE!</v>
      </c>
    </row>
    <row r="99" customFormat="false" ht="15" hidden="false" customHeight="false" outlineLevel="0" collapsed="false">
      <c r="A99" s="65" t="n">
        <f aca="false">'conversion datos'!A97</f>
        <v>96</v>
      </c>
      <c r="B99" s="65" t="e">
        <f aca="false">IF('conversion datos'!B97="","",'conversion datos'!B97)</f>
        <v>#VALUE!</v>
      </c>
      <c r="C99" s="494" t="str">
        <f aca="false">IF('conversion datos'!C97="","",'conversion datos'!C97)</f>
        <v/>
      </c>
      <c r="D99" s="489" t="e">
        <f aca="false">IF(B99="","",'Introduccion de datos de Calib.'!I97)</f>
        <v>#VALUE!</v>
      </c>
      <c r="E99" s="489" t="e">
        <f aca="false">IF(B99="","",'Introduccion de datos de Calib.'!J97)</f>
        <v>#VALUE!</v>
      </c>
      <c r="F99" s="489" t="e">
        <f aca="false">IF(B99="","",'Introduccion de datos de Calib.'!L97)</f>
        <v>#VALUE!</v>
      </c>
      <c r="G99" s="490" t="e">
        <f aca="false">IF(B99="","",'Introduccion de datos de Calib.'!M97)</f>
        <v>#VALUE!</v>
      </c>
    </row>
    <row r="100" customFormat="false" ht="15" hidden="false" customHeight="false" outlineLevel="0" collapsed="false">
      <c r="A100" s="65" t="n">
        <f aca="false">'conversion datos'!A98</f>
        <v>97</v>
      </c>
      <c r="B100" s="65" t="e">
        <f aca="false">IF('conversion datos'!B98="","",'conversion datos'!B98)</f>
        <v>#VALUE!</v>
      </c>
      <c r="C100" s="494" t="str">
        <f aca="false">IF('conversion datos'!C98="","",'conversion datos'!C98)</f>
        <v/>
      </c>
      <c r="D100" s="489" t="e">
        <f aca="false">IF(B100="","",'Introduccion de datos de Calib.'!I98)</f>
        <v>#VALUE!</v>
      </c>
      <c r="E100" s="489" t="e">
        <f aca="false">IF(B100="","",'Introduccion de datos de Calib.'!J98)</f>
        <v>#VALUE!</v>
      </c>
      <c r="F100" s="489" t="e">
        <f aca="false">IF(B100="","",'Introduccion de datos de Calib.'!L98)</f>
        <v>#VALUE!</v>
      </c>
      <c r="G100" s="490" t="e">
        <f aca="false">IF(B100="","",'Introduccion de datos de Calib.'!M98)</f>
        <v>#VALUE!</v>
      </c>
    </row>
    <row r="101" customFormat="false" ht="15" hidden="false" customHeight="false" outlineLevel="0" collapsed="false">
      <c r="A101" s="65" t="n">
        <f aca="false">'conversion datos'!A99</f>
        <v>98</v>
      </c>
      <c r="B101" s="65" t="e">
        <f aca="false">IF('conversion datos'!B99="","",'conversion datos'!B99)</f>
        <v>#VALUE!</v>
      </c>
      <c r="C101" s="494" t="str">
        <f aca="false">IF('conversion datos'!C99="","",'conversion datos'!C99)</f>
        <v/>
      </c>
      <c r="D101" s="489" t="e">
        <f aca="false">IF(B101="","",'Introduccion de datos de Calib.'!I99)</f>
        <v>#VALUE!</v>
      </c>
      <c r="E101" s="489" t="e">
        <f aca="false">IF(B101="","",'Introduccion de datos de Calib.'!J99)</f>
        <v>#VALUE!</v>
      </c>
      <c r="F101" s="489" t="e">
        <f aca="false">IF(B101="","",'Introduccion de datos de Calib.'!L99)</f>
        <v>#VALUE!</v>
      </c>
      <c r="G101" s="490" t="e">
        <f aca="false">IF(B101="","",'Introduccion de datos de Calib.'!M99)</f>
        <v>#VALUE!</v>
      </c>
    </row>
    <row r="102" customFormat="false" ht="15" hidden="false" customHeight="false" outlineLevel="0" collapsed="false">
      <c r="A102" s="65" t="n">
        <f aca="false">'conversion datos'!A100</f>
        <v>99</v>
      </c>
      <c r="B102" s="65" t="e">
        <f aca="false">IF('conversion datos'!B100="","",'conversion datos'!B100)</f>
        <v>#VALUE!</v>
      </c>
      <c r="C102" s="494" t="str">
        <f aca="false">IF('conversion datos'!C100="","",'conversion datos'!C100)</f>
        <v/>
      </c>
      <c r="D102" s="489" t="e">
        <f aca="false">IF(B102="","",'Introduccion de datos de Calib.'!I100)</f>
        <v>#VALUE!</v>
      </c>
      <c r="E102" s="489" t="e">
        <f aca="false">IF(B102="","",'Introduccion de datos de Calib.'!J100)</f>
        <v>#VALUE!</v>
      </c>
      <c r="F102" s="489" t="e">
        <f aca="false">IF(B102="","",'Introduccion de datos de Calib.'!L100)</f>
        <v>#VALUE!</v>
      </c>
      <c r="G102" s="490" t="e">
        <f aca="false">IF(B102="","",'Introduccion de datos de Calib.'!M100)</f>
        <v>#VALUE!</v>
      </c>
    </row>
    <row r="103" customFormat="false" ht="15" hidden="false" customHeight="false" outlineLevel="0" collapsed="false">
      <c r="A103" s="65" t="n">
        <f aca="false">'conversion datos'!A101</f>
        <v>100</v>
      </c>
      <c r="B103" s="65" t="e">
        <f aca="false">IF('conversion datos'!B101="","",'conversion datos'!B101)</f>
        <v>#VALUE!</v>
      </c>
      <c r="C103" s="494" t="str">
        <f aca="false">IF('conversion datos'!C101="","",'conversion datos'!C101)</f>
        <v/>
      </c>
      <c r="D103" s="489" t="e">
        <f aca="false">IF(B103="","",'Introduccion de datos de Calib.'!I101)</f>
        <v>#VALUE!</v>
      </c>
      <c r="E103" s="489" t="e">
        <f aca="false">IF(B103="","",'Introduccion de datos de Calib.'!J101)</f>
        <v>#VALUE!</v>
      </c>
      <c r="F103" s="489" t="e">
        <f aca="false">IF(B103="","",'Introduccion de datos de Calib.'!L101)</f>
        <v>#VALUE!</v>
      </c>
      <c r="G103" s="490" t="e">
        <f aca="false">IF(B103="","",'Introduccion de datos de Calib.'!M101)</f>
        <v>#VALUE!</v>
      </c>
    </row>
    <row r="104" customFormat="false" ht="15" hidden="false" customHeight="false" outlineLevel="0" collapsed="false">
      <c r="A104" s="65" t="n">
        <f aca="false">'conversion datos'!A102</f>
        <v>101</v>
      </c>
      <c r="B104" s="65" t="e">
        <f aca="false">IF('conversion datos'!B102="","",'conversion datos'!B102)</f>
        <v>#VALUE!</v>
      </c>
      <c r="C104" s="494" t="str">
        <f aca="false">IF('conversion datos'!C102="","",'conversion datos'!C102)</f>
        <v/>
      </c>
      <c r="D104" s="489" t="e">
        <f aca="false">IF(B104="","",'Introduccion de datos de Calib.'!I102)</f>
        <v>#VALUE!</v>
      </c>
      <c r="E104" s="489" t="e">
        <f aca="false">IF(B104="","",'Introduccion de datos de Calib.'!J102)</f>
        <v>#VALUE!</v>
      </c>
      <c r="F104" s="489" t="e">
        <f aca="false">IF(B104="","",'Introduccion de datos de Calib.'!L102)</f>
        <v>#VALUE!</v>
      </c>
      <c r="G104" s="490" t="e">
        <f aca="false">IF(B104="","",'Introduccion de datos de Calib.'!M102)</f>
        <v>#VALUE!</v>
      </c>
    </row>
    <row r="105" customFormat="false" ht="15" hidden="false" customHeight="false" outlineLevel="0" collapsed="false">
      <c r="A105" s="65" t="n">
        <f aca="false">'conversion datos'!A103</f>
        <v>102</v>
      </c>
      <c r="B105" s="65" t="e">
        <f aca="false">IF('conversion datos'!B103="","",'conversion datos'!B103)</f>
        <v>#VALUE!</v>
      </c>
      <c r="C105" s="494" t="str">
        <f aca="false">IF('conversion datos'!C103="","",'conversion datos'!C103)</f>
        <v/>
      </c>
      <c r="D105" s="489" t="e">
        <f aca="false">IF(B105="","",'Introduccion de datos de Calib.'!I103)</f>
        <v>#VALUE!</v>
      </c>
      <c r="E105" s="489" t="e">
        <f aca="false">IF(B105="","",'Introduccion de datos de Calib.'!J103)</f>
        <v>#VALUE!</v>
      </c>
      <c r="F105" s="489" t="e">
        <f aca="false">IF(B105="","",'Introduccion de datos de Calib.'!L103)</f>
        <v>#VALUE!</v>
      </c>
      <c r="G105" s="490" t="e">
        <f aca="false">IF(B105="","",'Introduccion de datos de Calib.'!M103)</f>
        <v>#VALUE!</v>
      </c>
    </row>
    <row r="106" customFormat="false" ht="15" hidden="false" customHeight="false" outlineLevel="0" collapsed="false">
      <c r="A106" s="65" t="n">
        <f aca="false">'conversion datos'!A104</f>
        <v>103</v>
      </c>
      <c r="B106" s="65" t="e">
        <f aca="false">IF('conversion datos'!B104="","",'conversion datos'!B104)</f>
        <v>#VALUE!</v>
      </c>
      <c r="C106" s="494" t="str">
        <f aca="false">IF('conversion datos'!C104="","",'conversion datos'!C104)</f>
        <v/>
      </c>
      <c r="D106" s="489" t="e">
        <f aca="false">IF(B106="","",'Introduccion de datos de Calib.'!I104)</f>
        <v>#VALUE!</v>
      </c>
      <c r="E106" s="489" t="e">
        <f aca="false">IF(B106="","",'Introduccion de datos de Calib.'!J104)</f>
        <v>#VALUE!</v>
      </c>
      <c r="F106" s="489" t="e">
        <f aca="false">IF(B106="","",'Introduccion de datos de Calib.'!L104)</f>
        <v>#VALUE!</v>
      </c>
      <c r="G106" s="490" t="e">
        <f aca="false">IF(B106="","",'Introduccion de datos de Calib.'!M104)</f>
        <v>#VALUE!</v>
      </c>
    </row>
    <row r="107" customFormat="false" ht="15" hidden="false" customHeight="false" outlineLevel="0" collapsed="false">
      <c r="A107" s="65" t="n">
        <f aca="false">'conversion datos'!A105</f>
        <v>104</v>
      </c>
      <c r="B107" s="65" t="e">
        <f aca="false">IF('conversion datos'!B105="","",'conversion datos'!B105)</f>
        <v>#VALUE!</v>
      </c>
      <c r="C107" s="494" t="str">
        <f aca="false">IF('conversion datos'!C105="","",'conversion datos'!C105)</f>
        <v/>
      </c>
      <c r="D107" s="489" t="e">
        <f aca="false">IF(B107="","",'Introduccion de datos de Calib.'!I105)</f>
        <v>#VALUE!</v>
      </c>
      <c r="E107" s="489" t="e">
        <f aca="false">IF(B107="","",'Introduccion de datos de Calib.'!J105)</f>
        <v>#VALUE!</v>
      </c>
      <c r="F107" s="489" t="e">
        <f aca="false">IF(B107="","",'Introduccion de datos de Calib.'!L105)</f>
        <v>#VALUE!</v>
      </c>
      <c r="G107" s="490" t="e">
        <f aca="false">IF(B107="","",'Introduccion de datos de Calib.'!M105)</f>
        <v>#VALUE!</v>
      </c>
    </row>
    <row r="108" customFormat="false" ht="15" hidden="false" customHeight="false" outlineLevel="0" collapsed="false">
      <c r="A108" s="65" t="n">
        <f aca="false">'conversion datos'!A106</f>
        <v>105</v>
      </c>
      <c r="B108" s="65" t="e">
        <f aca="false">IF('conversion datos'!B106="","",'conversion datos'!B106)</f>
        <v>#VALUE!</v>
      </c>
      <c r="C108" s="494" t="str">
        <f aca="false">IF('conversion datos'!C106="","",'conversion datos'!C106)</f>
        <v/>
      </c>
      <c r="D108" s="489" t="e">
        <f aca="false">IF(B108="","",'Introduccion de datos de Calib.'!I106)</f>
        <v>#VALUE!</v>
      </c>
      <c r="E108" s="489" t="e">
        <f aca="false">IF(B108="","",'Introduccion de datos de Calib.'!J106)</f>
        <v>#VALUE!</v>
      </c>
      <c r="F108" s="489" t="e">
        <f aca="false">IF(B108="","",'Introduccion de datos de Calib.'!L106)</f>
        <v>#VALUE!</v>
      </c>
      <c r="G108" s="490" t="e">
        <f aca="false">IF(B108="","",'Introduccion de datos de Calib.'!M106)</f>
        <v>#VALUE!</v>
      </c>
    </row>
    <row r="109" customFormat="false" ht="15" hidden="false" customHeight="false" outlineLevel="0" collapsed="false">
      <c r="A109" s="65" t="n">
        <f aca="false">'conversion datos'!A107</f>
        <v>106</v>
      </c>
      <c r="B109" s="65" t="e">
        <f aca="false">IF('conversion datos'!B107="","",'conversion datos'!B107)</f>
        <v>#VALUE!</v>
      </c>
      <c r="C109" s="494" t="str">
        <f aca="false">IF('conversion datos'!C107="","",'conversion datos'!C107)</f>
        <v/>
      </c>
      <c r="D109" s="489" t="e">
        <f aca="false">IF(B109="","",'Introduccion de datos de Calib.'!I107)</f>
        <v>#VALUE!</v>
      </c>
      <c r="E109" s="489" t="e">
        <f aca="false">IF(B109="","",'Introduccion de datos de Calib.'!J107)</f>
        <v>#VALUE!</v>
      </c>
      <c r="F109" s="489" t="e">
        <f aca="false">IF(B109="","",'Introduccion de datos de Calib.'!L107)</f>
        <v>#VALUE!</v>
      </c>
      <c r="G109" s="490" t="e">
        <f aca="false">IF(B109="","",'Introduccion de datos de Calib.'!M107)</f>
        <v>#VALUE!</v>
      </c>
    </row>
    <row r="110" customFormat="false" ht="15" hidden="false" customHeight="false" outlineLevel="0" collapsed="false">
      <c r="A110" s="65" t="n">
        <f aca="false">'conversion datos'!A108</f>
        <v>107</v>
      </c>
      <c r="B110" s="65" t="e">
        <f aca="false">IF('conversion datos'!B108="","",'conversion datos'!B108)</f>
        <v>#VALUE!</v>
      </c>
      <c r="C110" s="494" t="str">
        <f aca="false">IF('conversion datos'!C108="","",'conversion datos'!C108)</f>
        <v/>
      </c>
      <c r="D110" s="489" t="e">
        <f aca="false">IF(B110="","",'Introduccion de datos de Calib.'!I108)</f>
        <v>#VALUE!</v>
      </c>
      <c r="E110" s="489" t="e">
        <f aca="false">IF(B110="","",'Introduccion de datos de Calib.'!J108)</f>
        <v>#VALUE!</v>
      </c>
      <c r="F110" s="489" t="e">
        <f aca="false">IF(B110="","",'Introduccion de datos de Calib.'!L108)</f>
        <v>#VALUE!</v>
      </c>
      <c r="G110" s="490" t="e">
        <f aca="false">IF(B110="","",'Introduccion de datos de Calib.'!M108)</f>
        <v>#VALUE!</v>
      </c>
    </row>
    <row r="111" customFormat="false" ht="15" hidden="false" customHeight="false" outlineLevel="0" collapsed="false">
      <c r="A111" s="65" t="n">
        <f aca="false">'conversion datos'!A109</f>
        <v>108</v>
      </c>
      <c r="B111" s="65" t="e">
        <f aca="false">IF('conversion datos'!B109="","",'conversion datos'!B109)</f>
        <v>#VALUE!</v>
      </c>
      <c r="C111" s="494" t="str">
        <f aca="false">IF('conversion datos'!C109="","",'conversion datos'!C109)</f>
        <v/>
      </c>
      <c r="D111" s="489" t="e">
        <f aca="false">IF(B111="","",'Introduccion de datos de Calib.'!I109)</f>
        <v>#VALUE!</v>
      </c>
      <c r="E111" s="489" t="e">
        <f aca="false">IF(B111="","",'Introduccion de datos de Calib.'!J109)</f>
        <v>#VALUE!</v>
      </c>
      <c r="F111" s="489" t="e">
        <f aca="false">IF(B111="","",'Introduccion de datos de Calib.'!L109)</f>
        <v>#VALUE!</v>
      </c>
      <c r="G111" s="490" t="e">
        <f aca="false">IF(B111="","",'Introduccion de datos de Calib.'!M109)</f>
        <v>#VALUE!</v>
      </c>
    </row>
    <row r="112" customFormat="false" ht="15" hidden="false" customHeight="false" outlineLevel="0" collapsed="false">
      <c r="A112" s="65" t="n">
        <f aca="false">'conversion datos'!A110</f>
        <v>109</v>
      </c>
      <c r="B112" s="65" t="e">
        <f aca="false">IF('conversion datos'!B110="","",'conversion datos'!B110)</f>
        <v>#VALUE!</v>
      </c>
      <c r="C112" s="494" t="str">
        <f aca="false">IF('conversion datos'!C110="","",'conversion datos'!C110)</f>
        <v/>
      </c>
      <c r="D112" s="489" t="e">
        <f aca="false">IF(B112="","",'Introduccion de datos de Calib.'!I110)</f>
        <v>#VALUE!</v>
      </c>
      <c r="E112" s="489" t="e">
        <f aca="false">IF(B112="","",'Introduccion de datos de Calib.'!J110)</f>
        <v>#VALUE!</v>
      </c>
      <c r="F112" s="489" t="e">
        <f aca="false">IF(B112="","",'Introduccion de datos de Calib.'!L110)</f>
        <v>#VALUE!</v>
      </c>
      <c r="G112" s="490" t="e">
        <f aca="false">IF(B112="","",'Introduccion de datos de Calib.'!M110)</f>
        <v>#VALUE!</v>
      </c>
    </row>
    <row r="113" customFormat="false" ht="15" hidden="false" customHeight="false" outlineLevel="0" collapsed="false">
      <c r="A113" s="65" t="n">
        <f aca="false">'conversion datos'!A111</f>
        <v>110</v>
      </c>
      <c r="B113" s="65" t="e">
        <f aca="false">IF('conversion datos'!B111="","",'conversion datos'!B111)</f>
        <v>#VALUE!</v>
      </c>
      <c r="C113" s="494" t="str">
        <f aca="false">IF('conversion datos'!C111="","",'conversion datos'!C111)</f>
        <v/>
      </c>
      <c r="D113" s="489" t="e">
        <f aca="false">IF(B113="","",'Introduccion de datos de Calib.'!I111)</f>
        <v>#VALUE!</v>
      </c>
      <c r="E113" s="489" t="e">
        <f aca="false">IF(B113="","",'Introduccion de datos de Calib.'!J111)</f>
        <v>#VALUE!</v>
      </c>
      <c r="F113" s="489" t="e">
        <f aca="false">IF(B113="","",'Introduccion de datos de Calib.'!L111)</f>
        <v>#VALUE!</v>
      </c>
      <c r="G113" s="490" t="e">
        <f aca="false">IF(B113="","",'Introduccion de datos de Calib.'!M111)</f>
        <v>#VALUE!</v>
      </c>
    </row>
    <row r="114" customFormat="false" ht="15" hidden="false" customHeight="false" outlineLevel="0" collapsed="false">
      <c r="A114" s="65" t="n">
        <f aca="false">'conversion datos'!A112</f>
        <v>111</v>
      </c>
      <c r="B114" s="65" t="e">
        <f aca="false">IF('conversion datos'!B112="","",'conversion datos'!B112)</f>
        <v>#VALUE!</v>
      </c>
      <c r="C114" s="494" t="str">
        <f aca="false">IF('conversion datos'!C112="","",'conversion datos'!C112)</f>
        <v/>
      </c>
      <c r="D114" s="489" t="e">
        <f aca="false">IF(B114="","",'Introduccion de datos de Calib.'!I112)</f>
        <v>#VALUE!</v>
      </c>
      <c r="E114" s="489" t="e">
        <f aca="false">IF(B114="","",'Introduccion de datos de Calib.'!J112)</f>
        <v>#VALUE!</v>
      </c>
      <c r="F114" s="489" t="e">
        <f aca="false">IF(B114="","",'Introduccion de datos de Calib.'!L112)</f>
        <v>#VALUE!</v>
      </c>
      <c r="G114" s="490" t="e">
        <f aca="false">IF(B114="","",'Introduccion de datos de Calib.'!M112)</f>
        <v>#VALUE!</v>
      </c>
    </row>
    <row r="115" customFormat="false" ht="15" hidden="false" customHeight="false" outlineLevel="0" collapsed="false">
      <c r="A115" s="65" t="n">
        <f aca="false">'conversion datos'!A113</f>
        <v>112</v>
      </c>
      <c r="B115" s="65" t="e">
        <f aca="false">IF('conversion datos'!B113="","",'conversion datos'!B113)</f>
        <v>#VALUE!</v>
      </c>
      <c r="C115" s="494" t="str">
        <f aca="false">IF('conversion datos'!C113="","",'conversion datos'!C113)</f>
        <v/>
      </c>
      <c r="D115" s="489" t="e">
        <f aca="false">IF(B115="","",'Introduccion de datos de Calib.'!I113)</f>
        <v>#VALUE!</v>
      </c>
      <c r="E115" s="489" t="e">
        <f aca="false">IF(B115="","",'Introduccion de datos de Calib.'!J113)</f>
        <v>#VALUE!</v>
      </c>
      <c r="F115" s="489" t="e">
        <f aca="false">IF(B115="","",'Introduccion de datos de Calib.'!L113)</f>
        <v>#VALUE!</v>
      </c>
      <c r="G115" s="490" t="e">
        <f aca="false">IF(B115="","",'Introduccion de datos de Calib.'!M113)</f>
        <v>#VALUE!</v>
      </c>
    </row>
    <row r="116" customFormat="false" ht="15" hidden="false" customHeight="false" outlineLevel="0" collapsed="false">
      <c r="A116" s="65" t="n">
        <f aca="false">'conversion datos'!A114</f>
        <v>113</v>
      </c>
      <c r="B116" s="65" t="e">
        <f aca="false">IF('conversion datos'!B114="","",'conversion datos'!B114)</f>
        <v>#VALUE!</v>
      </c>
      <c r="C116" s="494" t="str">
        <f aca="false">IF('conversion datos'!C114="","",'conversion datos'!C114)</f>
        <v/>
      </c>
      <c r="D116" s="489" t="e">
        <f aca="false">IF(B116="","",'Introduccion de datos de Calib.'!I114)</f>
        <v>#VALUE!</v>
      </c>
      <c r="E116" s="489" t="e">
        <f aca="false">IF(B116="","",'Introduccion de datos de Calib.'!J114)</f>
        <v>#VALUE!</v>
      </c>
      <c r="F116" s="489" t="e">
        <f aca="false">IF(B116="","",'Introduccion de datos de Calib.'!L114)</f>
        <v>#VALUE!</v>
      </c>
      <c r="G116" s="490" t="e">
        <f aca="false">IF(B116="","",'Introduccion de datos de Calib.'!M114)</f>
        <v>#VALUE!</v>
      </c>
    </row>
    <row r="117" customFormat="false" ht="15" hidden="false" customHeight="false" outlineLevel="0" collapsed="false">
      <c r="A117" s="65" t="n">
        <f aca="false">'conversion datos'!A115</f>
        <v>114</v>
      </c>
      <c r="B117" s="65" t="e">
        <f aca="false">IF('conversion datos'!B115="","",'conversion datos'!B115)</f>
        <v>#VALUE!</v>
      </c>
      <c r="C117" s="494" t="str">
        <f aca="false">IF('conversion datos'!C115="","",'conversion datos'!C115)</f>
        <v/>
      </c>
      <c r="D117" s="489" t="e">
        <f aca="false">IF(B117="","",'Introduccion de datos de Calib.'!I115)</f>
        <v>#VALUE!</v>
      </c>
      <c r="E117" s="489" t="e">
        <f aca="false">IF(B117="","",'Introduccion de datos de Calib.'!J115)</f>
        <v>#VALUE!</v>
      </c>
      <c r="F117" s="489" t="e">
        <f aca="false">IF(B117="","",'Introduccion de datos de Calib.'!L115)</f>
        <v>#VALUE!</v>
      </c>
      <c r="G117" s="490" t="e">
        <f aca="false">IF(B117="","",'Introduccion de datos de Calib.'!M115)</f>
        <v>#VALUE!</v>
      </c>
    </row>
    <row r="118" customFormat="false" ht="15" hidden="false" customHeight="false" outlineLevel="0" collapsed="false">
      <c r="A118" s="65" t="n">
        <f aca="false">'conversion datos'!A116</f>
        <v>115</v>
      </c>
      <c r="B118" s="65" t="e">
        <f aca="false">IF('conversion datos'!B116="","",'conversion datos'!B116)</f>
        <v>#VALUE!</v>
      </c>
      <c r="C118" s="494" t="str">
        <f aca="false">IF('conversion datos'!C116="","",'conversion datos'!C116)</f>
        <v/>
      </c>
      <c r="D118" s="489" t="e">
        <f aca="false">IF(B118="","",'Introduccion de datos de Calib.'!I116)</f>
        <v>#VALUE!</v>
      </c>
      <c r="E118" s="489" t="e">
        <f aca="false">IF(B118="","",'Introduccion de datos de Calib.'!J116)</f>
        <v>#VALUE!</v>
      </c>
      <c r="F118" s="489" t="e">
        <f aca="false">IF(B118="","",'Introduccion de datos de Calib.'!L116)</f>
        <v>#VALUE!</v>
      </c>
      <c r="G118" s="490" t="e">
        <f aca="false">IF(B118="","",'Introduccion de datos de Calib.'!M116)</f>
        <v>#VALUE!</v>
      </c>
    </row>
    <row r="119" customFormat="false" ht="15" hidden="false" customHeight="false" outlineLevel="0" collapsed="false">
      <c r="A119" s="65" t="n">
        <f aca="false">'conversion datos'!A117</f>
        <v>116</v>
      </c>
      <c r="B119" s="65" t="e">
        <f aca="false">IF('conversion datos'!B117="","",'conversion datos'!B117)</f>
        <v>#VALUE!</v>
      </c>
      <c r="C119" s="494" t="str">
        <f aca="false">IF('conversion datos'!C117="","",'conversion datos'!C117)</f>
        <v/>
      </c>
      <c r="D119" s="489" t="e">
        <f aca="false">IF(B119="","",'Introduccion de datos de Calib.'!I117)</f>
        <v>#VALUE!</v>
      </c>
      <c r="E119" s="489" t="e">
        <f aca="false">IF(B119="","",'Introduccion de datos de Calib.'!J117)</f>
        <v>#VALUE!</v>
      </c>
      <c r="F119" s="489" t="e">
        <f aca="false">IF(B119="","",'Introduccion de datos de Calib.'!L117)</f>
        <v>#VALUE!</v>
      </c>
      <c r="G119" s="490" t="e">
        <f aca="false">IF(B119="","",'Introduccion de datos de Calib.'!M117)</f>
        <v>#VALUE!</v>
      </c>
    </row>
    <row r="120" customFormat="false" ht="15" hidden="false" customHeight="false" outlineLevel="0" collapsed="false">
      <c r="A120" s="65" t="n">
        <f aca="false">'conversion datos'!A118</f>
        <v>117</v>
      </c>
      <c r="B120" s="65" t="e">
        <f aca="false">IF('conversion datos'!B118="","",'conversion datos'!B118)</f>
        <v>#VALUE!</v>
      </c>
      <c r="C120" s="494" t="str">
        <f aca="false">IF('conversion datos'!C118="","",'conversion datos'!C118)</f>
        <v/>
      </c>
      <c r="D120" s="489" t="e">
        <f aca="false">IF(B120="","",'Introduccion de datos de Calib.'!I118)</f>
        <v>#VALUE!</v>
      </c>
      <c r="E120" s="489" t="e">
        <f aca="false">IF(B120="","",'Introduccion de datos de Calib.'!J118)</f>
        <v>#VALUE!</v>
      </c>
      <c r="F120" s="489" t="e">
        <f aca="false">IF(B120="","",'Introduccion de datos de Calib.'!L118)</f>
        <v>#VALUE!</v>
      </c>
      <c r="G120" s="490" t="e">
        <f aca="false">IF(B120="","",'Introduccion de datos de Calib.'!M118)</f>
        <v>#VALUE!</v>
      </c>
    </row>
    <row r="121" customFormat="false" ht="15" hidden="false" customHeight="false" outlineLevel="0" collapsed="false">
      <c r="A121" s="65" t="n">
        <f aca="false">'conversion datos'!A119</f>
        <v>118</v>
      </c>
      <c r="B121" s="65" t="e">
        <f aca="false">IF('conversion datos'!B119="","",'conversion datos'!B119)</f>
        <v>#VALUE!</v>
      </c>
      <c r="C121" s="494" t="str">
        <f aca="false">IF('conversion datos'!C119="","",'conversion datos'!C119)</f>
        <v/>
      </c>
      <c r="D121" s="489" t="e">
        <f aca="false">IF(B121="","",'Introduccion de datos de Calib.'!I119)</f>
        <v>#VALUE!</v>
      </c>
      <c r="E121" s="489" t="e">
        <f aca="false">IF(B121="","",'Introduccion de datos de Calib.'!J119)</f>
        <v>#VALUE!</v>
      </c>
      <c r="F121" s="489" t="e">
        <f aca="false">IF(B121="","",'Introduccion de datos de Calib.'!L119)</f>
        <v>#VALUE!</v>
      </c>
      <c r="G121" s="490" t="e">
        <f aca="false">IF(B121="","",'Introduccion de datos de Calib.'!M119)</f>
        <v>#VALUE!</v>
      </c>
    </row>
    <row r="122" customFormat="false" ht="15" hidden="false" customHeight="false" outlineLevel="0" collapsed="false">
      <c r="A122" s="65" t="n">
        <f aca="false">'conversion datos'!A120</f>
        <v>119</v>
      </c>
      <c r="B122" s="65" t="e">
        <f aca="false">IF('conversion datos'!B120="","",'conversion datos'!B120)</f>
        <v>#VALUE!</v>
      </c>
      <c r="C122" s="494" t="str">
        <f aca="false">IF('conversion datos'!C120="","",'conversion datos'!C120)</f>
        <v/>
      </c>
      <c r="D122" s="489" t="e">
        <f aca="false">IF(B122="","",'Introduccion de datos de Calib.'!I120)</f>
        <v>#VALUE!</v>
      </c>
      <c r="E122" s="489" t="e">
        <f aca="false">IF(B122="","",'Introduccion de datos de Calib.'!J120)</f>
        <v>#VALUE!</v>
      </c>
      <c r="F122" s="489" t="e">
        <f aca="false">IF(B122="","",'Introduccion de datos de Calib.'!L120)</f>
        <v>#VALUE!</v>
      </c>
      <c r="G122" s="490" t="e">
        <f aca="false">IF(B122="","",'Introduccion de datos de Calib.'!M120)</f>
        <v>#VALUE!</v>
      </c>
    </row>
    <row r="123" customFormat="false" ht="15" hidden="false" customHeight="false" outlineLevel="0" collapsed="false">
      <c r="A123" s="65" t="n">
        <f aca="false">'conversion datos'!A121</f>
        <v>120</v>
      </c>
      <c r="B123" s="65" t="e">
        <f aca="false">IF('conversion datos'!B121="","",'conversion datos'!B121)</f>
        <v>#VALUE!</v>
      </c>
      <c r="C123" s="494" t="str">
        <f aca="false">IF('conversion datos'!C121="","",'conversion datos'!C121)</f>
        <v/>
      </c>
      <c r="D123" s="489" t="e">
        <f aca="false">IF(B123="","",'Introduccion de datos de Calib.'!I121)</f>
        <v>#VALUE!</v>
      </c>
      <c r="E123" s="489" t="e">
        <f aca="false">IF(B123="","",'Introduccion de datos de Calib.'!J121)</f>
        <v>#VALUE!</v>
      </c>
      <c r="F123" s="489" t="e">
        <f aca="false">IF(B123="","",'Introduccion de datos de Calib.'!L121)</f>
        <v>#VALUE!</v>
      </c>
      <c r="G123" s="490" t="e">
        <f aca="false">IF(B123="","",'Introduccion de datos de Calib.'!M121)</f>
        <v>#VALUE!</v>
      </c>
    </row>
    <row r="124" customFormat="false" ht="15" hidden="false" customHeight="false" outlineLevel="0" collapsed="false">
      <c r="A124" s="65" t="n">
        <f aca="false">'conversion datos'!A122</f>
        <v>121</v>
      </c>
      <c r="B124" s="65" t="e">
        <f aca="false">IF('conversion datos'!B122="","",'conversion datos'!B122)</f>
        <v>#VALUE!</v>
      </c>
      <c r="C124" s="494" t="str">
        <f aca="false">IF('conversion datos'!C122="","",'conversion datos'!C122)</f>
        <v/>
      </c>
      <c r="D124" s="489" t="e">
        <f aca="false">IF(B124="","",'Introduccion de datos de Calib.'!I122)</f>
        <v>#VALUE!</v>
      </c>
      <c r="E124" s="489" t="e">
        <f aca="false">IF(B124="","",'Introduccion de datos de Calib.'!J122)</f>
        <v>#VALUE!</v>
      </c>
      <c r="F124" s="489" t="e">
        <f aca="false">IF(B124="","",'Introduccion de datos de Calib.'!L122)</f>
        <v>#VALUE!</v>
      </c>
      <c r="G124" s="490" t="e">
        <f aca="false">IF(B124="","",'Introduccion de datos de Calib.'!M122)</f>
        <v>#VALUE!</v>
      </c>
    </row>
    <row r="125" customFormat="false" ht="15" hidden="false" customHeight="false" outlineLevel="0" collapsed="false">
      <c r="A125" s="65" t="n">
        <f aca="false">'conversion datos'!A123</f>
        <v>122</v>
      </c>
      <c r="B125" s="65" t="e">
        <f aca="false">IF('conversion datos'!B123="","",'conversion datos'!B123)</f>
        <v>#VALUE!</v>
      </c>
      <c r="C125" s="494" t="str">
        <f aca="false">IF('conversion datos'!C123="","",'conversion datos'!C123)</f>
        <v/>
      </c>
      <c r="D125" s="489" t="e">
        <f aca="false">IF(B125="","",'Introduccion de datos de Calib.'!I123)</f>
        <v>#VALUE!</v>
      </c>
      <c r="E125" s="489" t="e">
        <f aca="false">IF(B125="","",'Introduccion de datos de Calib.'!J123)</f>
        <v>#VALUE!</v>
      </c>
      <c r="F125" s="489" t="e">
        <f aca="false">IF(B125="","",'Introduccion de datos de Calib.'!L123)</f>
        <v>#VALUE!</v>
      </c>
      <c r="G125" s="490" t="e">
        <f aca="false">IF(B125="","",'Introduccion de datos de Calib.'!M123)</f>
        <v>#VALUE!</v>
      </c>
    </row>
  </sheetData>
  <mergeCells count="6">
    <mergeCell ref="A2:A3"/>
    <mergeCell ref="B2:B3"/>
    <mergeCell ref="C2:C3"/>
    <mergeCell ref="I4:J4"/>
    <mergeCell ref="I5:J5"/>
    <mergeCell ref="I7:J7"/>
  </mergeCells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2:S191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19" activeCellId="0" sqref="D19"/>
    </sheetView>
  </sheetViews>
  <sheetFormatPr defaultColWidth="4.66796875" defaultRowHeight="15.75" zeroHeight="false" outlineLevelRow="0" outlineLevelCol="0"/>
  <cols>
    <col collapsed="false" customWidth="true" hidden="false" outlineLevel="0" max="9" min="9" style="1" width="2.83"/>
    <col collapsed="false" customWidth="true" hidden="false" outlineLevel="0" max="10" min="10" style="1" width="5.66"/>
    <col collapsed="false" customWidth="true" hidden="false" outlineLevel="0" max="12" min="12" style="1" width="6.5"/>
    <col collapsed="false" customWidth="true" hidden="false" outlineLevel="0" max="14" min="14" style="1" width="4.17"/>
    <col collapsed="false" customWidth="true" hidden="false" outlineLevel="0" max="15" min="15" style="1" width="4"/>
    <col collapsed="false" customWidth="true" hidden="false" outlineLevel="0" max="16" min="16" style="1" width="4.5"/>
  </cols>
  <sheetData>
    <row r="2" customFormat="false" ht="15.75" hidden="false" customHeight="true" outlineLevel="0" collapsed="false">
      <c r="M2" s="422" t="str">
        <f aca="false">'conversion datos'!L10</f>
        <v>LCM 03890122</v>
      </c>
      <c r="N2" s="422"/>
      <c r="O2" s="422"/>
      <c r="P2" s="422"/>
      <c r="Q2" s="422"/>
      <c r="R2" s="422"/>
    </row>
    <row r="3" customFormat="false" ht="15.75" hidden="false" customHeight="true" outlineLevel="0" collapsed="false">
      <c r="M3" s="422"/>
      <c r="N3" s="422"/>
      <c r="O3" s="422"/>
      <c r="P3" s="422"/>
      <c r="Q3" s="422"/>
      <c r="R3" s="422"/>
    </row>
    <row r="4" customFormat="false" ht="15.75" hidden="false" customHeight="true" outlineLevel="0" collapsed="false">
      <c r="M4" s="422"/>
      <c r="N4" s="422"/>
      <c r="O4" s="422"/>
      <c r="P4" s="422"/>
      <c r="Q4" s="422"/>
      <c r="R4" s="422"/>
    </row>
    <row r="5" customFormat="false" ht="15.75" hidden="false" customHeight="true" outlineLevel="0" collapsed="false">
      <c r="R5" s="423"/>
    </row>
    <row r="6" customFormat="false" ht="15.75" hidden="false" customHeight="true" outlineLevel="0" collapsed="false">
      <c r="A6" s="424" t="s">
        <v>543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</row>
    <row r="7" customFormat="false" ht="15.75" hidden="false" customHeight="true" outlineLevel="0" collapsed="false">
      <c r="A7" s="424"/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</row>
    <row r="9" customFormat="false" ht="15.75" hidden="false" customHeight="true" outlineLevel="0" collapsed="false">
      <c r="F9" s="425"/>
      <c r="G9" s="425"/>
      <c r="H9" s="425"/>
      <c r="I9" s="425"/>
      <c r="J9" s="425"/>
      <c r="K9" s="425"/>
      <c r="L9" s="425"/>
      <c r="M9" s="425"/>
    </row>
    <row r="10" customFormat="false" ht="15.75" hidden="false" customHeight="true" outlineLevel="0" collapsed="false">
      <c r="A10" s="426" t="s">
        <v>432</v>
      </c>
      <c r="F10" s="425"/>
      <c r="G10" s="427" t="n">
        <f aca="false">'conversion datos'!L5</f>
        <v>45268</v>
      </c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</row>
    <row r="11" customFormat="false" ht="15.75" hidden="false" customHeight="true" outlineLevel="0" collapsed="false">
      <c r="A11" s="428"/>
      <c r="B11" s="429"/>
      <c r="F11" s="425"/>
      <c r="G11" s="425"/>
      <c r="H11" s="425"/>
      <c r="I11" s="425"/>
      <c r="J11" s="425"/>
      <c r="K11" s="425"/>
      <c r="L11" s="425"/>
      <c r="M11" s="425"/>
    </row>
    <row r="12" customFormat="false" ht="15.75" hidden="false" customHeight="true" outlineLevel="0" collapsed="false">
      <c r="A12" s="430"/>
      <c r="F12" s="425"/>
      <c r="G12" s="425"/>
      <c r="H12" s="425"/>
      <c r="I12" s="425"/>
      <c r="J12" s="425"/>
      <c r="K12" s="425"/>
      <c r="L12" s="425"/>
      <c r="M12" s="425"/>
      <c r="N12" s="431"/>
      <c r="O12" s="431"/>
      <c r="P12" s="431"/>
    </row>
    <row r="13" customFormat="false" ht="15.75" hidden="false" customHeight="true" outlineLevel="0" collapsed="false">
      <c r="A13" s="426" t="s">
        <v>452</v>
      </c>
      <c r="E13" s="432"/>
      <c r="F13" s="425"/>
      <c r="G13" s="433" t="str">
        <f aca="false">CONCATENATE(INFORMACION!D31,", de ",MIN('conversion datos'!C2:C123)," pulgada a ",MAX('conversion datos'!C2:C123)," pulgadas")</f>
        <v>Juego de bloques patrón, de 0 pulgada a 0 pulgadas</v>
      </c>
      <c r="H13" s="433"/>
      <c r="I13" s="433"/>
      <c r="J13" s="433"/>
      <c r="K13" s="433"/>
      <c r="L13" s="433"/>
      <c r="M13" s="433"/>
      <c r="N13" s="433"/>
      <c r="O13" s="433"/>
      <c r="P13" s="433"/>
      <c r="Q13" s="433"/>
      <c r="R13" s="439"/>
    </row>
    <row r="14" customFormat="false" ht="15.75" hidden="false" customHeight="true" outlineLevel="0" collapsed="false">
      <c r="A14" s="434"/>
      <c r="E14" s="432"/>
      <c r="F14" s="425"/>
      <c r="G14" s="440" t="s">
        <v>533</v>
      </c>
      <c r="H14" s="440"/>
      <c r="I14" s="440"/>
      <c r="J14" s="440"/>
      <c r="K14" s="502" t="str">
        <f aca="false">'conversion datos'!L19</f>
        <v>Mitutoyo</v>
      </c>
      <c r="L14" s="502"/>
      <c r="M14" s="502"/>
      <c r="N14" s="439"/>
      <c r="O14" s="439"/>
      <c r="P14" s="439"/>
      <c r="Q14" s="439"/>
      <c r="R14" s="439"/>
    </row>
    <row r="15" customFormat="false" ht="15.75" hidden="false" customHeight="true" outlineLevel="0" collapsed="false">
      <c r="A15" s="434"/>
      <c r="E15" s="432"/>
      <c r="F15" s="425"/>
      <c r="G15" s="440" t="s">
        <v>461</v>
      </c>
      <c r="H15" s="440"/>
      <c r="I15" s="440"/>
      <c r="J15" s="440"/>
      <c r="K15" s="503" t="str">
        <f aca="false">'conversion datos'!L22</f>
        <v>No indica</v>
      </c>
      <c r="L15" s="503"/>
      <c r="M15" s="503"/>
      <c r="N15" s="439"/>
      <c r="O15" s="439"/>
      <c r="P15" s="439"/>
      <c r="Q15" s="439"/>
      <c r="R15" s="439"/>
    </row>
    <row r="16" customFormat="false" ht="15.75" hidden="false" customHeight="true" outlineLevel="0" collapsed="false">
      <c r="A16" s="434"/>
      <c r="E16" s="425"/>
      <c r="F16" s="425"/>
      <c r="G16" s="440" t="s">
        <v>534</v>
      </c>
      <c r="H16" s="440"/>
      <c r="I16" s="440"/>
      <c r="J16" s="440"/>
      <c r="K16" s="503" t="str">
        <f aca="false">'conversion datos'!L21</f>
        <v>Cerámica</v>
      </c>
      <c r="L16" s="503"/>
      <c r="M16" s="503"/>
    </row>
    <row r="17" customFormat="false" ht="15.75" hidden="false" customHeight="true" outlineLevel="0" collapsed="false">
      <c r="A17" s="434"/>
      <c r="E17" s="425"/>
      <c r="F17" s="425"/>
      <c r="G17" s="440" t="s">
        <v>585</v>
      </c>
      <c r="H17" s="440"/>
      <c r="I17" s="440"/>
      <c r="J17" s="440"/>
      <c r="K17" s="502" t="str">
        <f aca="false">'conversion datos'!L23</f>
        <v>No indica</v>
      </c>
      <c r="L17" s="502"/>
      <c r="M17" s="502"/>
    </row>
    <row r="18" customFormat="false" ht="15.75" hidden="false" customHeight="true" outlineLevel="0" collapsed="false">
      <c r="A18" s="434"/>
      <c r="E18" s="425"/>
      <c r="F18" s="425"/>
      <c r="G18" s="504"/>
      <c r="H18" s="504"/>
      <c r="I18" s="504"/>
      <c r="J18" s="425"/>
      <c r="K18" s="425"/>
      <c r="L18" s="425"/>
      <c r="M18" s="425"/>
    </row>
    <row r="19" customFormat="false" ht="15.75" hidden="false" customHeight="true" outlineLevel="0" collapsed="false">
      <c r="A19" s="426" t="s">
        <v>544</v>
      </c>
      <c r="F19" s="425"/>
      <c r="G19" s="435" t="str">
        <f aca="false">INFORMACION!D33</f>
        <v>Ver tabla de resultados de la calibración / MET-LMMET-001</v>
      </c>
      <c r="H19" s="435"/>
      <c r="I19" s="435"/>
      <c r="J19" s="435"/>
      <c r="K19" s="435"/>
      <c r="L19" s="435"/>
      <c r="M19" s="435"/>
      <c r="N19" s="435"/>
      <c r="O19" s="435"/>
      <c r="P19" s="435"/>
      <c r="Q19" s="435"/>
      <c r="R19" s="435"/>
      <c r="S19" s="425"/>
    </row>
    <row r="20" customFormat="false" ht="15.75" hidden="false" customHeight="true" outlineLevel="0" collapsed="false">
      <c r="A20" s="430"/>
      <c r="F20" s="425"/>
      <c r="G20" s="425"/>
      <c r="H20" s="425"/>
      <c r="I20" s="425"/>
      <c r="J20" s="425"/>
      <c r="K20" s="425"/>
      <c r="L20" s="425"/>
      <c r="M20" s="425"/>
    </row>
    <row r="21" customFormat="false" ht="15.75" hidden="false" customHeight="true" outlineLevel="0" collapsed="false">
      <c r="A21" s="434"/>
      <c r="F21" s="425"/>
      <c r="G21" s="429"/>
      <c r="H21" s="425"/>
      <c r="I21" s="425"/>
      <c r="J21" s="425"/>
      <c r="K21" s="425"/>
      <c r="L21" s="425"/>
      <c r="M21" s="425"/>
    </row>
    <row r="22" customFormat="false" ht="15.75" hidden="false" customHeight="true" outlineLevel="0" collapsed="false">
      <c r="A22" s="426" t="s">
        <v>545</v>
      </c>
      <c r="F22" s="425"/>
      <c r="G22" s="435" t="str">
        <f aca="false">INFORMACION!D25</f>
        <v>194-22</v>
      </c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</row>
    <row r="23" customFormat="false" ht="15.75" hidden="false" customHeight="true" outlineLevel="0" collapsed="false">
      <c r="A23" s="430"/>
      <c r="F23" s="425"/>
      <c r="G23" s="425"/>
      <c r="H23" s="425"/>
      <c r="I23" s="425"/>
      <c r="J23" s="425"/>
      <c r="K23" s="425"/>
      <c r="L23" s="425"/>
      <c r="M23" s="425"/>
    </row>
    <row r="24" customFormat="false" ht="15.75" hidden="false" customHeight="true" outlineLevel="0" collapsed="false">
      <c r="A24" s="428"/>
      <c r="F24" s="425"/>
      <c r="G24" s="429"/>
      <c r="H24" s="425"/>
      <c r="I24" s="425"/>
      <c r="J24" s="425"/>
      <c r="K24" s="425"/>
      <c r="L24" s="425"/>
      <c r="M24" s="425"/>
    </row>
    <row r="25" customFormat="false" ht="15.75" hidden="false" customHeight="true" outlineLevel="0" collapsed="false">
      <c r="A25" s="428" t="s">
        <v>442</v>
      </c>
      <c r="F25" s="425"/>
      <c r="G25" s="435" t="str">
        <f aca="false">INFORMACION!D23</f>
        <v>Instituto Costarricense de Electricidad</v>
      </c>
      <c r="H25" s="435"/>
      <c r="I25" s="435"/>
      <c r="J25" s="435"/>
      <c r="K25" s="435"/>
      <c r="L25" s="435"/>
      <c r="M25" s="435"/>
      <c r="N25" s="435"/>
      <c r="O25" s="435"/>
      <c r="P25" s="435"/>
      <c r="Q25" s="435"/>
      <c r="R25" s="435"/>
    </row>
    <row r="26" customFormat="false" ht="15.75" hidden="false" customHeight="true" outlineLevel="0" collapsed="false">
      <c r="A26" s="430"/>
      <c r="F26" s="425"/>
      <c r="G26" s="425"/>
      <c r="H26" s="436"/>
      <c r="I26" s="436"/>
      <c r="J26" s="436"/>
      <c r="K26" s="436"/>
      <c r="L26" s="436"/>
      <c r="M26" s="437"/>
      <c r="N26" s="437"/>
      <c r="O26" s="437"/>
      <c r="P26" s="437"/>
    </row>
    <row r="27" customFormat="false" ht="15.75" hidden="false" customHeight="true" outlineLevel="0" collapsed="false">
      <c r="A27" s="434"/>
      <c r="F27" s="425"/>
      <c r="G27" s="436"/>
      <c r="H27" s="436"/>
      <c r="I27" s="436"/>
      <c r="J27" s="436"/>
      <c r="K27" s="436"/>
      <c r="L27" s="436"/>
      <c r="M27" s="437"/>
    </row>
    <row r="28" customFormat="false" ht="15.75" hidden="false" customHeight="true" outlineLevel="0" collapsed="false">
      <c r="A28" s="426" t="s">
        <v>447</v>
      </c>
      <c r="F28" s="425"/>
      <c r="G28" s="438" t="str">
        <f aca="false">INFORMACION!D26</f>
        <v>Laboratoro de Dimensional del ICE, Plantel ICE en Colima,             Tibás, San José, Costa Rica</v>
      </c>
      <c r="H28" s="438"/>
      <c r="I28" s="438"/>
      <c r="J28" s="438"/>
      <c r="K28" s="438"/>
      <c r="L28" s="438"/>
      <c r="M28" s="438"/>
      <c r="N28" s="438"/>
      <c r="O28" s="438"/>
      <c r="P28" s="438"/>
      <c r="Q28" s="438"/>
      <c r="R28" s="438"/>
    </row>
    <row r="29" customFormat="false" ht="15.75" hidden="false" customHeight="true" outlineLevel="0" collapsed="false">
      <c r="A29" s="430"/>
      <c r="G29" s="438"/>
      <c r="H29" s="438"/>
      <c r="I29" s="438"/>
      <c r="J29" s="438"/>
      <c r="K29" s="438"/>
      <c r="L29" s="438"/>
      <c r="M29" s="438"/>
      <c r="N29" s="438"/>
      <c r="O29" s="438"/>
      <c r="P29" s="438"/>
      <c r="Q29" s="438"/>
      <c r="R29" s="438"/>
    </row>
    <row r="30" customFormat="false" ht="15.75" hidden="false" customHeight="true" outlineLevel="0" collapsed="false">
      <c r="A30" s="434"/>
      <c r="G30" s="437"/>
      <c r="H30" s="437"/>
      <c r="I30" s="437"/>
      <c r="J30" s="437"/>
      <c r="K30" s="437"/>
      <c r="L30" s="437"/>
      <c r="M30" s="437"/>
      <c r="O30" s="439"/>
      <c r="P30" s="439"/>
    </row>
    <row r="31" customFormat="false" ht="15.75" hidden="false" customHeight="true" outlineLevel="0" collapsed="false">
      <c r="A31" s="426" t="s">
        <v>441</v>
      </c>
      <c r="G31" s="435" t="n">
        <f aca="false">'conversion datos'!L8</f>
        <v>0</v>
      </c>
      <c r="H31" s="435"/>
      <c r="I31" s="435"/>
      <c r="J31" s="435"/>
      <c r="K31" s="435"/>
      <c r="L31" s="435"/>
      <c r="M31" s="435"/>
      <c r="N31" s="435"/>
      <c r="O31" s="435"/>
      <c r="P31" s="435"/>
      <c r="Q31" s="435"/>
      <c r="R31" s="435"/>
    </row>
    <row r="32" customFormat="false" ht="15.75" hidden="false" customHeight="true" outlineLevel="0" collapsed="false">
      <c r="A32" s="430"/>
    </row>
    <row r="33" customFormat="false" ht="15.75" hidden="false" customHeight="true" outlineLevel="0" collapsed="false">
      <c r="A33" s="434"/>
      <c r="G33" s="429"/>
    </row>
    <row r="34" customFormat="false" ht="15.75" hidden="false" customHeight="true" outlineLevel="0" collapsed="false">
      <c r="A34" s="430" t="s">
        <v>546</v>
      </c>
      <c r="G34" s="440" t="s">
        <v>547</v>
      </c>
      <c r="H34" s="440"/>
      <c r="I34" s="440"/>
      <c r="J34" s="440"/>
      <c r="K34" s="440"/>
      <c r="L34" s="440"/>
      <c r="M34" s="440"/>
      <c r="N34" s="440"/>
      <c r="O34" s="440"/>
      <c r="P34" s="440"/>
      <c r="Q34" s="440"/>
      <c r="R34" s="440"/>
    </row>
    <row r="35" customFormat="false" ht="15.75" hidden="false" customHeight="true" outlineLevel="0" collapsed="false">
      <c r="A35" s="430"/>
      <c r="G35" s="425"/>
    </row>
    <row r="37" customFormat="false" ht="15.75" hidden="false" customHeight="true" outlineLevel="0" collapsed="false">
      <c r="A37" s="441"/>
      <c r="B37" s="441"/>
      <c r="C37" s="441"/>
      <c r="D37" s="441"/>
      <c r="E37" s="441"/>
      <c r="F37" s="441"/>
      <c r="G37" s="441"/>
      <c r="H37" s="441"/>
      <c r="K37" s="441"/>
      <c r="L37" s="441"/>
      <c r="M37" s="441"/>
      <c r="N37" s="441"/>
      <c r="O37" s="441"/>
      <c r="P37" s="441"/>
      <c r="Q37" s="441"/>
      <c r="R37" s="441"/>
    </row>
    <row r="38" customFormat="false" ht="15.75" hidden="false" customHeight="true" outlineLevel="0" collapsed="false">
      <c r="A38" s="441"/>
      <c r="B38" s="441"/>
      <c r="C38" s="441"/>
      <c r="D38" s="441"/>
      <c r="E38" s="441"/>
      <c r="F38" s="441"/>
      <c r="G38" s="441"/>
      <c r="H38" s="441"/>
      <c r="K38" s="441"/>
      <c r="L38" s="441"/>
      <c r="M38" s="441"/>
      <c r="N38" s="441"/>
      <c r="O38" s="441"/>
      <c r="P38" s="441"/>
      <c r="Q38" s="441"/>
      <c r="R38" s="441"/>
    </row>
    <row r="39" customFormat="false" ht="15.75" hidden="false" customHeight="true" outlineLevel="0" collapsed="false">
      <c r="A39" s="441"/>
      <c r="B39" s="441"/>
      <c r="C39" s="441"/>
      <c r="D39" s="441"/>
      <c r="E39" s="441"/>
      <c r="F39" s="441"/>
      <c r="G39" s="441"/>
      <c r="H39" s="441"/>
      <c r="K39" s="441"/>
      <c r="L39" s="441"/>
      <c r="M39" s="441"/>
      <c r="N39" s="441"/>
      <c r="O39" s="441"/>
      <c r="P39" s="441"/>
      <c r="Q39" s="441"/>
      <c r="R39" s="441"/>
    </row>
    <row r="40" customFormat="false" ht="15.75" hidden="false" customHeight="true" outlineLevel="0" collapsed="false">
      <c r="A40" s="441"/>
      <c r="B40" s="441"/>
      <c r="C40" s="441"/>
      <c r="D40" s="441"/>
      <c r="E40" s="441"/>
      <c r="F40" s="441"/>
      <c r="G40" s="441"/>
      <c r="H40" s="441"/>
      <c r="K40" s="441"/>
      <c r="L40" s="441"/>
      <c r="M40" s="441"/>
      <c r="N40" s="441"/>
      <c r="O40" s="441"/>
      <c r="P40" s="441"/>
      <c r="Q40" s="441"/>
      <c r="R40" s="441"/>
    </row>
    <row r="41" customFormat="false" ht="15.75" hidden="false" customHeight="true" outlineLevel="0" collapsed="false">
      <c r="A41" s="442"/>
      <c r="B41" s="442"/>
      <c r="C41" s="442"/>
      <c r="D41" s="442"/>
      <c r="E41" s="442"/>
      <c r="F41" s="442"/>
      <c r="G41" s="442"/>
      <c r="H41" s="442"/>
      <c r="K41" s="442"/>
      <c r="L41" s="442"/>
      <c r="M41" s="442"/>
      <c r="N41" s="442"/>
      <c r="O41" s="442"/>
      <c r="P41" s="442"/>
      <c r="Q41" s="442"/>
      <c r="R41" s="442"/>
    </row>
    <row r="42" customFormat="false" ht="15.75" hidden="false" customHeight="true" outlineLevel="0" collapsed="false">
      <c r="A42" s="443" t="str">
        <f aca="false">'conversion datos'!L28</f>
        <v>Luis Diego Guzman Guillen</v>
      </c>
      <c r="B42" s="443"/>
      <c r="C42" s="443"/>
      <c r="D42" s="443"/>
      <c r="E42" s="443"/>
      <c r="F42" s="443"/>
      <c r="G42" s="443"/>
      <c r="H42" s="443"/>
      <c r="I42" s="444"/>
      <c r="J42" s="445"/>
      <c r="K42" s="446" t="str">
        <f aca="false">'conversion datos'!L27</f>
        <v>Leonardo Rojas Rapso</v>
      </c>
      <c r="L42" s="446"/>
      <c r="M42" s="446"/>
      <c r="N42" s="446"/>
      <c r="O42" s="446"/>
      <c r="P42" s="446"/>
      <c r="Q42" s="446"/>
      <c r="R42" s="446"/>
    </row>
    <row r="43" customFormat="false" ht="15.75" hidden="false" customHeight="true" outlineLevel="0" collapsed="false">
      <c r="A43" s="447" t="s">
        <v>548</v>
      </c>
      <c r="B43" s="447"/>
      <c r="C43" s="447"/>
      <c r="D43" s="447"/>
      <c r="E43" s="447"/>
      <c r="F43" s="447"/>
      <c r="G43" s="447"/>
      <c r="H43" s="447"/>
      <c r="I43" s="444"/>
      <c r="J43" s="448"/>
      <c r="K43" s="447" t="s">
        <v>549</v>
      </c>
      <c r="L43" s="447"/>
      <c r="M43" s="447"/>
      <c r="N43" s="447"/>
      <c r="O43" s="447"/>
      <c r="P43" s="447"/>
      <c r="Q43" s="447"/>
      <c r="R43" s="447"/>
    </row>
    <row r="44" customFormat="false" ht="15.75" hidden="false" customHeight="true" outlineLevel="0" collapsed="false">
      <c r="A44" s="448"/>
      <c r="B44" s="448"/>
      <c r="C44" s="448"/>
      <c r="D44" s="448"/>
      <c r="E44" s="448"/>
      <c r="F44" s="448"/>
      <c r="G44" s="448"/>
      <c r="H44" s="448"/>
      <c r="I44" s="444"/>
      <c r="J44" s="448"/>
      <c r="K44" s="448"/>
      <c r="L44" s="448"/>
      <c r="M44" s="448"/>
      <c r="N44" s="448"/>
      <c r="O44" s="448"/>
      <c r="P44" s="448"/>
      <c r="Q44" s="448"/>
      <c r="R44" s="448"/>
    </row>
    <row r="45" customFormat="false" ht="15.75" hidden="false" customHeight="true" outlineLevel="0" collapsed="false">
      <c r="G45" s="425"/>
      <c r="P45" s="449" t="s">
        <v>586</v>
      </c>
      <c r="Q45" s="449"/>
      <c r="R45" s="449"/>
    </row>
    <row r="46" customFormat="false" ht="15.75" hidden="false" customHeight="true" outlineLevel="0" collapsed="false">
      <c r="A46" s="450" t="s">
        <v>551</v>
      </c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  <c r="Q46" s="450"/>
      <c r="R46" s="450"/>
    </row>
    <row r="47" customFormat="false" ht="15.75" hidden="false" customHeight="true" outlineLevel="0" collapsed="false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  <c r="Q47" s="450"/>
      <c r="R47" s="450"/>
    </row>
    <row r="48" customFormat="false" ht="15.75" hidden="false" customHeight="true" outlineLevel="0" collapsed="false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  <c r="Q48" s="450"/>
      <c r="R48" s="450"/>
    </row>
    <row r="49" customFormat="false" ht="15.75" hidden="false" customHeight="true" outlineLevel="0" collapsed="false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  <c r="Q49" s="450"/>
      <c r="R49" s="450"/>
    </row>
    <row r="51" customFormat="false" ht="15.75" hidden="false" customHeight="true" outlineLevel="0" collapsed="false">
      <c r="A51" s="451"/>
      <c r="M51" s="422" t="str">
        <f aca="false">M2</f>
        <v>LCM 03890122</v>
      </c>
      <c r="N51" s="422"/>
      <c r="O51" s="422"/>
      <c r="P51" s="422"/>
      <c r="Q51" s="422"/>
      <c r="R51" s="422"/>
    </row>
    <row r="52" customFormat="false" ht="15.75" hidden="false" customHeight="true" outlineLevel="0" collapsed="false">
      <c r="M52" s="422"/>
      <c r="N52" s="422"/>
      <c r="O52" s="422"/>
      <c r="P52" s="422"/>
      <c r="Q52" s="422"/>
      <c r="R52" s="422"/>
    </row>
    <row r="53" customFormat="false" ht="15.75" hidden="false" customHeight="true" outlineLevel="0" collapsed="false">
      <c r="M53" s="422"/>
      <c r="N53" s="422"/>
      <c r="O53" s="422"/>
      <c r="P53" s="422"/>
      <c r="Q53" s="422"/>
      <c r="R53" s="422"/>
    </row>
    <row r="55" customFormat="false" ht="15.75" hidden="false" customHeight="true" outlineLevel="0" collapsed="false">
      <c r="A55" s="452" t="s">
        <v>552</v>
      </c>
      <c r="B55" s="452"/>
      <c r="C55" s="452"/>
      <c r="D55" s="452"/>
      <c r="E55" s="452"/>
      <c r="F55" s="452"/>
      <c r="G55" s="452"/>
      <c r="H55" s="452"/>
      <c r="I55" s="452"/>
      <c r="J55" s="452"/>
      <c r="K55" s="452"/>
      <c r="L55" s="452"/>
      <c r="M55" s="452"/>
      <c r="N55" s="452"/>
      <c r="O55" s="452"/>
      <c r="P55" s="452"/>
      <c r="Q55" s="452"/>
      <c r="R55" s="452"/>
    </row>
    <row r="56" customFormat="false" ht="15.75" hidden="false" customHeight="true" outlineLevel="0" collapsed="false">
      <c r="A56" s="453" t="s">
        <v>553</v>
      </c>
      <c r="B56" s="453"/>
      <c r="C56" s="453"/>
      <c r="D56" s="453"/>
      <c r="E56" s="453"/>
      <c r="F56" s="453"/>
      <c r="G56" s="453"/>
      <c r="H56" s="453" t="s">
        <v>554</v>
      </c>
      <c r="I56" s="453"/>
      <c r="J56" s="453"/>
      <c r="K56" s="453"/>
      <c r="L56" s="453"/>
      <c r="M56" s="453" t="s">
        <v>555</v>
      </c>
      <c r="N56" s="453"/>
      <c r="O56" s="453"/>
      <c r="P56" s="453"/>
      <c r="Q56" s="453"/>
      <c r="R56" s="453"/>
    </row>
    <row r="57" customFormat="false" ht="15.75" hidden="false" customHeight="true" outlineLevel="0" collapsed="false">
      <c r="A57" s="454" t="str">
        <f aca="false">CONCATENATE(INFORMACION!H59,", ","grado ",INFORMACION!H60,", Marca ",INFORMACION!H58)</f>
        <v>Bloques Patrón de Cerámica de 0,5 mm a 100 mm, grado 00 ó K, Marca TESA</v>
      </c>
      <c r="B57" s="454"/>
      <c r="C57" s="454"/>
      <c r="D57" s="454"/>
      <c r="E57" s="454"/>
      <c r="F57" s="454"/>
      <c r="G57" s="454"/>
      <c r="H57" s="454" t="str">
        <f aca="false">CONCATENATE(INFORMACION!H64," / ",INFORMACION!H65)</f>
        <v>70057T / 707014</v>
      </c>
      <c r="I57" s="454"/>
      <c r="J57" s="454"/>
      <c r="K57" s="454"/>
      <c r="L57" s="454"/>
      <c r="M57" s="454" t="str">
        <f aca="false">CONCATENATE(INFORMACION!H63,", ",INFORMACION!H55,", ",IF(INFORMACION!H63="CENAM","México",IF(INFORMACION!H63="LACOMET","Costa Rica","NMI ")))</f>
        <v>CENAM, CNM-CC-740-579/2015, México</v>
      </c>
      <c r="N57" s="454"/>
      <c r="O57" s="454"/>
      <c r="P57" s="454"/>
      <c r="Q57" s="454"/>
      <c r="R57" s="454"/>
    </row>
    <row r="58" customFormat="false" ht="15.75" hidden="false" customHeight="true" outlineLevel="0" collapsed="false">
      <c r="A58" s="454"/>
      <c r="B58" s="454"/>
      <c r="C58" s="454"/>
      <c r="D58" s="454"/>
      <c r="E58" s="454"/>
      <c r="F58" s="454"/>
      <c r="G58" s="454"/>
      <c r="H58" s="454"/>
      <c r="I58" s="454"/>
      <c r="J58" s="454"/>
      <c r="K58" s="454"/>
      <c r="L58" s="454"/>
      <c r="M58" s="454"/>
      <c r="N58" s="454"/>
      <c r="O58" s="454"/>
      <c r="P58" s="454"/>
      <c r="Q58" s="454"/>
      <c r="R58" s="454"/>
    </row>
    <row r="59" customFormat="false" ht="15.75" hidden="false" customHeight="true" outlineLevel="0" collapsed="false">
      <c r="A59" s="454"/>
      <c r="B59" s="454"/>
      <c r="C59" s="454"/>
      <c r="D59" s="454"/>
      <c r="E59" s="454"/>
      <c r="F59" s="454"/>
      <c r="G59" s="454"/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</row>
    <row r="60" customFormat="false" ht="15.75" hidden="false" customHeight="true" outlineLevel="0" collapsed="false">
      <c r="A60" s="454" t="str">
        <f aca="false">CONCATENATE(INFORMACION!A66,", Marca ",INFORMACION!H71)</f>
        <v>Comparador de bloques, Marca TESA</v>
      </c>
      <c r="B60" s="454"/>
      <c r="C60" s="454"/>
      <c r="D60" s="454"/>
      <c r="E60" s="454"/>
      <c r="F60" s="454"/>
      <c r="G60" s="454"/>
      <c r="H60" s="454" t="str">
        <f aca="false">CONCATENATE(INFORMACION!H75," / ",INFORMACION!H76)</f>
        <v>181100 / 706755</v>
      </c>
      <c r="I60" s="454"/>
      <c r="J60" s="454"/>
      <c r="K60" s="454"/>
      <c r="L60" s="454"/>
      <c r="M60" s="454" t="str">
        <f aca="false">CONCATENATE(INFORMACION!H68,", ",IF(INFORMACION!H74="CENAM","México",IF(INFORMACION!H74="LCM","                    Costa Rica","NMI ")))</f>
        <v>LACOMET 800116,                     Costa Rica</v>
      </c>
      <c r="N60" s="454"/>
      <c r="O60" s="454"/>
      <c r="P60" s="454"/>
      <c r="Q60" s="454"/>
      <c r="R60" s="454"/>
    </row>
    <row r="61" customFormat="false" ht="15.75" hidden="false" customHeight="true" outlineLevel="0" collapsed="false">
      <c r="A61" s="454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</row>
    <row r="62" customFormat="false" ht="15.75" hidden="false" customHeight="true" outlineLevel="0" collapsed="false">
      <c r="A62" s="454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</row>
    <row r="63" customFormat="false" ht="9" hidden="false" customHeight="true" outlineLevel="0" collapsed="false">
      <c r="B63" s="455"/>
      <c r="C63" s="455"/>
      <c r="D63" s="456"/>
      <c r="E63" s="455"/>
      <c r="G63" s="455"/>
    </row>
    <row r="64" customFormat="false" ht="15.75" hidden="false" customHeight="true" outlineLevel="0" collapsed="false">
      <c r="B64" s="457" t="s">
        <v>556</v>
      </c>
      <c r="C64" s="457"/>
      <c r="D64" s="457"/>
      <c r="E64" s="457"/>
      <c r="F64" s="457"/>
      <c r="G64" s="457"/>
      <c r="H64" s="457"/>
      <c r="I64" s="457"/>
      <c r="J64" s="457"/>
      <c r="K64" s="457"/>
      <c r="L64" s="457"/>
      <c r="M64" s="457"/>
      <c r="N64" s="457"/>
      <c r="O64" s="457"/>
      <c r="P64" s="457"/>
      <c r="Q64" s="457"/>
    </row>
    <row r="65" customFormat="false" ht="15.75" hidden="false" customHeight="true" outlineLevel="0" collapsed="false">
      <c r="B65" s="458" t="s">
        <v>557</v>
      </c>
      <c r="C65" s="458"/>
      <c r="D65" s="458"/>
      <c r="E65" s="458"/>
      <c r="F65" s="505" t="s">
        <v>587</v>
      </c>
      <c r="G65" s="505"/>
      <c r="H65" s="505"/>
      <c r="I65" s="505"/>
      <c r="J65" s="505"/>
      <c r="K65" s="506" t="s">
        <v>559</v>
      </c>
      <c r="L65" s="506"/>
      <c r="M65" s="506"/>
      <c r="N65" s="458" t="s">
        <v>560</v>
      </c>
      <c r="O65" s="458"/>
      <c r="P65" s="458"/>
      <c r="Q65" s="458"/>
    </row>
    <row r="66" customFormat="false" ht="26.25" hidden="false" customHeight="true" outlineLevel="0" collapsed="false">
      <c r="B66" s="458"/>
      <c r="C66" s="458"/>
      <c r="D66" s="458"/>
      <c r="E66" s="458"/>
      <c r="F66" s="505"/>
      <c r="G66" s="505"/>
      <c r="H66" s="505"/>
      <c r="I66" s="505"/>
      <c r="J66" s="505"/>
      <c r="K66" s="506"/>
      <c r="L66" s="506"/>
      <c r="M66" s="506"/>
      <c r="N66" s="458"/>
      <c r="O66" s="458"/>
      <c r="P66" s="458"/>
      <c r="Q66" s="458"/>
    </row>
    <row r="67" customFormat="false" ht="33" hidden="false" customHeight="true" outlineLevel="0" collapsed="false">
      <c r="B67" s="458"/>
      <c r="C67" s="458"/>
      <c r="D67" s="458"/>
      <c r="E67" s="458"/>
      <c r="F67" s="507" t="s">
        <v>588</v>
      </c>
      <c r="G67" s="507"/>
      <c r="H67" s="458" t="s">
        <v>1</v>
      </c>
      <c r="I67" s="458"/>
      <c r="J67" s="458"/>
      <c r="K67" s="506"/>
      <c r="L67" s="506"/>
      <c r="M67" s="506"/>
      <c r="N67" s="458"/>
      <c r="O67" s="458"/>
      <c r="P67" s="458"/>
      <c r="Q67" s="458"/>
    </row>
    <row r="68" customFormat="false" ht="15.75" hidden="false" customHeight="true" outlineLevel="0" collapsed="false">
      <c r="B68" s="460" t="e">
        <f aca="false">'CERTIFICADO 1'!B6</f>
        <v>#VALUE!</v>
      </c>
      <c r="C68" s="460"/>
      <c r="D68" s="460"/>
      <c r="E68" s="460"/>
      <c r="F68" s="508" t="e">
        <f aca="false">H68*0.039370078740158</f>
        <v>#VALUE!</v>
      </c>
      <c r="G68" s="508"/>
      <c r="H68" s="509" t="str">
        <f aca="false">'CERTIFICADO 1'!C6</f>
        <v/>
      </c>
      <c r="I68" s="509"/>
      <c r="J68" s="509"/>
      <c r="K68" s="462" t="str">
        <f aca="false">'CERTIFICADO 1'!D6</f>
        <v/>
      </c>
      <c r="L68" s="462"/>
      <c r="M68" s="462"/>
      <c r="N68" s="463" t="str">
        <f aca="false">'CERTIFICADO 1'!F6</f>
        <v/>
      </c>
      <c r="O68" s="463"/>
      <c r="P68" s="463"/>
      <c r="Q68" s="463"/>
    </row>
    <row r="69" customFormat="false" ht="15.75" hidden="false" customHeight="true" outlineLevel="0" collapsed="false">
      <c r="B69" s="460" t="e">
        <f aca="false">'CERTIFICADO 1'!B7</f>
        <v>#VALUE!</v>
      </c>
      <c r="C69" s="460"/>
      <c r="D69" s="460"/>
      <c r="E69" s="460"/>
      <c r="F69" s="509" t="e">
        <f aca="false">H69*0.039370078740158</f>
        <v>#VALUE!</v>
      </c>
      <c r="G69" s="509"/>
      <c r="H69" s="509" t="str">
        <f aca="false">'CERTIFICADO 1'!C7</f>
        <v/>
      </c>
      <c r="I69" s="509"/>
      <c r="J69" s="509"/>
      <c r="K69" s="462" t="str">
        <f aca="false">'CERTIFICADO 1'!D7</f>
        <v/>
      </c>
      <c r="L69" s="462"/>
      <c r="M69" s="462"/>
      <c r="N69" s="463" t="str">
        <f aca="false">'CERTIFICADO 1'!F7</f>
        <v/>
      </c>
      <c r="O69" s="463"/>
      <c r="P69" s="463"/>
      <c r="Q69" s="463"/>
    </row>
    <row r="70" customFormat="false" ht="15.75" hidden="false" customHeight="true" outlineLevel="0" collapsed="false">
      <c r="B70" s="460" t="e">
        <f aca="false">'CERTIFICADO 1'!B8</f>
        <v>#VALUE!</v>
      </c>
      <c r="C70" s="460"/>
      <c r="D70" s="460"/>
      <c r="E70" s="460"/>
      <c r="F70" s="510" t="e">
        <f aca="false">H70*0.039370078740158</f>
        <v>#VALUE!</v>
      </c>
      <c r="G70" s="510"/>
      <c r="H70" s="510" t="str">
        <f aca="false">'CERTIFICADO 1'!C8</f>
        <v/>
      </c>
      <c r="I70" s="510"/>
      <c r="J70" s="510"/>
      <c r="K70" s="511" t="str">
        <f aca="false">'CERTIFICADO 1'!D8</f>
        <v/>
      </c>
      <c r="L70" s="511"/>
      <c r="M70" s="511"/>
      <c r="N70" s="512" t="str">
        <f aca="false">'CERTIFICADO 1'!F8</f>
        <v/>
      </c>
      <c r="O70" s="512"/>
      <c r="P70" s="512"/>
      <c r="Q70" s="512"/>
    </row>
    <row r="71" customFormat="false" ht="15.75" hidden="false" customHeight="true" outlineLevel="0" collapsed="false">
      <c r="B71" s="1" t="e">
        <f aca="false">'CERTIFICADO 1'!B9</f>
        <v>#VALUE!</v>
      </c>
      <c r="F71" s="1" t="str">
        <f aca="false">'CERTIFICADO 1'!C9</f>
        <v/>
      </c>
      <c r="J71" s="1" t="str">
        <f aca="false">'CERTIFICADO 1'!D9</f>
        <v/>
      </c>
      <c r="M71" s="1" t="str">
        <f aca="false">'CERTIFICADO 1'!F9</f>
        <v/>
      </c>
    </row>
    <row r="72" customFormat="false" ht="15.75" hidden="false" customHeight="true" outlineLevel="0" collapsed="false">
      <c r="A72" s="430" t="s">
        <v>26</v>
      </c>
      <c r="C72" s="444"/>
      <c r="D72" s="455"/>
      <c r="E72" s="455"/>
      <c r="F72" s="455"/>
      <c r="G72" s="455"/>
      <c r="H72" s="455"/>
      <c r="I72" s="467"/>
      <c r="J72" s="467"/>
      <c r="K72" s="467"/>
      <c r="L72" s="467"/>
      <c r="M72" s="467"/>
    </row>
    <row r="73" customFormat="false" ht="15.75" hidden="false" customHeight="true" outlineLevel="0" collapsed="false">
      <c r="A73" s="468"/>
      <c r="B73" s="469" t="s">
        <v>563</v>
      </c>
      <c r="C73" s="470" t="s">
        <v>564</v>
      </c>
      <c r="D73" s="470"/>
      <c r="E73" s="470"/>
      <c r="F73" s="470"/>
      <c r="G73" s="470"/>
      <c r="H73" s="470"/>
      <c r="I73" s="470"/>
      <c r="J73" s="470"/>
      <c r="K73" s="470"/>
      <c r="L73" s="470"/>
      <c r="M73" s="470"/>
      <c r="N73" s="470"/>
      <c r="O73" s="470"/>
      <c r="P73" s="470"/>
      <c r="Q73" s="470"/>
      <c r="R73" s="470"/>
    </row>
    <row r="74" customFormat="false" ht="15.75" hidden="false" customHeight="true" outlineLevel="0" collapsed="false">
      <c r="A74" s="468"/>
      <c r="B74" s="469"/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</row>
    <row r="75" customFormat="false" ht="15.75" hidden="false" customHeight="true" outlineLevel="0" collapsed="false">
      <c r="A75" s="468"/>
      <c r="B75" s="469"/>
      <c r="C75" s="470"/>
      <c r="D75" s="470"/>
      <c r="E75" s="470"/>
      <c r="F75" s="470"/>
      <c r="G75" s="470"/>
      <c r="H75" s="470"/>
      <c r="I75" s="470"/>
      <c r="J75" s="470"/>
      <c r="K75" s="470"/>
      <c r="L75" s="470"/>
      <c r="M75" s="470"/>
      <c r="N75" s="470"/>
      <c r="O75" s="470"/>
      <c r="P75" s="470"/>
      <c r="Q75" s="470"/>
      <c r="R75" s="470"/>
    </row>
    <row r="76" customFormat="false" ht="15.75" hidden="false" customHeight="true" outlineLevel="0" collapsed="false">
      <c r="A76" s="468"/>
      <c r="B76" s="469"/>
      <c r="C76" s="470"/>
      <c r="D76" s="470"/>
      <c r="E76" s="470"/>
      <c r="F76" s="470"/>
      <c r="G76" s="470"/>
      <c r="H76" s="470"/>
      <c r="I76" s="470"/>
      <c r="J76" s="470"/>
      <c r="K76" s="470"/>
      <c r="L76" s="470"/>
      <c r="M76" s="470"/>
      <c r="N76" s="470"/>
      <c r="O76" s="470"/>
      <c r="P76" s="470"/>
      <c r="Q76" s="470"/>
      <c r="R76" s="470"/>
    </row>
    <row r="77" customFormat="false" ht="15.75" hidden="false" customHeight="true" outlineLevel="0" collapsed="false">
      <c r="A77" s="468"/>
      <c r="B77" s="469"/>
      <c r="C77" s="470"/>
      <c r="D77" s="470"/>
      <c r="E77" s="470"/>
      <c r="F77" s="470"/>
      <c r="G77" s="470"/>
      <c r="H77" s="470"/>
      <c r="I77" s="470"/>
      <c r="J77" s="470"/>
      <c r="K77" s="470"/>
      <c r="L77" s="470"/>
      <c r="M77" s="470"/>
      <c r="N77" s="470"/>
      <c r="O77" s="470"/>
      <c r="P77" s="470"/>
      <c r="Q77" s="470"/>
      <c r="R77" s="470"/>
    </row>
    <row r="78" customFormat="false" ht="15.75" hidden="false" customHeight="true" outlineLevel="0" collapsed="false">
      <c r="B78" s="469" t="s">
        <v>563</v>
      </c>
      <c r="C78" s="471" t="s">
        <v>565</v>
      </c>
      <c r="D78" s="471"/>
      <c r="E78" s="471"/>
      <c r="F78" s="471"/>
      <c r="G78" s="471"/>
      <c r="H78" s="471"/>
      <c r="I78" s="471"/>
      <c r="J78" s="471"/>
      <c r="K78" s="471"/>
      <c r="L78" s="471"/>
      <c r="M78" s="471"/>
      <c r="N78" s="471"/>
      <c r="O78" s="471"/>
      <c r="P78" s="471"/>
      <c r="Q78" s="471"/>
      <c r="R78" s="471"/>
    </row>
    <row r="79" customFormat="false" ht="15.75" hidden="false" customHeight="true" outlineLevel="0" collapsed="false">
      <c r="B79" s="469" t="s">
        <v>563</v>
      </c>
      <c r="C79" s="470" t="s">
        <v>566</v>
      </c>
      <c r="D79" s="470"/>
      <c r="E79" s="470"/>
      <c r="F79" s="470"/>
      <c r="G79" s="470"/>
      <c r="H79" s="470"/>
      <c r="I79" s="470"/>
      <c r="J79" s="470"/>
      <c r="K79" s="470"/>
      <c r="L79" s="470"/>
      <c r="M79" s="470"/>
      <c r="N79" s="470"/>
      <c r="O79" s="470"/>
      <c r="P79" s="470"/>
      <c r="Q79" s="470"/>
      <c r="R79" s="470"/>
    </row>
    <row r="80" customFormat="false" ht="15.75" hidden="false" customHeight="true" outlineLevel="0" collapsed="false">
      <c r="B80" s="469"/>
      <c r="C80" s="470"/>
      <c r="D80" s="470"/>
      <c r="E80" s="470"/>
      <c r="F80" s="470"/>
      <c r="G80" s="470"/>
      <c r="H80" s="470"/>
      <c r="I80" s="470"/>
      <c r="J80" s="470"/>
      <c r="K80" s="470"/>
      <c r="L80" s="470"/>
      <c r="M80" s="470"/>
      <c r="N80" s="470"/>
      <c r="O80" s="470"/>
      <c r="P80" s="470"/>
      <c r="Q80" s="470"/>
      <c r="R80" s="470"/>
    </row>
    <row r="81" customFormat="false" ht="15.75" hidden="false" customHeight="true" outlineLevel="0" collapsed="false">
      <c r="A81" s="468"/>
      <c r="B81" s="469" t="s">
        <v>563</v>
      </c>
      <c r="C81" s="470" t="s">
        <v>567</v>
      </c>
      <c r="D81" s="470"/>
      <c r="E81" s="470"/>
      <c r="F81" s="470"/>
      <c r="G81" s="470"/>
      <c r="H81" s="470"/>
      <c r="I81" s="470"/>
      <c r="J81" s="470"/>
      <c r="K81" s="470"/>
      <c r="L81" s="470"/>
      <c r="M81" s="470"/>
      <c r="N81" s="470"/>
      <c r="O81" s="470"/>
      <c r="P81" s="470"/>
      <c r="Q81" s="470"/>
      <c r="R81" s="470"/>
    </row>
    <row r="82" customFormat="false" ht="15.75" hidden="false" customHeight="true" outlineLevel="0" collapsed="false">
      <c r="A82" s="468"/>
      <c r="B82" s="469"/>
      <c r="C82" s="470"/>
      <c r="D82" s="470"/>
      <c r="E82" s="470"/>
      <c r="F82" s="470"/>
      <c r="G82" s="470"/>
      <c r="H82" s="470"/>
      <c r="I82" s="470"/>
      <c r="J82" s="470"/>
      <c r="K82" s="470"/>
      <c r="L82" s="470"/>
      <c r="M82" s="470"/>
      <c r="N82" s="470"/>
      <c r="O82" s="470"/>
      <c r="P82" s="470"/>
      <c r="Q82" s="470"/>
      <c r="R82" s="470"/>
    </row>
    <row r="83" customFormat="false" ht="15.75" hidden="false" customHeight="true" outlineLevel="0" collapsed="false">
      <c r="A83" s="468"/>
      <c r="B83" s="469" t="s">
        <v>563</v>
      </c>
      <c r="C83" s="470" t="s">
        <v>568</v>
      </c>
      <c r="D83" s="470"/>
      <c r="E83" s="470"/>
      <c r="F83" s="470"/>
      <c r="G83" s="470"/>
      <c r="H83" s="470"/>
      <c r="I83" s="470"/>
      <c r="J83" s="470"/>
      <c r="K83" s="470"/>
      <c r="L83" s="470"/>
      <c r="M83" s="470"/>
      <c r="N83" s="470"/>
      <c r="O83" s="470"/>
      <c r="P83" s="470"/>
      <c r="Q83" s="470"/>
      <c r="R83" s="470"/>
    </row>
    <row r="84" customFormat="false" ht="15.75" hidden="false" customHeight="true" outlineLevel="0" collapsed="false">
      <c r="A84" s="468"/>
      <c r="B84" s="468"/>
      <c r="C84" s="470"/>
      <c r="D84" s="470"/>
      <c r="E84" s="470"/>
      <c r="F84" s="470"/>
      <c r="G84" s="470"/>
      <c r="H84" s="470"/>
      <c r="I84" s="470"/>
      <c r="J84" s="470"/>
      <c r="K84" s="470"/>
      <c r="L84" s="470"/>
      <c r="M84" s="470"/>
      <c r="N84" s="470"/>
      <c r="O84" s="470"/>
      <c r="P84" s="470"/>
      <c r="Q84" s="470"/>
      <c r="R84" s="470"/>
    </row>
    <row r="85" customFormat="false" ht="15.75" hidden="false" customHeight="true" outlineLevel="0" collapsed="false">
      <c r="A85" s="468"/>
      <c r="B85" s="469" t="s">
        <v>563</v>
      </c>
      <c r="C85" s="472" t="s">
        <v>569</v>
      </c>
      <c r="D85" s="472"/>
      <c r="E85" s="473"/>
      <c r="F85" s="473"/>
      <c r="G85" s="473"/>
      <c r="I85" s="472"/>
      <c r="J85" s="472"/>
      <c r="K85" s="472"/>
      <c r="L85" s="472"/>
      <c r="N85" s="472"/>
      <c r="O85" s="472"/>
      <c r="P85" s="474"/>
      <c r="Q85" s="474"/>
    </row>
    <row r="86" customFormat="false" ht="15.75" hidden="false" customHeight="true" outlineLevel="0" collapsed="false">
      <c r="A86" s="468"/>
      <c r="B86" s="468"/>
      <c r="E86" s="475" t="e">
        <f aca="false">CONCATENATE("Temperatura: ","(",ROUND(INFORMACION!I44,1)," ± ",ROUND(INFORMACION!K44,1),") °C")</f>
        <v>#VALUE!</v>
      </c>
      <c r="F86" s="475"/>
      <c r="G86" s="475"/>
      <c r="H86" s="475"/>
      <c r="I86" s="475"/>
      <c r="K86" s="476" t="e">
        <f aca="false">CONCATENATE("Humedad relativa: ","(",ROUND(INFORMACION!I47,1)," ± ",ROUND(INFORMACION!K47,1),") %")</f>
        <v>#VALUE!</v>
      </c>
      <c r="L86" s="476"/>
      <c r="M86" s="476"/>
      <c r="N86" s="476"/>
      <c r="O86" s="476"/>
      <c r="P86" s="476"/>
    </row>
    <row r="87" customFormat="false" ht="15.75" hidden="false" customHeight="true" outlineLevel="0" collapsed="false">
      <c r="A87" s="468"/>
      <c r="B87" s="468"/>
      <c r="D87" s="472"/>
      <c r="E87" s="472"/>
      <c r="F87" s="477" t="s">
        <v>570</v>
      </c>
      <c r="G87" s="477"/>
      <c r="H87" s="477"/>
      <c r="I87" s="477"/>
      <c r="J87" s="477"/>
      <c r="K87" s="477"/>
      <c r="L87" s="477"/>
      <c r="M87" s="477"/>
      <c r="N87" s="477"/>
      <c r="O87" s="477"/>
      <c r="P87" s="472"/>
      <c r="Q87" s="472"/>
    </row>
    <row r="88" customFormat="false" ht="15.75" hidden="false" customHeight="true" outlineLevel="0" collapsed="false">
      <c r="G88" s="478"/>
      <c r="H88" s="478"/>
      <c r="I88" s="478"/>
      <c r="J88" s="478"/>
      <c r="K88" s="478"/>
      <c r="L88" s="478"/>
      <c r="M88" s="478"/>
      <c r="N88" s="478"/>
      <c r="O88" s="478"/>
      <c r="P88" s="478"/>
      <c r="Q88" s="478"/>
      <c r="R88" s="478"/>
    </row>
    <row r="89" customFormat="false" ht="15.75" hidden="false" customHeight="true" outlineLevel="0" collapsed="false">
      <c r="A89" s="479" t="s">
        <v>571</v>
      </c>
      <c r="B89" s="479"/>
      <c r="C89" s="479"/>
      <c r="D89" s="479"/>
      <c r="E89" s="479"/>
      <c r="F89" s="480" t="s">
        <v>572</v>
      </c>
      <c r="G89" s="480"/>
      <c r="H89" s="480"/>
      <c r="I89" s="480"/>
      <c r="J89" s="480"/>
      <c r="K89" s="480"/>
      <c r="L89" s="480"/>
      <c r="M89" s="480"/>
      <c r="N89" s="480"/>
      <c r="O89" s="480"/>
      <c r="P89" s="480"/>
      <c r="Q89" s="480"/>
      <c r="R89" s="480"/>
    </row>
    <row r="90" customFormat="false" ht="15.75" hidden="false" customHeight="true" outlineLevel="0" collapsed="false">
      <c r="F90" s="480"/>
      <c r="G90" s="480"/>
      <c r="H90" s="480"/>
      <c r="I90" s="480"/>
      <c r="J90" s="480"/>
      <c r="K90" s="480"/>
      <c r="L90" s="480"/>
      <c r="M90" s="480"/>
      <c r="N90" s="480"/>
      <c r="O90" s="480"/>
      <c r="P90" s="480"/>
      <c r="Q90" s="480"/>
      <c r="R90" s="480"/>
    </row>
    <row r="91" customFormat="false" ht="15.75" hidden="false" customHeight="true" outlineLevel="0" collapsed="false">
      <c r="A91" s="481" t="s">
        <v>573</v>
      </c>
      <c r="B91" s="481"/>
      <c r="C91" s="481"/>
      <c r="D91" s="481"/>
      <c r="E91" s="481"/>
      <c r="F91" s="481"/>
      <c r="G91" s="481"/>
      <c r="H91" s="481"/>
      <c r="I91" s="481"/>
      <c r="J91" s="481"/>
      <c r="K91" s="481"/>
      <c r="L91" s="481"/>
      <c r="M91" s="481"/>
      <c r="N91" s="481"/>
      <c r="O91" s="481"/>
      <c r="P91" s="481"/>
      <c r="Q91" s="481"/>
      <c r="R91" s="481"/>
    </row>
    <row r="93" customFormat="false" ht="15.75" hidden="false" customHeight="true" outlineLevel="0" collapsed="false">
      <c r="A93" s="464"/>
      <c r="B93" s="464"/>
      <c r="C93" s="464"/>
      <c r="D93" s="464"/>
      <c r="E93" s="464"/>
      <c r="F93" s="464"/>
      <c r="G93" s="464"/>
      <c r="H93" s="464"/>
      <c r="I93" s="464"/>
      <c r="J93" s="464"/>
      <c r="K93" s="464"/>
      <c r="L93" s="464"/>
      <c r="M93" s="464"/>
      <c r="N93" s="464"/>
      <c r="O93" s="464"/>
      <c r="P93" s="449" t="s">
        <v>589</v>
      </c>
      <c r="Q93" s="449"/>
      <c r="R93" s="449"/>
    </row>
    <row r="94" customFormat="false" ht="15.75" hidden="false" customHeight="true" outlineLevel="0" collapsed="false">
      <c r="A94" s="450" t="s">
        <v>551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0"/>
      <c r="M94" s="450"/>
      <c r="N94" s="450"/>
      <c r="O94" s="450"/>
      <c r="P94" s="450"/>
      <c r="Q94" s="450"/>
      <c r="R94" s="450"/>
    </row>
    <row r="95" customFormat="false" ht="15.75" hidden="false" customHeight="true" outlineLevel="0" collapsed="false">
      <c r="A95" s="450"/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0"/>
      <c r="M95" s="450"/>
      <c r="N95" s="450"/>
      <c r="O95" s="450"/>
      <c r="P95" s="450"/>
      <c r="Q95" s="450"/>
      <c r="R95" s="450"/>
    </row>
    <row r="96" customFormat="false" ht="15.75" hidden="false" customHeight="true" outlineLevel="0" collapsed="false">
      <c r="A96" s="450"/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0"/>
      <c r="M96" s="450"/>
      <c r="N96" s="450"/>
      <c r="O96" s="450"/>
      <c r="P96" s="450"/>
      <c r="Q96" s="450"/>
      <c r="R96" s="450"/>
    </row>
    <row r="97" customFormat="false" ht="15.75" hidden="false" customHeight="true" outlineLevel="0" collapsed="false">
      <c r="A97" s="450"/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</row>
    <row r="99" customFormat="false" ht="15.75" hidden="false" customHeight="true" outlineLevel="0" collapsed="false">
      <c r="A99" s="451"/>
      <c r="M99" s="422" t="str">
        <f aca="false">M51</f>
        <v>LCM 03890122</v>
      </c>
      <c r="N99" s="422"/>
      <c r="O99" s="422"/>
      <c r="P99" s="422"/>
      <c r="Q99" s="422"/>
      <c r="R99" s="422"/>
    </row>
    <row r="100" customFormat="false" ht="15.75" hidden="false" customHeight="true" outlineLevel="0" collapsed="false">
      <c r="M100" s="422"/>
      <c r="N100" s="422"/>
      <c r="O100" s="422"/>
      <c r="P100" s="422"/>
      <c r="Q100" s="422"/>
      <c r="R100" s="422"/>
    </row>
    <row r="101" customFormat="false" ht="15.75" hidden="false" customHeight="true" outlineLevel="0" collapsed="false">
      <c r="M101" s="422"/>
      <c r="N101" s="422"/>
      <c r="O101" s="422"/>
      <c r="P101" s="422"/>
      <c r="Q101" s="422"/>
      <c r="R101" s="422"/>
    </row>
    <row r="102" customFormat="false" ht="15.75" hidden="false" customHeight="true" outlineLevel="0" collapsed="false">
      <c r="M102" s="465"/>
      <c r="N102" s="465"/>
      <c r="O102" s="465"/>
      <c r="P102" s="465"/>
      <c r="Q102" s="465"/>
      <c r="R102" s="465"/>
    </row>
    <row r="103" customFormat="false" ht="15.75" hidden="true" customHeight="true" outlineLevel="0" collapsed="false">
      <c r="A103" s="468"/>
      <c r="B103" s="468"/>
      <c r="C103" s="470"/>
      <c r="D103" s="470"/>
      <c r="E103" s="470"/>
      <c r="F103" s="470"/>
      <c r="G103" s="470"/>
      <c r="H103" s="470"/>
      <c r="I103" s="470"/>
      <c r="J103" s="470"/>
      <c r="K103" s="470"/>
      <c r="L103" s="470"/>
      <c r="M103" s="470"/>
      <c r="N103" s="470"/>
      <c r="O103" s="470"/>
      <c r="P103" s="470"/>
      <c r="Q103" s="470"/>
      <c r="R103" s="470"/>
    </row>
    <row r="111" customFormat="false" ht="15.75" hidden="false" customHeight="true" outlineLevel="0" collapsed="false">
      <c r="A111" s="513"/>
      <c r="B111" s="513"/>
      <c r="C111" s="513"/>
      <c r="D111" s="513"/>
      <c r="E111" s="513"/>
      <c r="F111" s="513"/>
      <c r="G111" s="513"/>
      <c r="H111" s="513"/>
      <c r="I111" s="513"/>
      <c r="J111" s="513"/>
      <c r="K111" s="513"/>
      <c r="L111" s="513"/>
      <c r="M111" s="513"/>
      <c r="N111" s="513"/>
      <c r="O111" s="513"/>
      <c r="P111" s="513"/>
      <c r="Q111" s="513"/>
      <c r="R111" s="513"/>
    </row>
    <row r="112" customFormat="false" ht="15.75" hidden="false" customHeight="true" outlineLevel="0" collapsed="false">
      <c r="A112" s="513"/>
      <c r="B112" s="513"/>
      <c r="C112" s="513"/>
      <c r="D112" s="513"/>
      <c r="E112" s="513"/>
      <c r="F112" s="513"/>
      <c r="G112" s="513"/>
      <c r="H112" s="513"/>
      <c r="I112" s="513"/>
      <c r="J112" s="513"/>
      <c r="K112" s="513"/>
      <c r="L112" s="513"/>
      <c r="M112" s="513"/>
      <c r="N112" s="513"/>
      <c r="O112" s="513"/>
      <c r="P112" s="513"/>
      <c r="Q112" s="513"/>
      <c r="R112" s="513"/>
    </row>
    <row r="113" customFormat="false" ht="15.75" hidden="false" customHeight="true" outlineLevel="0" collapsed="false">
      <c r="A113" s="513"/>
      <c r="B113" s="513"/>
      <c r="C113" s="513"/>
      <c r="D113" s="513"/>
      <c r="E113" s="513"/>
      <c r="F113" s="513"/>
      <c r="G113" s="513"/>
      <c r="H113" s="513"/>
      <c r="I113" s="513"/>
      <c r="J113" s="513"/>
      <c r="K113" s="513"/>
      <c r="L113" s="513"/>
      <c r="M113" s="513"/>
      <c r="N113" s="513"/>
      <c r="O113" s="513"/>
      <c r="P113" s="513"/>
      <c r="Q113" s="513"/>
      <c r="R113" s="513"/>
    </row>
    <row r="114" customFormat="false" ht="15.75" hidden="false" customHeight="true" outlineLevel="0" collapsed="false">
      <c r="A114" s="513"/>
      <c r="B114" s="513"/>
      <c r="C114" s="513"/>
      <c r="D114" s="513"/>
      <c r="E114" s="513"/>
      <c r="F114" s="513"/>
      <c r="G114" s="513"/>
      <c r="H114" s="513"/>
      <c r="I114" s="513"/>
      <c r="J114" s="513"/>
      <c r="K114" s="513"/>
      <c r="L114" s="513"/>
      <c r="M114" s="513"/>
      <c r="N114" s="513"/>
      <c r="O114" s="513"/>
      <c r="P114" s="513"/>
      <c r="Q114" s="513"/>
      <c r="R114" s="513"/>
    </row>
    <row r="115" customFormat="false" ht="15.75" hidden="false" customHeight="true" outlineLevel="0" collapsed="false">
      <c r="A115" s="513"/>
      <c r="B115" s="513"/>
      <c r="C115" s="513"/>
      <c r="D115" s="513"/>
      <c r="E115" s="513"/>
      <c r="F115" s="513"/>
      <c r="G115" s="513"/>
      <c r="H115" s="513"/>
      <c r="I115" s="513"/>
      <c r="J115" s="513"/>
      <c r="K115" s="513"/>
      <c r="L115" s="513"/>
      <c r="M115" s="513"/>
      <c r="N115" s="513"/>
      <c r="O115" s="513"/>
      <c r="P115" s="513"/>
      <c r="Q115" s="513"/>
      <c r="R115" s="513"/>
    </row>
    <row r="116" customFormat="false" ht="15.75" hidden="false" customHeight="true" outlineLevel="0" collapsed="false">
      <c r="A116" s="513"/>
      <c r="B116" s="513"/>
      <c r="C116" s="513"/>
      <c r="D116" s="513"/>
      <c r="E116" s="513"/>
      <c r="F116" s="513"/>
      <c r="G116" s="513"/>
      <c r="H116" s="513"/>
      <c r="I116" s="513"/>
      <c r="J116" s="513"/>
      <c r="K116" s="513"/>
      <c r="L116" s="513"/>
      <c r="M116" s="513"/>
      <c r="N116" s="513"/>
      <c r="O116" s="513"/>
      <c r="P116" s="513"/>
      <c r="Q116" s="513"/>
      <c r="R116" s="513"/>
    </row>
    <row r="117" customFormat="false" ht="15.75" hidden="false" customHeight="true" outlineLevel="0" collapsed="false">
      <c r="A117" s="513"/>
      <c r="B117" s="513"/>
      <c r="C117" s="513"/>
      <c r="D117" s="513"/>
      <c r="E117" s="513"/>
      <c r="F117" s="513"/>
      <c r="G117" s="513"/>
      <c r="H117" s="513"/>
      <c r="I117" s="513"/>
      <c r="J117" s="513"/>
      <c r="K117" s="513"/>
      <c r="L117" s="513"/>
      <c r="M117" s="513"/>
      <c r="N117" s="513"/>
      <c r="O117" s="513"/>
      <c r="P117" s="513"/>
      <c r="Q117" s="513"/>
      <c r="R117" s="513"/>
    </row>
    <row r="118" customFormat="false" ht="15.75" hidden="false" customHeight="true" outlineLevel="0" collapsed="false">
      <c r="A118" s="513"/>
      <c r="B118" s="513"/>
      <c r="C118" s="513"/>
      <c r="D118" s="513"/>
      <c r="E118" s="513"/>
      <c r="F118" s="513"/>
      <c r="G118" s="513"/>
      <c r="H118" s="513"/>
      <c r="I118" s="513"/>
      <c r="J118" s="513"/>
      <c r="K118" s="513"/>
      <c r="L118" s="513"/>
      <c r="M118" s="513"/>
      <c r="N118" s="513"/>
      <c r="O118" s="513"/>
      <c r="P118" s="513"/>
      <c r="Q118" s="513"/>
      <c r="R118" s="513"/>
    </row>
    <row r="119" customFormat="false" ht="15.75" hidden="false" customHeight="true" outlineLevel="0" collapsed="false">
      <c r="A119" s="513"/>
      <c r="B119" s="513"/>
      <c r="C119" s="513"/>
      <c r="D119" s="513"/>
      <c r="E119" s="513"/>
      <c r="F119" s="513"/>
      <c r="G119" s="513"/>
      <c r="H119" s="513"/>
      <c r="I119" s="513"/>
      <c r="J119" s="513"/>
      <c r="K119" s="513"/>
      <c r="L119" s="513"/>
      <c r="M119" s="513"/>
      <c r="N119" s="513"/>
      <c r="O119" s="513"/>
      <c r="P119" s="513"/>
      <c r="Q119" s="513"/>
      <c r="R119" s="513"/>
    </row>
    <row r="120" customFormat="false" ht="15.75" hidden="false" customHeight="true" outlineLevel="0" collapsed="false">
      <c r="A120" s="513"/>
      <c r="B120" s="513"/>
      <c r="C120" s="513"/>
      <c r="D120" s="513"/>
      <c r="E120" s="513"/>
      <c r="F120" s="513"/>
      <c r="G120" s="513"/>
      <c r="H120" s="513"/>
      <c r="I120" s="513"/>
      <c r="J120" s="513"/>
      <c r="K120" s="513"/>
      <c r="L120" s="513"/>
      <c r="M120" s="513"/>
      <c r="N120" s="513"/>
      <c r="O120" s="513"/>
      <c r="P120" s="513"/>
      <c r="Q120" s="513"/>
      <c r="R120" s="513"/>
    </row>
    <row r="121" customFormat="false" ht="15.75" hidden="false" customHeight="true" outlineLevel="0" collapsed="false">
      <c r="A121" s="513"/>
      <c r="B121" s="513"/>
      <c r="C121" s="513"/>
      <c r="D121" s="513"/>
      <c r="E121" s="513"/>
      <c r="F121" s="513"/>
      <c r="G121" s="513"/>
      <c r="H121" s="513"/>
      <c r="I121" s="513"/>
      <c r="J121" s="513"/>
      <c r="K121" s="513"/>
      <c r="L121" s="513"/>
      <c r="M121" s="513"/>
      <c r="N121" s="513"/>
      <c r="O121" s="513"/>
      <c r="P121" s="513"/>
      <c r="Q121" s="513"/>
      <c r="R121" s="513"/>
    </row>
    <row r="122" customFormat="false" ht="15.75" hidden="false" customHeight="true" outlineLevel="0" collapsed="false">
      <c r="A122" s="513"/>
      <c r="B122" s="513"/>
      <c r="C122" s="513"/>
      <c r="D122" s="513"/>
      <c r="E122" s="513"/>
      <c r="F122" s="513"/>
      <c r="G122" s="513"/>
      <c r="H122" s="513"/>
      <c r="I122" s="513"/>
      <c r="J122" s="513"/>
      <c r="K122" s="513"/>
      <c r="L122" s="513"/>
      <c r="M122" s="513"/>
      <c r="N122" s="513"/>
      <c r="O122" s="513"/>
      <c r="P122" s="513"/>
      <c r="Q122" s="513"/>
      <c r="R122" s="513"/>
    </row>
    <row r="123" customFormat="false" ht="15.75" hidden="false" customHeight="true" outlineLevel="0" collapsed="false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R123" s="513"/>
    </row>
    <row r="124" customFormat="false" ht="15.75" hidden="false" customHeight="true" outlineLevel="0" collapsed="false">
      <c r="A124" s="513"/>
      <c r="B124" s="513"/>
      <c r="C124" s="513"/>
      <c r="D124" s="513"/>
      <c r="E124" s="513"/>
      <c r="F124" s="513"/>
      <c r="G124" s="513"/>
      <c r="H124" s="513"/>
      <c r="I124" s="513"/>
      <c r="J124" s="513"/>
      <c r="K124" s="513"/>
      <c r="L124" s="513"/>
      <c r="M124" s="513"/>
      <c r="N124" s="513"/>
      <c r="O124" s="513"/>
      <c r="P124" s="513"/>
      <c r="Q124" s="513"/>
      <c r="R124" s="513"/>
    </row>
    <row r="125" customFormat="false" ht="15.75" hidden="false" customHeight="true" outlineLevel="0" collapsed="false">
      <c r="A125" s="513"/>
      <c r="B125" s="513"/>
      <c r="C125" s="513"/>
      <c r="D125" s="513"/>
      <c r="E125" s="513"/>
      <c r="F125" s="513"/>
      <c r="G125" s="513"/>
      <c r="H125" s="513"/>
      <c r="I125" s="513"/>
      <c r="J125" s="513"/>
      <c r="K125" s="513"/>
      <c r="L125" s="513"/>
      <c r="M125" s="513"/>
      <c r="N125" s="513"/>
      <c r="O125" s="513"/>
      <c r="P125" s="513"/>
      <c r="Q125" s="513"/>
      <c r="R125" s="513"/>
    </row>
    <row r="126" customFormat="false" ht="15.75" hidden="false" customHeight="true" outlineLevel="0" collapsed="false">
      <c r="A126" s="513"/>
      <c r="B126" s="513"/>
      <c r="C126" s="513"/>
      <c r="D126" s="513"/>
      <c r="E126" s="513"/>
      <c r="F126" s="513"/>
      <c r="G126" s="513"/>
      <c r="H126" s="513"/>
      <c r="I126" s="513"/>
      <c r="J126" s="513"/>
      <c r="K126" s="513"/>
      <c r="L126" s="513"/>
      <c r="M126" s="513"/>
      <c r="N126" s="513"/>
      <c r="O126" s="513"/>
      <c r="P126" s="513"/>
      <c r="Q126" s="513"/>
      <c r="R126" s="513"/>
    </row>
    <row r="127" customFormat="false" ht="15.75" hidden="false" customHeight="true" outlineLevel="0" collapsed="false">
      <c r="A127" s="513"/>
      <c r="B127" s="513"/>
      <c r="C127" s="513"/>
      <c r="D127" s="513"/>
      <c r="E127" s="513"/>
      <c r="F127" s="513"/>
      <c r="G127" s="513"/>
      <c r="H127" s="513"/>
      <c r="I127" s="513"/>
      <c r="J127" s="513"/>
      <c r="K127" s="513"/>
      <c r="L127" s="513"/>
      <c r="M127" s="513"/>
      <c r="N127" s="513"/>
      <c r="O127" s="513"/>
      <c r="P127" s="513"/>
      <c r="Q127" s="513"/>
      <c r="R127" s="513"/>
    </row>
    <row r="128" customFormat="false" ht="15.75" hidden="false" customHeight="true" outlineLevel="0" collapsed="false">
      <c r="A128" s="513"/>
      <c r="B128" s="513"/>
      <c r="C128" s="513"/>
      <c r="D128" s="513"/>
      <c r="E128" s="513"/>
      <c r="F128" s="513"/>
      <c r="G128" s="513"/>
      <c r="H128" s="513"/>
      <c r="I128" s="513"/>
      <c r="J128" s="513"/>
      <c r="K128" s="513"/>
      <c r="L128" s="513"/>
      <c r="M128" s="513"/>
      <c r="N128" s="513"/>
      <c r="O128" s="513"/>
      <c r="P128" s="513"/>
      <c r="Q128" s="513"/>
      <c r="R128" s="513"/>
    </row>
    <row r="129" customFormat="false" ht="15.75" hidden="false" customHeight="true" outlineLevel="0" collapsed="false">
      <c r="A129" s="513"/>
      <c r="B129" s="513"/>
      <c r="C129" s="513"/>
      <c r="D129" s="513"/>
      <c r="E129" s="513"/>
      <c r="F129" s="513"/>
      <c r="G129" s="513"/>
      <c r="H129" s="513"/>
      <c r="I129" s="513"/>
      <c r="J129" s="513"/>
      <c r="K129" s="513"/>
      <c r="L129" s="513"/>
      <c r="M129" s="513"/>
      <c r="N129" s="513"/>
      <c r="O129" s="513"/>
      <c r="P129" s="513"/>
      <c r="Q129" s="513"/>
      <c r="R129" s="513"/>
    </row>
    <row r="130" customFormat="false" ht="15.75" hidden="false" customHeight="true" outlineLevel="0" collapsed="false">
      <c r="A130" s="513"/>
      <c r="B130" s="513"/>
      <c r="C130" s="513"/>
      <c r="D130" s="513"/>
      <c r="E130" s="513"/>
      <c r="F130" s="513"/>
      <c r="G130" s="513"/>
      <c r="H130" s="513"/>
      <c r="I130" s="513"/>
      <c r="J130" s="513"/>
      <c r="K130" s="513"/>
      <c r="L130" s="513"/>
      <c r="M130" s="513"/>
      <c r="N130" s="513"/>
      <c r="O130" s="513"/>
      <c r="P130" s="513"/>
      <c r="Q130" s="513"/>
      <c r="R130" s="513"/>
    </row>
    <row r="131" customFormat="false" ht="15.75" hidden="false" customHeight="true" outlineLevel="0" collapsed="false">
      <c r="A131" s="513"/>
      <c r="B131" s="513"/>
      <c r="C131" s="513"/>
      <c r="D131" s="513"/>
      <c r="E131" s="513"/>
      <c r="F131" s="513"/>
      <c r="G131" s="513"/>
      <c r="H131" s="513"/>
      <c r="I131" s="513"/>
      <c r="J131" s="513"/>
      <c r="K131" s="513"/>
      <c r="L131" s="513"/>
      <c r="M131" s="513"/>
      <c r="N131" s="513"/>
      <c r="O131" s="513"/>
      <c r="P131" s="513"/>
      <c r="Q131" s="513"/>
      <c r="R131" s="513"/>
    </row>
    <row r="132" customFormat="false" ht="15.75" hidden="false" customHeight="true" outlineLevel="0" collapsed="false">
      <c r="B132" s="466"/>
      <c r="C132" s="466"/>
      <c r="D132" s="466"/>
      <c r="E132" s="466"/>
      <c r="F132" s="467"/>
      <c r="G132" s="467"/>
      <c r="H132" s="467"/>
      <c r="I132" s="467"/>
      <c r="J132" s="467"/>
      <c r="K132" s="467"/>
      <c r="L132" s="467"/>
      <c r="M132" s="467"/>
      <c r="N132" s="467"/>
      <c r="O132" s="467"/>
      <c r="P132" s="467"/>
      <c r="Q132" s="467"/>
    </row>
    <row r="133" customFormat="false" ht="15.75" hidden="false" customHeight="true" outlineLevel="0" collapsed="false">
      <c r="B133" s="466"/>
      <c r="C133" s="466"/>
      <c r="D133" s="466"/>
      <c r="E133" s="466"/>
      <c r="F133" s="467"/>
      <c r="G133" s="467"/>
      <c r="H133" s="467"/>
      <c r="I133" s="467"/>
      <c r="J133" s="467"/>
      <c r="K133" s="467"/>
      <c r="L133" s="467"/>
      <c r="M133" s="467"/>
      <c r="N133" s="467"/>
      <c r="O133" s="467"/>
      <c r="P133" s="467"/>
      <c r="Q133" s="467"/>
    </row>
    <row r="134" customFormat="false" ht="15.75" hidden="false" customHeight="true" outlineLevel="0" collapsed="false">
      <c r="B134" s="466"/>
      <c r="C134" s="466"/>
      <c r="D134" s="466"/>
      <c r="E134" s="466"/>
      <c r="F134" s="467"/>
      <c r="G134" s="467"/>
      <c r="H134" s="467"/>
      <c r="I134" s="467"/>
      <c r="J134" s="467"/>
      <c r="K134" s="467"/>
      <c r="L134" s="467"/>
      <c r="M134" s="467"/>
      <c r="N134" s="467"/>
      <c r="O134" s="467"/>
      <c r="P134" s="467"/>
      <c r="Q134" s="467"/>
    </row>
    <row r="135" customFormat="false" ht="15.75" hidden="false" customHeight="true" outlineLevel="0" collapsed="false">
      <c r="B135" s="466"/>
      <c r="C135" s="466"/>
      <c r="D135" s="466"/>
      <c r="E135" s="466"/>
      <c r="F135" s="467"/>
      <c r="G135" s="467"/>
      <c r="H135" s="467"/>
      <c r="I135" s="467"/>
      <c r="J135" s="467"/>
      <c r="K135" s="467"/>
      <c r="L135" s="467"/>
      <c r="M135" s="467"/>
      <c r="N135" s="467"/>
      <c r="O135" s="467"/>
      <c r="P135" s="467"/>
      <c r="Q135" s="467"/>
    </row>
    <row r="136" customFormat="false" ht="15.75" hidden="false" customHeight="true" outlineLevel="0" collapsed="false">
      <c r="B136" s="466"/>
      <c r="C136" s="466"/>
      <c r="D136" s="466"/>
      <c r="E136" s="466"/>
      <c r="F136" s="467"/>
      <c r="G136" s="467"/>
      <c r="H136" s="467"/>
      <c r="I136" s="467"/>
      <c r="J136" s="467"/>
      <c r="K136" s="467"/>
      <c r="L136" s="467"/>
      <c r="M136" s="467"/>
      <c r="N136" s="467"/>
      <c r="O136" s="467"/>
      <c r="P136" s="467"/>
      <c r="Q136" s="467"/>
    </row>
    <row r="137" customFormat="false" ht="15.75" hidden="false" customHeight="true" outlineLevel="0" collapsed="false">
      <c r="B137" s="466"/>
      <c r="C137" s="466"/>
      <c r="D137" s="466"/>
      <c r="E137" s="466"/>
      <c r="F137" s="467"/>
      <c r="G137" s="467"/>
      <c r="H137" s="467"/>
      <c r="I137" s="467"/>
      <c r="J137" s="467"/>
      <c r="K137" s="467"/>
      <c r="L137" s="467"/>
      <c r="M137" s="467"/>
      <c r="N137" s="467"/>
      <c r="O137" s="467"/>
      <c r="P137" s="467"/>
      <c r="Q137" s="467"/>
    </row>
    <row r="138" customFormat="false" ht="15.75" hidden="false" customHeight="true" outlineLevel="0" collapsed="false">
      <c r="B138" s="466"/>
      <c r="C138" s="466"/>
      <c r="D138" s="466"/>
      <c r="E138" s="466"/>
      <c r="F138" s="467"/>
      <c r="G138" s="467"/>
      <c r="H138" s="467"/>
      <c r="I138" s="467"/>
      <c r="J138" s="467"/>
      <c r="K138" s="467"/>
      <c r="L138" s="467"/>
      <c r="M138" s="467"/>
      <c r="N138" s="467"/>
      <c r="O138" s="467"/>
      <c r="P138" s="467"/>
      <c r="Q138" s="467"/>
    </row>
    <row r="139" customFormat="false" ht="15.75" hidden="false" customHeight="true" outlineLevel="0" collapsed="false">
      <c r="B139" s="466"/>
      <c r="C139" s="466"/>
      <c r="D139" s="466"/>
      <c r="E139" s="466"/>
      <c r="F139" s="467"/>
      <c r="G139" s="467"/>
      <c r="H139" s="467"/>
      <c r="I139" s="467"/>
      <c r="J139" s="467"/>
      <c r="K139" s="467"/>
      <c r="L139" s="467"/>
      <c r="M139" s="467"/>
      <c r="N139" s="467"/>
      <c r="O139" s="467"/>
      <c r="P139" s="467"/>
      <c r="Q139" s="467"/>
    </row>
    <row r="140" customFormat="false" ht="14.25" hidden="false" customHeight="true" outlineLevel="0" collapsed="false">
      <c r="B140" s="466"/>
      <c r="C140" s="466"/>
      <c r="D140" s="466"/>
      <c r="E140" s="466"/>
      <c r="F140" s="467"/>
      <c r="G140" s="467"/>
      <c r="H140" s="467"/>
      <c r="I140" s="467"/>
      <c r="J140" s="467"/>
      <c r="K140" s="467"/>
      <c r="L140" s="467"/>
      <c r="M140" s="467"/>
      <c r="N140" s="467"/>
      <c r="O140" s="467"/>
      <c r="P140" s="467"/>
      <c r="Q140" s="467"/>
    </row>
    <row r="141" customFormat="false" ht="15.75" hidden="false" customHeight="true" outlineLevel="0" collapsed="false">
      <c r="B141" s="466"/>
      <c r="C141" s="466"/>
      <c r="D141" s="466"/>
      <c r="E141" s="466"/>
      <c r="F141" s="467"/>
      <c r="G141" s="467"/>
      <c r="H141" s="467"/>
      <c r="I141" s="467"/>
      <c r="J141" s="467"/>
      <c r="K141" s="467"/>
      <c r="L141" s="467"/>
      <c r="M141" s="467"/>
      <c r="N141" s="467"/>
      <c r="O141" s="467"/>
      <c r="P141" s="467"/>
      <c r="Q141" s="467"/>
    </row>
    <row r="142" customFormat="false" ht="15.75" hidden="false" customHeight="true" outlineLevel="0" collapsed="false">
      <c r="A142" s="464"/>
      <c r="B142" s="464"/>
      <c r="C142" s="464"/>
      <c r="D142" s="464"/>
      <c r="E142" s="464"/>
      <c r="F142" s="464"/>
      <c r="G142" s="464"/>
      <c r="H142" s="464"/>
      <c r="I142" s="464"/>
      <c r="J142" s="464"/>
      <c r="K142" s="464"/>
      <c r="L142" s="464"/>
      <c r="M142" s="464"/>
      <c r="N142" s="464"/>
      <c r="O142" s="464"/>
      <c r="P142" s="449" t="s">
        <v>574</v>
      </c>
      <c r="Q142" s="449"/>
      <c r="R142" s="449"/>
    </row>
    <row r="143" customFormat="false" ht="15.75" hidden="false" customHeight="true" outlineLevel="0" collapsed="false">
      <c r="A143" s="450" t="s">
        <v>551</v>
      </c>
      <c r="B143" s="450"/>
      <c r="C143" s="450"/>
      <c r="D143" s="450"/>
      <c r="E143" s="450"/>
      <c r="F143" s="450"/>
      <c r="G143" s="450"/>
      <c r="H143" s="450"/>
      <c r="I143" s="450"/>
      <c r="J143" s="450"/>
      <c r="K143" s="450"/>
      <c r="L143" s="450"/>
      <c r="M143" s="450"/>
      <c r="N143" s="450"/>
      <c r="O143" s="450"/>
      <c r="P143" s="450"/>
      <c r="Q143" s="450"/>
      <c r="R143" s="450"/>
    </row>
    <row r="144" customFormat="false" ht="15.75" hidden="false" customHeight="true" outlineLevel="0" collapsed="false">
      <c r="A144" s="450"/>
      <c r="B144" s="450"/>
      <c r="C144" s="450"/>
      <c r="D144" s="450"/>
      <c r="E144" s="450"/>
      <c r="F144" s="450"/>
      <c r="G144" s="450"/>
      <c r="H144" s="450"/>
      <c r="I144" s="450"/>
      <c r="J144" s="450"/>
      <c r="K144" s="450"/>
      <c r="L144" s="450"/>
      <c r="M144" s="450"/>
      <c r="N144" s="450"/>
      <c r="O144" s="450"/>
      <c r="P144" s="450"/>
      <c r="Q144" s="450"/>
      <c r="R144" s="450"/>
    </row>
    <row r="145" customFormat="false" ht="15.75" hidden="false" customHeight="true" outlineLevel="0" collapsed="false">
      <c r="A145" s="450"/>
      <c r="B145" s="450"/>
      <c r="C145" s="450"/>
      <c r="D145" s="450"/>
      <c r="E145" s="450"/>
      <c r="F145" s="450"/>
      <c r="G145" s="450"/>
      <c r="H145" s="450"/>
      <c r="I145" s="450"/>
      <c r="J145" s="450"/>
      <c r="K145" s="450"/>
      <c r="L145" s="450"/>
      <c r="M145" s="450"/>
      <c r="N145" s="450"/>
      <c r="O145" s="450"/>
      <c r="P145" s="450"/>
      <c r="Q145" s="450"/>
      <c r="R145" s="450"/>
    </row>
    <row r="146" customFormat="false" ht="15.75" hidden="false" customHeight="true" outlineLevel="0" collapsed="false">
      <c r="A146" s="450"/>
      <c r="B146" s="450"/>
      <c r="C146" s="450"/>
      <c r="D146" s="450"/>
      <c r="E146" s="450"/>
      <c r="F146" s="450"/>
      <c r="G146" s="450"/>
      <c r="H146" s="450"/>
      <c r="I146" s="450"/>
      <c r="J146" s="450"/>
      <c r="K146" s="450"/>
      <c r="L146" s="450"/>
      <c r="M146" s="450"/>
      <c r="N146" s="450"/>
      <c r="O146" s="450"/>
      <c r="P146" s="450"/>
      <c r="Q146" s="450"/>
      <c r="R146" s="450"/>
    </row>
    <row r="147" customFormat="false" ht="10.5" hidden="false" customHeight="true" outlineLevel="0" collapsed="false"/>
    <row r="187" customFormat="false" ht="15.75" hidden="false" customHeight="true" outlineLevel="0" collapsed="false">
      <c r="A187" s="464"/>
      <c r="B187" s="464"/>
      <c r="C187" s="464"/>
      <c r="D187" s="464"/>
      <c r="E187" s="464"/>
      <c r="F187" s="464"/>
      <c r="G187" s="464"/>
      <c r="H187" s="464"/>
      <c r="I187" s="464"/>
      <c r="J187" s="464"/>
      <c r="K187" s="464"/>
      <c r="L187" s="464"/>
      <c r="M187" s="464"/>
      <c r="N187" s="464"/>
      <c r="O187" s="464"/>
      <c r="P187" s="449" t="s">
        <v>575</v>
      </c>
      <c r="Q187" s="449"/>
      <c r="R187" s="449"/>
    </row>
    <row r="188" customFormat="false" ht="15.75" hidden="false" customHeight="true" outlineLevel="0" collapsed="false">
      <c r="A188" s="450" t="s">
        <v>551</v>
      </c>
      <c r="B188" s="450"/>
      <c r="C188" s="450"/>
      <c r="D188" s="450"/>
      <c r="E188" s="450"/>
      <c r="F188" s="450"/>
      <c r="G188" s="450"/>
      <c r="H188" s="450"/>
      <c r="I188" s="450"/>
      <c r="J188" s="450"/>
      <c r="K188" s="450"/>
      <c r="L188" s="450"/>
      <c r="M188" s="450"/>
      <c r="N188" s="450"/>
      <c r="O188" s="450"/>
      <c r="P188" s="450"/>
      <c r="Q188" s="450"/>
      <c r="R188" s="450"/>
    </row>
    <row r="189" customFormat="false" ht="15.75" hidden="false" customHeight="true" outlineLevel="0" collapsed="false">
      <c r="A189" s="450"/>
      <c r="B189" s="450"/>
      <c r="C189" s="450"/>
      <c r="D189" s="450"/>
      <c r="E189" s="450"/>
      <c r="F189" s="450"/>
      <c r="G189" s="450"/>
      <c r="H189" s="450"/>
      <c r="I189" s="450"/>
      <c r="J189" s="450"/>
      <c r="K189" s="450"/>
      <c r="L189" s="450"/>
      <c r="M189" s="450"/>
      <c r="N189" s="450"/>
      <c r="O189" s="450"/>
      <c r="P189" s="450"/>
      <c r="Q189" s="450"/>
      <c r="R189" s="450"/>
    </row>
    <row r="190" customFormat="false" ht="15.75" hidden="false" customHeight="true" outlineLevel="0" collapsed="false">
      <c r="A190" s="450"/>
      <c r="B190" s="450"/>
      <c r="C190" s="450"/>
      <c r="D190" s="450"/>
      <c r="E190" s="450"/>
      <c r="F190" s="450"/>
      <c r="G190" s="450"/>
      <c r="H190" s="450"/>
      <c r="I190" s="450"/>
      <c r="J190" s="450"/>
      <c r="K190" s="450"/>
      <c r="L190" s="450"/>
      <c r="M190" s="450"/>
      <c r="N190" s="450"/>
      <c r="O190" s="450"/>
      <c r="P190" s="450"/>
      <c r="Q190" s="450"/>
      <c r="R190" s="450"/>
    </row>
    <row r="191" customFormat="false" ht="15.75" hidden="false" customHeight="true" outlineLevel="0" collapsed="false">
      <c r="A191" s="450"/>
      <c r="B191" s="450"/>
      <c r="C191" s="450"/>
      <c r="D191" s="450"/>
      <c r="E191" s="450"/>
      <c r="F191" s="450"/>
      <c r="G191" s="450"/>
      <c r="H191" s="450"/>
      <c r="I191" s="450"/>
      <c r="J191" s="450"/>
      <c r="K191" s="450"/>
      <c r="L191" s="450"/>
      <c r="M191" s="450"/>
      <c r="N191" s="450"/>
      <c r="O191" s="450"/>
      <c r="P191" s="450"/>
      <c r="Q191" s="450"/>
      <c r="R191" s="450"/>
    </row>
  </sheetData>
  <mergeCells count="76">
    <mergeCell ref="M2:R4"/>
    <mergeCell ref="A6:R6"/>
    <mergeCell ref="A7:R7"/>
    <mergeCell ref="G10:R10"/>
    <mergeCell ref="G13:Q13"/>
    <mergeCell ref="G14:J14"/>
    <mergeCell ref="K14:M14"/>
    <mergeCell ref="G15:J15"/>
    <mergeCell ref="K15:M15"/>
    <mergeCell ref="G16:J16"/>
    <mergeCell ref="K16:M16"/>
    <mergeCell ref="G17:J17"/>
    <mergeCell ref="K17:M17"/>
    <mergeCell ref="G19:R19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A55:R55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4:Q64"/>
    <mergeCell ref="B65:E67"/>
    <mergeCell ref="F65:J66"/>
    <mergeCell ref="K65:M67"/>
    <mergeCell ref="N65:Q67"/>
    <mergeCell ref="F67:G67"/>
    <mergeCell ref="H67:J67"/>
    <mergeCell ref="B68:E68"/>
    <mergeCell ref="F68:G68"/>
    <mergeCell ref="H68:J68"/>
    <mergeCell ref="K68:M68"/>
    <mergeCell ref="N68:Q68"/>
    <mergeCell ref="B69:E69"/>
    <mergeCell ref="F69:G69"/>
    <mergeCell ref="H69:J69"/>
    <mergeCell ref="K69:M69"/>
    <mergeCell ref="N69:Q69"/>
    <mergeCell ref="B70:E70"/>
    <mergeCell ref="F70:G70"/>
    <mergeCell ref="H70:J70"/>
    <mergeCell ref="K70:M70"/>
    <mergeCell ref="N70:Q70"/>
    <mergeCell ref="C73:R77"/>
    <mergeCell ref="C78:R78"/>
    <mergeCell ref="C79:R80"/>
    <mergeCell ref="C81:R82"/>
    <mergeCell ref="C83:R84"/>
    <mergeCell ref="E86:I86"/>
    <mergeCell ref="K86:P86"/>
    <mergeCell ref="F87:O87"/>
    <mergeCell ref="F89:R90"/>
    <mergeCell ref="A91:R91"/>
    <mergeCell ref="P93:R93"/>
    <mergeCell ref="A94:R97"/>
    <mergeCell ref="M99:R101"/>
    <mergeCell ref="C103:R103"/>
    <mergeCell ref="P142:R142"/>
    <mergeCell ref="A143:R146"/>
    <mergeCell ref="P187:R187"/>
    <mergeCell ref="A188:R191"/>
  </mergeCells>
  <printOptions headings="false" gridLines="false" gridLinesSet="true" horizontalCentered="true" verticalCentered="true"/>
  <pageMargins left="0.236111111111111" right="0.236111111111111" top="0.196527777777778" bottom="0.196527777777778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49" man="true" max="16383" min="0"/>
  </rowBreak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BI1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0.59765625" defaultRowHeight="15" zeroHeight="false" outlineLevelRow="0" outlineLevelCol="0"/>
  <cols>
    <col collapsed="false" customWidth="true" hidden="false" outlineLevel="0" max="1" min="1" style="1" width="38.67"/>
    <col collapsed="false" customWidth="true" hidden="false" outlineLevel="0" max="2" min="2" style="1" width="37.33"/>
    <col collapsed="false" customWidth="true" hidden="false" outlineLevel="0" max="3" min="3" style="1" width="28"/>
    <col collapsed="false" customWidth="true" hidden="false" outlineLevel="0" max="4" min="4" style="1" width="44.83"/>
  </cols>
  <sheetData>
    <row r="1" customFormat="false" ht="24.75" hidden="false" customHeight="false" outlineLevel="0" collapsed="false">
      <c r="A1" s="514" t="s">
        <v>590</v>
      </c>
      <c r="B1" s="514"/>
      <c r="C1" s="2"/>
      <c r="D1" s="515" t="s">
        <v>591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customFormat="false" ht="15" hidden="false" customHeight="false" outlineLevel="0" collapsed="false">
      <c r="A2" s="516" t="s">
        <v>529</v>
      </c>
      <c r="B2" s="517" t="s">
        <v>592</v>
      </c>
      <c r="C2" s="2"/>
      <c r="D2" s="518" t="str">
        <f aca="false">A1</f>
        <v>Comparador de Bloques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customFormat="false" ht="15" hidden="false" customHeight="false" outlineLevel="0" collapsed="false">
      <c r="A3" s="519" t="s">
        <v>593</v>
      </c>
      <c r="B3" s="520" t="s">
        <v>594</v>
      </c>
      <c r="C3" s="2"/>
      <c r="D3" s="521" t="str">
        <f aca="false">A13</f>
        <v>Bloques Patrón de Cerámica de 0,05" a 4"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customFormat="false" ht="15" hidden="false" customHeight="false" outlineLevel="0" collapsed="false">
      <c r="A4" s="519" t="s">
        <v>531</v>
      </c>
      <c r="B4" s="522" t="n">
        <v>42584</v>
      </c>
      <c r="C4" s="2"/>
      <c r="D4" s="521" t="str">
        <f aca="false">A27</f>
        <v>Bloques Patrón de Cerámica de 0,5 mm a 100 mm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customFormat="false" ht="15" hidden="false" customHeight="false" outlineLevel="0" collapsed="false">
      <c r="A5" s="519" t="s">
        <v>532</v>
      </c>
      <c r="B5" s="522" t="n">
        <v>42950</v>
      </c>
      <c r="C5" s="2"/>
      <c r="D5" s="6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customFormat="false" ht="15" hidden="false" customHeight="false" outlineLevel="0" collapsed="false">
      <c r="A6" s="519" t="s">
        <v>533</v>
      </c>
      <c r="B6" s="520" t="s">
        <v>595</v>
      </c>
      <c r="C6" s="2"/>
      <c r="D6" s="64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customFormat="false" ht="15.75" hidden="false" customHeight="false" outlineLevel="0" collapsed="false">
      <c r="A7" s="519" t="s">
        <v>542</v>
      </c>
      <c r="B7" s="520" t="n">
        <v>0.035</v>
      </c>
      <c r="C7" s="2"/>
      <c r="D7" s="7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customFormat="false" ht="15" hidden="false" customHeight="false" outlineLevel="0" collapsed="false">
      <c r="A8" s="519" t="s">
        <v>537</v>
      </c>
      <c r="B8" s="520" t="s">
        <v>596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</row>
    <row r="9" customFormat="false" ht="15" hidden="false" customHeight="false" outlineLevel="0" collapsed="false">
      <c r="A9" s="519" t="s">
        <v>538</v>
      </c>
      <c r="B9" s="520" t="s">
        <v>592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</row>
    <row r="10" customFormat="false" ht="15" hidden="false" customHeight="false" outlineLevel="0" collapsed="false">
      <c r="A10" s="519" t="s">
        <v>539</v>
      </c>
      <c r="B10" s="520" t="n">
        <v>181100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</row>
    <row r="11" customFormat="false" ht="15.75" hidden="false" customHeight="false" outlineLevel="0" collapsed="false">
      <c r="A11" s="523" t="s">
        <v>540</v>
      </c>
      <c r="B11" s="524" t="n">
        <v>706755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customFormat="false" ht="15" hidden="false" customHeight="false" outlineLevel="0" collapsed="false">
      <c r="A12" s="525"/>
      <c r="B12" s="525"/>
      <c r="C12" s="526"/>
      <c r="D12" s="365"/>
      <c r="E12" s="365"/>
      <c r="F12" s="365"/>
      <c r="G12" s="365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</row>
    <row r="13" customFormat="false" ht="24.75" hidden="false" customHeight="false" outlineLevel="0" collapsed="false">
      <c r="A13" s="514" t="s">
        <v>597</v>
      </c>
      <c r="B13" s="514"/>
      <c r="C13" s="365"/>
      <c r="D13" s="365"/>
      <c r="E13" s="365"/>
      <c r="F13" s="365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customFormat="false" ht="15" hidden="false" customHeight="false" outlineLevel="0" collapsed="false">
      <c r="A14" s="516" t="s">
        <v>529</v>
      </c>
      <c r="B14" s="517" t="s">
        <v>592</v>
      </c>
      <c r="C14" s="365"/>
      <c r="D14" s="365"/>
      <c r="E14" s="365"/>
      <c r="F14" s="365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customFormat="false" ht="15" hidden="false" customHeight="false" outlineLevel="0" collapsed="false">
      <c r="A15" s="519" t="s">
        <v>593</v>
      </c>
      <c r="B15" s="520" t="s">
        <v>598</v>
      </c>
      <c r="C15" s="365"/>
      <c r="D15" s="365"/>
      <c r="E15" s="365"/>
      <c r="F15" s="365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customFormat="false" ht="15" hidden="false" customHeight="false" outlineLevel="0" collapsed="false">
      <c r="A16" s="519" t="s">
        <v>531</v>
      </c>
      <c r="B16" s="522" t="n">
        <v>43772</v>
      </c>
      <c r="C16" s="365"/>
      <c r="D16" s="365"/>
      <c r="E16" s="365"/>
      <c r="F16" s="365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customFormat="false" ht="15" hidden="false" customHeight="false" outlineLevel="0" collapsed="false">
      <c r="A17" s="519" t="s">
        <v>532</v>
      </c>
      <c r="B17" s="522" t="s">
        <v>599</v>
      </c>
      <c r="C17" s="365"/>
      <c r="D17" s="365"/>
      <c r="E17" s="365"/>
      <c r="F17" s="365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customFormat="false" ht="15" hidden="false" customHeight="false" outlineLevel="0" collapsed="false">
      <c r="A18" s="519" t="s">
        <v>533</v>
      </c>
      <c r="B18" s="520" t="s">
        <v>600</v>
      </c>
      <c r="C18" s="365"/>
      <c r="D18" s="365"/>
      <c r="E18" s="365"/>
      <c r="F18" s="365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customFormat="false" ht="15" hidden="false" customHeight="false" outlineLevel="0" collapsed="false">
      <c r="A19" s="519" t="s">
        <v>534</v>
      </c>
      <c r="B19" s="520" t="s">
        <v>460</v>
      </c>
      <c r="C19" s="365"/>
      <c r="D19" s="365"/>
      <c r="E19" s="365"/>
      <c r="F19" s="365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customFormat="false" ht="15" hidden="false" customHeight="false" outlineLevel="0" collapsed="false">
      <c r="A20" s="519" t="s">
        <v>535</v>
      </c>
      <c r="B20" s="527" t="s">
        <v>601</v>
      </c>
      <c r="C20" s="365"/>
      <c r="D20" s="365"/>
      <c r="E20" s="365"/>
      <c r="F20" s="365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  <row r="21" customFormat="false" ht="15" hidden="false" customHeight="false" outlineLevel="0" collapsed="false">
      <c r="A21" s="519" t="s">
        <v>602</v>
      </c>
      <c r="B21" s="520" t="n">
        <v>9.3E-006</v>
      </c>
      <c r="C21" s="365"/>
      <c r="D21" s="365"/>
      <c r="E21" s="365"/>
      <c r="F21" s="365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</row>
    <row r="22" customFormat="false" ht="15" hidden="false" customHeight="false" outlineLevel="0" collapsed="false">
      <c r="A22" s="519" t="s">
        <v>537</v>
      </c>
      <c r="B22" s="528" t="s">
        <v>603</v>
      </c>
      <c r="C22" s="365"/>
      <c r="D22" s="365"/>
      <c r="E22" s="365"/>
      <c r="F22" s="365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</row>
    <row r="23" customFormat="false" ht="15" hidden="false" customHeight="false" outlineLevel="0" collapsed="false">
      <c r="A23" s="519" t="s">
        <v>538</v>
      </c>
      <c r="B23" s="520" t="s">
        <v>604</v>
      </c>
      <c r="C23" s="365"/>
      <c r="D23" s="365"/>
      <c r="E23" s="365"/>
      <c r="F23" s="365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</row>
    <row r="24" customFormat="false" ht="15" hidden="false" customHeight="false" outlineLevel="0" collapsed="false">
      <c r="A24" s="519" t="s">
        <v>539</v>
      </c>
      <c r="B24" s="520" t="n">
        <v>801405</v>
      </c>
      <c r="C24" s="365"/>
      <c r="D24" s="365"/>
      <c r="E24" s="365"/>
      <c r="F24" s="365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customFormat="false" ht="15.75" hidden="false" customHeight="false" outlineLevel="0" collapsed="false">
      <c r="A25" s="523" t="s">
        <v>540</v>
      </c>
      <c r="B25" s="524" t="n">
        <v>707175</v>
      </c>
      <c r="C25" s="365"/>
      <c r="D25" s="365"/>
      <c r="E25" s="365"/>
      <c r="F25" s="365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customFormat="false" ht="15" hidden="false" customHeight="false" outlineLevel="0" collapsed="false">
      <c r="A26" s="529"/>
      <c r="B26" s="365"/>
      <c r="C26" s="365"/>
      <c r="D26" s="365"/>
      <c r="E26" s="365"/>
      <c r="F26" s="365"/>
      <c r="G26" s="365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customFormat="false" ht="24.75" hidden="false" customHeight="false" outlineLevel="0" collapsed="false">
      <c r="A27" s="514" t="s">
        <v>472</v>
      </c>
      <c r="B27" s="514"/>
      <c r="C27" s="365"/>
      <c r="D27" s="365"/>
      <c r="E27" s="365"/>
      <c r="F27" s="365"/>
      <c r="G27" s="365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customFormat="false" ht="15" hidden="false" customHeight="false" outlineLevel="0" collapsed="false">
      <c r="A28" s="516" t="s">
        <v>529</v>
      </c>
      <c r="B28" s="517" t="s">
        <v>592</v>
      </c>
      <c r="C28" s="365"/>
      <c r="D28" s="365"/>
      <c r="E28" s="365"/>
      <c r="F28" s="365"/>
      <c r="G28" s="365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customFormat="false" ht="15" hidden="false" customHeight="false" outlineLevel="0" collapsed="false">
      <c r="A29" s="519" t="s">
        <v>593</v>
      </c>
      <c r="B29" s="520" t="s">
        <v>605</v>
      </c>
      <c r="C29" s="365"/>
      <c r="D29" s="365"/>
      <c r="E29" s="365"/>
      <c r="F29" s="365"/>
      <c r="G29" s="365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customFormat="false" ht="15" hidden="false" customHeight="false" outlineLevel="0" collapsed="false">
      <c r="A30" s="519" t="s">
        <v>531</v>
      </c>
      <c r="B30" s="522" t="n">
        <v>42339</v>
      </c>
      <c r="C30" s="365"/>
      <c r="D30" s="365"/>
      <c r="E30" s="365"/>
      <c r="F30" s="365"/>
      <c r="G30" s="365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customFormat="false" ht="15" hidden="false" customHeight="false" outlineLevel="0" collapsed="false">
      <c r="A31" s="519" t="s">
        <v>532</v>
      </c>
      <c r="B31" s="522" t="n">
        <f aca="false">B30+(5*365+2)</f>
        <v>44166</v>
      </c>
      <c r="C31" s="365"/>
      <c r="D31" s="365"/>
      <c r="E31" s="365"/>
      <c r="F31" s="365"/>
      <c r="G31" s="365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customFormat="false" ht="15" hidden="false" customHeight="false" outlineLevel="0" collapsed="false">
      <c r="A32" s="519" t="s">
        <v>533</v>
      </c>
      <c r="B32" s="520" t="s">
        <v>498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customFormat="false" ht="15" hidden="false" customHeight="false" outlineLevel="0" collapsed="false">
      <c r="A33" s="519" t="s">
        <v>534</v>
      </c>
      <c r="B33" s="520" t="s">
        <v>460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customFormat="false" ht="15" hidden="false" customHeight="false" outlineLevel="0" collapsed="false">
      <c r="A34" s="519" t="s">
        <v>535</v>
      </c>
      <c r="B34" s="527" t="s">
        <v>601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customFormat="false" ht="15" hidden="false" customHeight="false" outlineLevel="0" collapsed="false">
      <c r="A35" s="519" t="s">
        <v>602</v>
      </c>
      <c r="B35" s="530" t="n">
        <v>9.7E-006</v>
      </c>
      <c r="C35" s="531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</row>
    <row r="36" customFormat="false" ht="15" hidden="false" customHeight="false" outlineLevel="0" collapsed="false">
      <c r="A36" s="519" t="s">
        <v>537</v>
      </c>
      <c r="B36" s="528" t="s">
        <v>606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</row>
    <row r="37" customFormat="false" ht="15" hidden="false" customHeight="false" outlineLevel="0" collapsed="false">
      <c r="A37" s="519" t="s">
        <v>538</v>
      </c>
      <c r="B37" s="520" t="s">
        <v>604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</row>
    <row r="38" customFormat="false" ht="15" hidden="false" customHeight="false" outlineLevel="0" collapsed="false">
      <c r="A38" s="519" t="s">
        <v>539</v>
      </c>
      <c r="B38" s="520" t="s">
        <v>607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</row>
    <row r="39" customFormat="false" ht="15.75" hidden="false" customHeight="false" outlineLevel="0" collapsed="false">
      <c r="A39" s="523" t="s">
        <v>540</v>
      </c>
      <c r="B39" s="524" t="n">
        <v>707014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</row>
    <row r="40" customFormat="false" ht="1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</row>
    <row r="41" customFormat="false" ht="1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</row>
    <row r="42" customFormat="false" ht="1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customFormat="false" ht="1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customFormat="false" ht="1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</row>
    <row r="45" customFormat="false" ht="1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</row>
    <row r="46" customFormat="false" ht="1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</row>
    <row r="47" customFormat="false" ht="1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</row>
    <row r="48" customFormat="false" ht="1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</row>
    <row r="49" customFormat="false" ht="1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</row>
    <row r="50" customFormat="false" ht="1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customFormat="false" ht="15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customFormat="false" ht="15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</row>
    <row r="53" customFormat="false" ht="15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</row>
    <row r="54" customFormat="false" ht="15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</row>
    <row r="55" customFormat="false" ht="15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</row>
    <row r="56" customFormat="false" ht="15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</row>
    <row r="57" customFormat="false" ht="15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</row>
    <row r="58" customFormat="false" ht="15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customFormat="false" ht="15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customFormat="false" ht="15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</row>
    <row r="61" customFormat="false" ht="15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</row>
    <row r="62" customFormat="false" ht="15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</row>
    <row r="63" customFormat="false" ht="15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</row>
    <row r="64" customFormat="false" ht="15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</row>
    <row r="65" customFormat="false" ht="15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</row>
    <row r="66" customFormat="false" ht="15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</row>
    <row r="67" customFormat="false" ht="15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</row>
    <row r="68" customFormat="false" ht="15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</row>
    <row r="69" customFormat="false" ht="15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</row>
    <row r="70" customFormat="false" ht="15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</row>
    <row r="71" customFormat="false" ht="15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</row>
    <row r="72" customFormat="false" ht="15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</row>
    <row r="73" customFormat="false" ht="15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</row>
    <row r="74" customFormat="false" ht="15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</row>
    <row r="75" customFormat="false" ht="15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customFormat="false" ht="15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customFormat="false" ht="15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</row>
    <row r="78" customFormat="false" ht="15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</row>
    <row r="79" customFormat="false" ht="15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</row>
    <row r="80" customFormat="false" ht="15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</row>
    <row r="81" customFormat="false" ht="15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</row>
    <row r="82" customFormat="false" ht="15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</row>
    <row r="83" customFormat="false" ht="15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</row>
    <row r="84" customFormat="false" ht="15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</row>
    <row r="85" customFormat="false" ht="15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</row>
    <row r="86" customFormat="false" ht="15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</row>
    <row r="87" customFormat="false" ht="15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</row>
    <row r="88" customFormat="false" ht="15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</row>
    <row r="89" customFormat="false" ht="15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</row>
    <row r="90" customFormat="false" ht="15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</row>
    <row r="91" customFormat="false" ht="15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</row>
    <row r="92" customFormat="false" ht="15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</row>
    <row r="93" customFormat="false" ht="15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</row>
    <row r="94" customFormat="false" ht="15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</row>
    <row r="95" customFormat="false" ht="15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</row>
    <row r="96" customFormat="false" ht="15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customFormat="false" ht="15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customFormat="false" ht="15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customFormat="false" ht="15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</row>
    <row r="100" customFormat="false" ht="15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customFormat="false" ht="15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customFormat="false" ht="15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customFormat="false" ht="15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customFormat="false" ht="15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customFormat="false" ht="15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customFormat="false" ht="15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customFormat="false" ht="15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customFormat="false" ht="15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customFormat="false" ht="15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customFormat="false" ht="15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customFormat="false" ht="15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customFormat="false" ht="15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customFormat="false" ht="15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customFormat="false" ht="15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customFormat="false" ht="15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customFormat="false" ht="15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customFormat="false" ht="15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customFormat="false" ht="15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customFormat="false" ht="15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customFormat="false" ht="15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customFormat="false" ht="15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customFormat="false" ht="15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customFormat="false" ht="15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customFormat="false" ht="15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customFormat="false" ht="15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customFormat="false" ht="15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customFormat="false" ht="15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customFormat="false" ht="15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customFormat="false" ht="15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customFormat="false" ht="15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customFormat="false" ht="15" hidden="false" customHeight="false" outlineLevel="0" collapsed="false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customFormat="false" ht="15" hidden="false" customHeight="false" outlineLevel="0" collapsed="false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customFormat="false" ht="15" hidden="false" customHeight="false" outlineLevel="0" collapsed="false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customFormat="false" ht="15" hidden="false" customHeight="false" outlineLevel="0" collapsed="false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customFormat="false" ht="15" hidden="false" customHeight="false" outlineLevel="0" collapsed="false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customFormat="false" ht="15" hidden="false" customHeight="false" outlineLevel="0" collapsed="false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customFormat="false" ht="15" hidden="false" customHeight="false" outlineLevel="0" collapsed="false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customFormat="false" ht="15" hidden="false" customHeight="fals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customFormat="false" ht="15" hidden="false" customHeight="fals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customFormat="false" ht="15" hidden="false" customHeight="fals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customFormat="false" ht="15" hidden="false" customHeight="fals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customFormat="false" ht="15" hidden="false" customHeight="fals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customFormat="false" ht="15" hidden="false" customHeight="fals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customFormat="false" ht="15" hidden="false" customHeight="fals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customFormat="false" ht="15" hidden="false" customHeight="fals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46" customFormat="false" ht="15" hidden="false" customHeight="fals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</row>
    <row r="147" customFormat="false" ht="15" hidden="false" customHeight="fals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</row>
    <row r="148" customFormat="false" ht="15" hidden="false" customHeight="fals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</row>
    <row r="149" customFormat="false" ht="15" hidden="false" customHeight="fals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</row>
    <row r="150" customFormat="false" ht="15" hidden="false" customHeight="fals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</row>
    <row r="151" customFormat="false" ht="15" hidden="false" customHeight="fals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</row>
    <row r="152" customFormat="false" ht="15" hidden="false" customHeight="fals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</row>
    <row r="153" customFormat="false" ht="15" hidden="false" customHeight="fals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</row>
    <row r="154" customFormat="false" ht="15" hidden="false" customHeight="fals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</row>
    <row r="155" customFormat="false" ht="15" hidden="false" customHeight="fals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</row>
    <row r="156" customFormat="false" ht="15" hidden="false" customHeight="fals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</row>
    <row r="157" customFormat="false" ht="15" hidden="false" customHeight="fals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</row>
    <row r="158" customFormat="false" ht="15" hidden="false" customHeight="fals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</row>
    <row r="159" customFormat="false" ht="15" hidden="false" customHeight="fals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</row>
    <row r="160" customFormat="false" ht="15" hidden="false" customHeight="fals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</row>
    <row r="161" customFormat="false" ht="15" hidden="false" customHeight="fals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</row>
    <row r="162" customFormat="false" ht="15" hidden="false" customHeight="fals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</row>
    <row r="163" customFormat="false" ht="15" hidden="false" customHeight="fals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</row>
    <row r="164" customFormat="false" ht="15" hidden="false" customHeight="fals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</row>
    <row r="165" customFormat="false" ht="15" hidden="false" customHeight="fals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</row>
    <row r="166" customFormat="false" ht="15" hidden="false" customHeight="fals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</row>
    <row r="167" customFormat="false" ht="15" hidden="false" customHeight="fals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</row>
    <row r="168" customFormat="false" ht="15" hidden="false" customHeight="fals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</row>
    <row r="169" customFormat="false" ht="15" hidden="false" customHeight="fals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</row>
    <row r="170" customFormat="false" ht="15" hidden="false" customHeight="fals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</row>
    <row r="171" customFormat="false" ht="15" hidden="false" customHeight="fals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</row>
    <row r="172" customFormat="false" ht="15" hidden="false" customHeight="fals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</row>
    <row r="173" customFormat="false" ht="15" hidden="false" customHeight="fals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</row>
    <row r="174" customFormat="false" ht="15" hidden="false" customHeight="fals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</row>
    <row r="175" customFormat="false" ht="15" hidden="false" customHeight="fals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</row>
    <row r="176" customFormat="false" ht="15" hidden="false" customHeight="fals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</row>
    <row r="177" customFormat="false" ht="15" hidden="false" customHeight="fals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</row>
    <row r="178" customFormat="false" ht="15" hidden="false" customHeight="fals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</row>
    <row r="179" customFormat="false" ht="15" hidden="false" customHeight="fals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</row>
    <row r="180" customFormat="false" ht="15" hidden="false" customHeight="fals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</row>
    <row r="181" customFormat="false" ht="15" hidden="false" customHeight="fals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</row>
    <row r="182" customFormat="false" ht="15" hidden="false" customHeight="fals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</row>
    <row r="183" customFormat="false" ht="15" hidden="false" customHeight="fals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</row>
    <row r="184" customFormat="false" ht="15" hidden="false" customHeight="fals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</row>
    <row r="185" customFormat="false" ht="15" hidden="false" customHeight="fals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</row>
    <row r="186" customFormat="false" ht="15" hidden="false" customHeight="fals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</row>
    <row r="187" customFormat="false" ht="15" hidden="false" customHeight="fals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</row>
    <row r="188" customFormat="false" ht="15" hidden="false" customHeight="fals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</row>
    <row r="189" customFormat="false" ht="15" hidden="false" customHeight="fals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</row>
    <row r="190" customFormat="false" ht="15" hidden="false" customHeight="fals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</row>
    <row r="191" customFormat="false" ht="15" hidden="false" customHeight="fals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</row>
    <row r="192" customFormat="false" ht="15" hidden="false" customHeight="fals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</row>
    <row r="193" customFormat="false" ht="15" hidden="false" customHeight="false" outlineLevel="0" collapsed="false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</row>
    <row r="194" customFormat="false" ht="15" hidden="false" customHeight="false" outlineLevel="0" collapsed="false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</row>
  </sheetData>
  <mergeCells count="3">
    <mergeCell ref="A1:B1"/>
    <mergeCell ref="A13:B13"/>
    <mergeCell ref="A27:B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IF11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19" activeCellId="0" sqref="D19"/>
    </sheetView>
  </sheetViews>
  <sheetFormatPr defaultColWidth="11.50390625" defaultRowHeight="12.75" zeroHeight="false" outlineLevelRow="0" outlineLevelCol="0"/>
  <cols>
    <col collapsed="false" customWidth="true" hidden="false" outlineLevel="0" max="1" min="1" style="76" width="6.5"/>
    <col collapsed="false" customWidth="true" hidden="false" outlineLevel="0" max="2" min="2" style="76" width="15.5"/>
    <col collapsed="false" customWidth="true" hidden="false" outlineLevel="0" max="3" min="3" style="76" width="12.67"/>
    <col collapsed="false" customWidth="true" hidden="false" outlineLevel="0" max="4" min="4" style="76" width="13.83"/>
    <col collapsed="false" customWidth="true" hidden="false" outlineLevel="0" max="6" min="5" style="76" width="12.67"/>
    <col collapsed="false" customWidth="true" hidden="false" outlineLevel="0" max="8" min="7" style="76" width="9.5"/>
    <col collapsed="false" customWidth="true" hidden="false" outlineLevel="0" max="10" min="9" style="76" width="6.5"/>
    <col collapsed="false" customWidth="true" hidden="false" outlineLevel="0" max="11" min="11" style="76" width="14.5"/>
    <col collapsed="false" customWidth="false" hidden="false" outlineLevel="0" max="12" min="12" style="76" width="11.5"/>
    <col collapsed="false" customWidth="true" hidden="false" outlineLevel="0" max="13" min="13" style="76" width="6.5"/>
    <col collapsed="false" customWidth="true" hidden="false" outlineLevel="0" max="14" min="14" style="76" width="16.5"/>
    <col collapsed="false" customWidth="true" hidden="false" outlineLevel="0" max="15" min="15" style="76" width="12.67"/>
    <col collapsed="false" customWidth="true" hidden="false" outlineLevel="0" max="16" min="16" style="76" width="16.17"/>
    <col collapsed="false" customWidth="true" hidden="false" outlineLevel="0" max="18" min="17" style="76" width="12.67"/>
    <col collapsed="false" customWidth="true" hidden="false" outlineLevel="0" max="19" min="19" style="76" width="10.83"/>
    <col collapsed="false" customWidth="true" hidden="false" outlineLevel="0" max="20" min="20" style="76" width="13"/>
    <col collapsed="false" customWidth="false" hidden="false" outlineLevel="0" max="16384" min="21" style="76" width="11.5"/>
  </cols>
  <sheetData>
    <row r="2" customFormat="false" ht="13.5" hidden="false" customHeight="false" outlineLevel="0" collapsed="false">
      <c r="A2" s="532" t="s">
        <v>608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M2" s="532" t="s">
        <v>609</v>
      </c>
      <c r="N2" s="532"/>
      <c r="O2" s="532"/>
      <c r="P2" s="532"/>
      <c r="Q2" s="532"/>
      <c r="R2" s="532"/>
      <c r="S2" s="532"/>
      <c r="T2" s="532"/>
    </row>
    <row r="3" customFormat="false" ht="45.75" hidden="false" customHeight="true" outlineLevel="0" collapsed="false">
      <c r="A3" s="533" t="s">
        <v>610</v>
      </c>
      <c r="B3" s="534" t="s">
        <v>611</v>
      </c>
      <c r="C3" s="533" t="s">
        <v>612</v>
      </c>
      <c r="D3" s="535" t="s">
        <v>613</v>
      </c>
      <c r="E3" s="535" t="s">
        <v>614</v>
      </c>
      <c r="F3" s="535" t="s">
        <v>20</v>
      </c>
      <c r="G3" s="535" t="s">
        <v>25</v>
      </c>
      <c r="H3" s="535"/>
      <c r="I3" s="535" t="s">
        <v>615</v>
      </c>
      <c r="J3" s="535"/>
      <c r="K3" s="533" t="s">
        <v>26</v>
      </c>
      <c r="M3" s="533" t="s">
        <v>610</v>
      </c>
      <c r="N3" s="534" t="s">
        <v>611</v>
      </c>
      <c r="O3" s="533" t="s">
        <v>612</v>
      </c>
      <c r="P3" s="535" t="s">
        <v>613</v>
      </c>
      <c r="Q3" s="535" t="s">
        <v>614</v>
      </c>
      <c r="R3" s="535" t="s">
        <v>20</v>
      </c>
      <c r="S3" s="535" t="s">
        <v>25</v>
      </c>
      <c r="T3" s="535"/>
    </row>
    <row r="4" customFormat="false" ht="12.75" hidden="false" customHeight="true" outlineLevel="0" collapsed="false">
      <c r="A4" s="533"/>
      <c r="B4" s="533" t="s">
        <v>616</v>
      </c>
      <c r="C4" s="536" t="s">
        <v>617</v>
      </c>
      <c r="D4" s="535" t="s">
        <v>618</v>
      </c>
      <c r="E4" s="537" t="s">
        <v>619</v>
      </c>
      <c r="F4" s="537" t="s">
        <v>620</v>
      </c>
      <c r="G4" s="537" t="s">
        <v>621</v>
      </c>
      <c r="H4" s="537" t="s">
        <v>622</v>
      </c>
      <c r="I4" s="538" t="s">
        <v>623</v>
      </c>
      <c r="J4" s="533" t="s">
        <v>624</v>
      </c>
      <c r="K4" s="533"/>
      <c r="M4" s="533"/>
      <c r="N4" s="533" t="s">
        <v>616</v>
      </c>
      <c r="O4" s="536" t="s">
        <v>617</v>
      </c>
      <c r="P4" s="535" t="s">
        <v>618</v>
      </c>
      <c r="Q4" s="537" t="s">
        <v>619</v>
      </c>
      <c r="R4" s="537" t="s">
        <v>620</v>
      </c>
      <c r="S4" s="537" t="s">
        <v>621</v>
      </c>
      <c r="T4" s="537" t="s">
        <v>622</v>
      </c>
    </row>
    <row r="5" customFormat="false" ht="13.5" hidden="false" customHeight="false" outlineLevel="0" collapsed="false">
      <c r="A5" s="533"/>
      <c r="B5" s="533"/>
      <c r="C5" s="539" t="s">
        <v>1</v>
      </c>
      <c r="D5" s="540" t="s">
        <v>0</v>
      </c>
      <c r="E5" s="540" t="s">
        <v>1</v>
      </c>
      <c r="F5" s="540" t="s">
        <v>0</v>
      </c>
      <c r="G5" s="540" t="s">
        <v>0</v>
      </c>
      <c r="H5" s="540" t="s">
        <v>0</v>
      </c>
      <c r="I5" s="538"/>
      <c r="J5" s="533"/>
      <c r="K5" s="533"/>
      <c r="M5" s="533"/>
      <c r="N5" s="533"/>
      <c r="O5" s="539" t="s">
        <v>44</v>
      </c>
      <c r="P5" s="540" t="s">
        <v>625</v>
      </c>
      <c r="Q5" s="540" t="s">
        <v>44</v>
      </c>
      <c r="R5" s="540" t="s">
        <v>625</v>
      </c>
      <c r="S5" s="540" t="s">
        <v>625</v>
      </c>
      <c r="T5" s="540" t="s">
        <v>625</v>
      </c>
    </row>
    <row r="6" customFormat="false" ht="15.75" hidden="false" customHeight="false" outlineLevel="0" collapsed="false">
      <c r="A6" s="541" t="str">
        <f aca="false">IF(CALIBRACION!H12="","",+CALIBRACION!A12)</f>
        <v/>
      </c>
      <c r="B6" s="542" t="e">
        <f aca="false">CALIBRACION!I12</f>
        <v>#VALUE!</v>
      </c>
      <c r="C6" s="542" t="str">
        <f aca="false">IF(CALIBRACION!H12="","",CALIBRACION!H12)</f>
        <v/>
      </c>
      <c r="D6" s="542" t="str">
        <f aca="false">IF(CALIBRACION!H12="","",CALIBRACION!Q12*1000)</f>
        <v/>
      </c>
      <c r="E6" s="542" t="str">
        <f aca="false">IF(CALIBRACION!H12="","",CALIBRACION!T12)</f>
        <v/>
      </c>
      <c r="F6" s="543" t="str">
        <f aca="false">IF(INCERTIDUMBRE!B29="","",INCERTIDUMBRE!AS29)</f>
        <v/>
      </c>
      <c r="G6" s="543" t="str">
        <f aca="false">IF(CALIBRACION!H12="","",CALIBRACION!L12)</f>
        <v/>
      </c>
      <c r="H6" s="543" t="str">
        <f aca="false">IF(CALIBRACION!H12="","",CALIBRACION!M12)</f>
        <v/>
      </c>
      <c r="I6" s="544" t="str">
        <f aca="false">IF(CALIBRACION!H12="","",IF(CALIBRACION!K12="","sí","no"))</f>
        <v/>
      </c>
      <c r="J6" s="544" t="str">
        <f aca="false">IF(CALIBRACION!H12="","",IF(CALIBRACION!K12="","sí","no"))</f>
        <v/>
      </c>
      <c r="K6" s="545" t="str">
        <f aca="false">IF(CALIBRACION!L12="","",CALIBRACION!N12)</f>
        <v/>
      </c>
      <c r="M6" s="541" t="str">
        <f aca="false">A6</f>
        <v/>
      </c>
      <c r="N6" s="546" t="e">
        <f aca="false">B6</f>
        <v>#VALUE!</v>
      </c>
      <c r="O6" s="547" t="str">
        <f aca="false">CALIBRACION!J12</f>
        <v/>
      </c>
      <c r="P6" s="542" t="str">
        <f aca="false">IF(D6="","",((D6*0.00003937008*1000000)))</f>
        <v/>
      </c>
      <c r="Q6" s="542" t="str">
        <f aca="false">IF(E6="","",((E6/25.4)))</f>
        <v/>
      </c>
      <c r="R6" s="542" t="str">
        <f aca="false">IF(F6="","",(F6*0.00003937008*1000000))</f>
        <v/>
      </c>
      <c r="S6" s="543" t="str">
        <f aca="false">IF(G6="","",((G6*0.00003937*1000000)))</f>
        <v/>
      </c>
      <c r="T6" s="543" t="str">
        <f aca="false">IF(H6="","",((H6*0.00003937*1000000)))</f>
        <v/>
      </c>
      <c r="W6" s="76" t="n">
        <v>1</v>
      </c>
      <c r="X6" s="76" t="n">
        <v>39.37008</v>
      </c>
    </row>
    <row r="7" s="350" customFormat="true" ht="15.75" hidden="false" customHeight="false" outlineLevel="0" collapsed="false">
      <c r="A7" s="541" t="str">
        <f aca="false">IF(CALIBRACION!H13="","",+CALIBRACION!A13)</f>
        <v/>
      </c>
      <c r="B7" s="542" t="e">
        <f aca="false">CALIBRACION!I13</f>
        <v>#VALUE!</v>
      </c>
      <c r="C7" s="542" t="str">
        <f aca="false">IF(CALIBRACION!H13="","",CALIBRACION!H13)</f>
        <v/>
      </c>
      <c r="D7" s="542" t="str">
        <f aca="false">IF(CALIBRACION!H13="","",CALIBRACION!Q13*1000)</f>
        <v/>
      </c>
      <c r="E7" s="542" t="str">
        <f aca="false">IF(CALIBRACION!H13="","",CALIBRACION!T13)</f>
        <v/>
      </c>
      <c r="F7" s="543" t="str">
        <f aca="false">IF(INCERTIDUMBRE!B30="","",INCERTIDUMBRE!AS30)</f>
        <v/>
      </c>
      <c r="G7" s="543" t="str">
        <f aca="false">IF(CALIBRACION!H13="","",CALIBRACION!L13)</f>
        <v/>
      </c>
      <c r="H7" s="543" t="str">
        <f aca="false">IF(CALIBRACION!H13="","",CALIBRACION!M13)</f>
        <v/>
      </c>
      <c r="I7" s="544" t="str">
        <f aca="false">IF(CALIBRACION!H13="","",IF(CALIBRACION!K13="","sí","no"))</f>
        <v/>
      </c>
      <c r="J7" s="544" t="str">
        <f aca="false">IF(CALIBRACION!H13="","",IF(CALIBRACION!K13="","sí","no"))</f>
        <v/>
      </c>
      <c r="K7" s="545" t="str">
        <f aca="false">IF(CALIBRACION!L13="","",CALIBRACION!N13)</f>
        <v/>
      </c>
      <c r="L7" s="76"/>
      <c r="M7" s="541" t="str">
        <f aca="false">A7</f>
        <v/>
      </c>
      <c r="N7" s="546" t="e">
        <f aca="false">B7</f>
        <v>#VALUE!</v>
      </c>
      <c r="O7" s="547" t="str">
        <f aca="false">CALIBRACION!J13</f>
        <v/>
      </c>
      <c r="P7" s="542" t="str">
        <f aca="false">IF(D7="","",((D7*0.00003937008*1000000)))</f>
        <v/>
      </c>
      <c r="Q7" s="542" t="str">
        <f aca="false">IF(E7="","",((E7/25.4)))</f>
        <v/>
      </c>
      <c r="R7" s="542" t="str">
        <f aca="false">IF(F7="","",(F7*0.00003937008*1000000))</f>
        <v/>
      </c>
      <c r="S7" s="543" t="str">
        <f aca="false">IF(G7="","",((G7*0.00003937*1000000)))</f>
        <v/>
      </c>
      <c r="T7" s="543" t="str">
        <f aca="false">IF(H7="","",((H7*0.00003937*1000000)))</f>
        <v/>
      </c>
      <c r="U7" s="76"/>
      <c r="V7" s="76"/>
      <c r="W7" s="548" t="str">
        <f aca="false">D6</f>
        <v/>
      </c>
      <c r="X7" s="76" t="e">
        <f aca="false">W7*X6/W6</f>
        <v>#VALUE!</v>
      </c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 s="76"/>
      <c r="EI7" s="76"/>
      <c r="EJ7" s="76"/>
      <c r="EK7" s="76"/>
      <c r="EL7" s="76"/>
      <c r="EM7" s="76"/>
      <c r="EN7" s="76"/>
      <c r="EO7" s="76"/>
      <c r="EP7" s="76"/>
      <c r="EQ7" s="76"/>
      <c r="ER7" s="76"/>
      <c r="ES7" s="76"/>
      <c r="ET7" s="76"/>
      <c r="EU7" s="76"/>
      <c r="EV7" s="76"/>
      <c r="EW7" s="76"/>
      <c r="EX7" s="76"/>
      <c r="EY7" s="76"/>
      <c r="EZ7" s="76"/>
      <c r="FA7" s="76"/>
      <c r="FB7" s="76"/>
      <c r="FC7" s="76"/>
      <c r="FD7" s="76"/>
      <c r="FE7" s="76"/>
      <c r="FF7" s="76"/>
      <c r="FG7" s="76"/>
      <c r="FH7" s="76"/>
      <c r="FI7" s="76"/>
      <c r="FJ7" s="76"/>
      <c r="FK7" s="76"/>
      <c r="FL7" s="76"/>
      <c r="FM7" s="76"/>
      <c r="FN7" s="76"/>
      <c r="FO7" s="76"/>
      <c r="FP7" s="76"/>
      <c r="FQ7" s="76"/>
      <c r="FR7" s="76"/>
      <c r="FS7" s="76"/>
      <c r="FT7" s="76"/>
      <c r="FU7" s="76"/>
      <c r="FV7" s="76"/>
      <c r="FW7" s="76"/>
      <c r="FX7" s="76"/>
      <c r="FY7" s="76"/>
      <c r="FZ7" s="76"/>
      <c r="GA7" s="76"/>
      <c r="GB7" s="76"/>
      <c r="GC7" s="76"/>
      <c r="GD7" s="76"/>
      <c r="GE7" s="76"/>
      <c r="GF7" s="76"/>
      <c r="GG7" s="76"/>
      <c r="GH7" s="76"/>
      <c r="GI7" s="76"/>
      <c r="GJ7" s="76"/>
      <c r="GK7" s="76"/>
      <c r="GL7" s="76"/>
      <c r="GM7" s="76"/>
      <c r="GN7" s="76"/>
      <c r="GO7" s="76"/>
      <c r="GP7" s="76"/>
      <c r="GQ7" s="76"/>
      <c r="GR7" s="76"/>
      <c r="GS7" s="76"/>
      <c r="GT7" s="76"/>
      <c r="GU7" s="76"/>
      <c r="GV7" s="76"/>
      <c r="GW7" s="76"/>
      <c r="GX7" s="76"/>
      <c r="GY7" s="76"/>
      <c r="GZ7" s="76"/>
      <c r="HA7" s="76"/>
      <c r="HB7" s="76"/>
      <c r="HC7" s="76"/>
      <c r="HD7" s="76"/>
      <c r="HE7" s="76"/>
      <c r="HF7" s="76"/>
      <c r="HG7" s="76"/>
      <c r="HH7" s="76"/>
      <c r="HI7" s="76"/>
      <c r="HJ7" s="76"/>
      <c r="HK7" s="76"/>
      <c r="HL7" s="76"/>
      <c r="HM7" s="76"/>
      <c r="HN7" s="76"/>
      <c r="HO7" s="76"/>
      <c r="HP7" s="76"/>
      <c r="HQ7" s="76"/>
      <c r="HR7" s="76"/>
      <c r="HS7" s="76"/>
      <c r="HT7" s="76"/>
      <c r="HU7" s="76"/>
      <c r="HV7" s="76"/>
      <c r="HW7" s="76"/>
      <c r="HX7" s="76"/>
      <c r="HY7" s="76"/>
      <c r="HZ7" s="76"/>
      <c r="IA7" s="76"/>
      <c r="IB7" s="76"/>
      <c r="IC7" s="76"/>
      <c r="ID7" s="76"/>
      <c r="IE7" s="76"/>
      <c r="IF7" s="76"/>
    </row>
    <row r="8" s="350" customFormat="true" ht="15.75" hidden="false" customHeight="false" outlineLevel="0" collapsed="false">
      <c r="A8" s="541" t="str">
        <f aca="false">IF(CALIBRACION!H14="","",+CALIBRACION!A14)</f>
        <v/>
      </c>
      <c r="B8" s="546" t="e">
        <f aca="false">CALIBRACION!I14</f>
        <v>#VALUE!</v>
      </c>
      <c r="C8" s="542" t="str">
        <f aca="false">IF(CALIBRACION!H14="","",CALIBRACION!H14)</f>
        <v/>
      </c>
      <c r="D8" s="542" t="str">
        <f aca="false">IF(CALIBRACION!H14="","",CALIBRACION!Q14*1000)</f>
        <v/>
      </c>
      <c r="E8" s="542" t="str">
        <f aca="false">IF(CALIBRACION!H14="","",CALIBRACION!T14)</f>
        <v/>
      </c>
      <c r="F8" s="543" t="str">
        <f aca="false">IF(INCERTIDUMBRE!B31="","",INCERTIDUMBRE!AS31)</f>
        <v/>
      </c>
      <c r="G8" s="543" t="str">
        <f aca="false">IF(CALIBRACION!H14="","",CALIBRACION!L14)</f>
        <v/>
      </c>
      <c r="H8" s="543" t="str">
        <f aca="false">IF(CALIBRACION!H14="","",CALIBRACION!M14)</f>
        <v/>
      </c>
      <c r="I8" s="544" t="str">
        <f aca="false">IF(CALIBRACION!H14="","",IF(CALIBRACION!K14="","sí","no"))</f>
        <v/>
      </c>
      <c r="J8" s="544" t="str">
        <f aca="false">IF(CALIBRACION!H14="","",IF(CALIBRACION!K14="","sí","no"))</f>
        <v/>
      </c>
      <c r="K8" s="545" t="str">
        <f aca="false">IF(CALIBRACION!L14="","",CALIBRACION!N14)</f>
        <v/>
      </c>
      <c r="L8" s="76"/>
      <c r="M8" s="541" t="str">
        <f aca="false">A8</f>
        <v/>
      </c>
      <c r="N8" s="546" t="e">
        <f aca="false">B8</f>
        <v>#VALUE!</v>
      </c>
      <c r="O8" s="547" t="str">
        <f aca="false">CALIBRACION!J14</f>
        <v/>
      </c>
      <c r="P8" s="542" t="str">
        <f aca="false">IF(D8="","",((D8*0.00003937008*1000000)))</f>
        <v/>
      </c>
      <c r="Q8" s="542" t="str">
        <f aca="false">IF(E8="","",((E8/25.4)))</f>
        <v/>
      </c>
      <c r="R8" s="542" t="str">
        <f aca="false">IF(F8="","",(F8*0.00003937008*1000000))</f>
        <v/>
      </c>
      <c r="S8" s="543" t="str">
        <f aca="false">IF(G8="","",((G8*0.00003937*1000000)))</f>
        <v/>
      </c>
      <c r="T8" s="543" t="str">
        <f aca="false">IF(H8="","",((H8*0.00003937*1000000)))</f>
        <v/>
      </c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76"/>
      <c r="CQ8" s="76"/>
      <c r="CR8" s="76"/>
      <c r="CS8" s="76"/>
      <c r="CT8" s="76"/>
      <c r="CU8" s="76"/>
      <c r="CV8" s="76"/>
      <c r="CW8" s="76"/>
      <c r="CX8" s="76"/>
      <c r="CY8" s="76"/>
      <c r="CZ8" s="76"/>
      <c r="DA8" s="76"/>
      <c r="DB8" s="76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76"/>
      <c r="DS8" s="76"/>
      <c r="DT8" s="76"/>
      <c r="DU8" s="76"/>
      <c r="DV8" s="76"/>
      <c r="DW8" s="76"/>
      <c r="DX8" s="76"/>
      <c r="DY8" s="76"/>
      <c r="DZ8" s="76"/>
      <c r="EA8" s="76"/>
      <c r="EB8" s="76"/>
      <c r="EC8" s="76"/>
      <c r="ED8" s="76"/>
      <c r="EE8" s="76"/>
      <c r="EF8" s="76"/>
      <c r="EG8" s="76"/>
      <c r="EH8" s="76"/>
      <c r="EI8" s="76"/>
      <c r="EJ8" s="76"/>
      <c r="EK8" s="76"/>
      <c r="EL8" s="76"/>
      <c r="EM8" s="76"/>
      <c r="EN8" s="76"/>
      <c r="EO8" s="76"/>
      <c r="EP8" s="76"/>
      <c r="EQ8" s="76"/>
      <c r="ER8" s="76"/>
      <c r="ES8" s="76"/>
      <c r="ET8" s="76"/>
      <c r="EU8" s="76"/>
      <c r="EV8" s="76"/>
      <c r="EW8" s="76"/>
      <c r="EX8" s="76"/>
      <c r="EY8" s="76"/>
      <c r="EZ8" s="76"/>
      <c r="FA8" s="76"/>
      <c r="FB8" s="76"/>
      <c r="FC8" s="76"/>
      <c r="FD8" s="76"/>
      <c r="FE8" s="76"/>
      <c r="FF8" s="76"/>
      <c r="FG8" s="76"/>
      <c r="FH8" s="76"/>
      <c r="FI8" s="76"/>
      <c r="FJ8" s="76"/>
      <c r="FK8" s="76"/>
      <c r="FL8" s="76"/>
      <c r="FM8" s="76"/>
      <c r="FN8" s="76"/>
      <c r="FO8" s="76"/>
      <c r="FP8" s="76"/>
      <c r="FQ8" s="76"/>
      <c r="FR8" s="76"/>
      <c r="FS8" s="76"/>
      <c r="FT8" s="76"/>
      <c r="FU8" s="76"/>
      <c r="FV8" s="76"/>
      <c r="FW8" s="76"/>
      <c r="FX8" s="76"/>
      <c r="FY8" s="76"/>
      <c r="FZ8" s="76"/>
      <c r="GA8" s="76"/>
      <c r="GB8" s="76"/>
      <c r="GC8" s="76"/>
      <c r="GD8" s="76"/>
      <c r="GE8" s="76"/>
      <c r="GF8" s="76"/>
      <c r="GG8" s="76"/>
      <c r="GH8" s="76"/>
      <c r="GI8" s="76"/>
      <c r="GJ8" s="76"/>
      <c r="GK8" s="76"/>
      <c r="GL8" s="76"/>
      <c r="GM8" s="76"/>
      <c r="GN8" s="76"/>
      <c r="GO8" s="76"/>
      <c r="GP8" s="76"/>
      <c r="GQ8" s="76"/>
      <c r="GR8" s="76"/>
      <c r="GS8" s="76"/>
      <c r="GT8" s="76"/>
      <c r="GU8" s="76"/>
      <c r="GV8" s="76"/>
      <c r="GW8" s="76"/>
      <c r="GX8" s="76"/>
      <c r="GY8" s="76"/>
      <c r="GZ8" s="76"/>
      <c r="HA8" s="76"/>
      <c r="HB8" s="76"/>
      <c r="HC8" s="76"/>
      <c r="HD8" s="76"/>
      <c r="HE8" s="76"/>
      <c r="HF8" s="76"/>
      <c r="HG8" s="76"/>
      <c r="HH8" s="76"/>
      <c r="HI8" s="76"/>
      <c r="HJ8" s="76"/>
      <c r="HK8" s="76"/>
      <c r="HL8" s="76"/>
      <c r="HM8" s="76"/>
      <c r="HN8" s="76"/>
      <c r="HO8" s="76"/>
      <c r="HP8" s="76"/>
      <c r="HQ8" s="76"/>
      <c r="HR8" s="76"/>
      <c r="HS8" s="76"/>
      <c r="HT8" s="76"/>
      <c r="HU8" s="76"/>
      <c r="HV8" s="76"/>
      <c r="HW8" s="76"/>
      <c r="HX8" s="76"/>
      <c r="HY8" s="76"/>
      <c r="HZ8" s="76"/>
      <c r="IA8" s="76"/>
      <c r="IB8" s="76"/>
      <c r="IC8" s="76"/>
      <c r="ID8" s="76"/>
      <c r="IE8" s="76"/>
      <c r="IF8" s="76"/>
    </row>
    <row r="9" s="350" customFormat="true" ht="15.75" hidden="false" customHeight="false" outlineLevel="0" collapsed="false">
      <c r="A9" s="541" t="str">
        <f aca="false">IF(CALIBRACION!H15="","",+CALIBRACION!A15)</f>
        <v/>
      </c>
      <c r="B9" s="546" t="e">
        <f aca="false">CALIBRACION!I15</f>
        <v>#VALUE!</v>
      </c>
      <c r="C9" s="542" t="str">
        <f aca="false">IF(CALIBRACION!H15="","",CALIBRACION!H15)</f>
        <v/>
      </c>
      <c r="D9" s="542" t="str">
        <f aca="false">IF(CALIBRACION!H15="","",CALIBRACION!Q15*1000)</f>
        <v/>
      </c>
      <c r="E9" s="542" t="str">
        <f aca="false">IF(CALIBRACION!H15="","",CALIBRACION!T15)</f>
        <v/>
      </c>
      <c r="F9" s="543" t="str">
        <f aca="false">IF(INCERTIDUMBRE!B32="","",INCERTIDUMBRE!AS32)</f>
        <v/>
      </c>
      <c r="G9" s="543" t="str">
        <f aca="false">IF(CALIBRACION!H15="","",CALIBRACION!L15)</f>
        <v/>
      </c>
      <c r="H9" s="543" t="str">
        <f aca="false">IF(CALIBRACION!H15="","",CALIBRACION!M15)</f>
        <v/>
      </c>
      <c r="I9" s="544" t="str">
        <f aca="false">IF(CALIBRACION!H15="","",IF(CALIBRACION!K15="","sí","no"))</f>
        <v/>
      </c>
      <c r="J9" s="544" t="str">
        <f aca="false">IF(CALIBRACION!H15="","",IF(CALIBRACION!K15="","sí","no"))</f>
        <v/>
      </c>
      <c r="K9" s="545" t="str">
        <f aca="false">IF(CALIBRACION!L15="","",CALIBRACION!N15)</f>
        <v/>
      </c>
      <c r="L9" s="76"/>
      <c r="M9" s="541" t="str">
        <f aca="false">A9</f>
        <v/>
      </c>
      <c r="N9" s="546" t="e">
        <f aca="false">B9</f>
        <v>#VALUE!</v>
      </c>
      <c r="O9" s="547" t="str">
        <f aca="false">CALIBRACION!J15</f>
        <v/>
      </c>
      <c r="P9" s="542" t="str">
        <f aca="false">IF(D9="","",((D9*0.00003937008*1000000)))</f>
        <v/>
      </c>
      <c r="Q9" s="542" t="str">
        <f aca="false">IF(E9="","",((E9/25.4)))</f>
        <v/>
      </c>
      <c r="R9" s="542" t="str">
        <f aca="false">IF(F9="","",(F9*0.00003937008*1000000))</f>
        <v/>
      </c>
      <c r="S9" s="543" t="str">
        <f aca="false">IF(G9="","",((G9*0.00003937*1000000)))</f>
        <v/>
      </c>
      <c r="T9" s="543" t="str">
        <f aca="false">IF(H9="","",((H9*0.00003937*1000000)))</f>
        <v/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/>
      <c r="CW9" s="76"/>
      <c r="CX9" s="76"/>
      <c r="CY9" s="76"/>
      <c r="CZ9" s="76"/>
      <c r="DA9" s="76"/>
      <c r="DB9" s="76"/>
      <c r="DC9" s="76"/>
      <c r="DD9" s="76"/>
      <c r="DE9" s="76"/>
      <c r="DF9" s="76"/>
      <c r="DG9" s="76"/>
      <c r="DH9" s="76"/>
      <c r="DI9" s="76"/>
      <c r="DJ9" s="76"/>
      <c r="DK9" s="76"/>
      <c r="DL9" s="76"/>
      <c r="DM9" s="76"/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 s="76"/>
      <c r="EI9" s="76"/>
      <c r="EJ9" s="76"/>
      <c r="EK9" s="76"/>
      <c r="EL9" s="76"/>
      <c r="EM9" s="76"/>
      <c r="EN9" s="76"/>
      <c r="EO9" s="76"/>
      <c r="EP9" s="76"/>
      <c r="EQ9" s="76"/>
      <c r="ER9" s="76"/>
      <c r="ES9" s="76"/>
      <c r="ET9" s="76"/>
      <c r="EU9" s="76"/>
      <c r="EV9" s="76"/>
      <c r="EW9" s="76"/>
      <c r="EX9" s="76"/>
      <c r="EY9" s="76"/>
      <c r="EZ9" s="76"/>
      <c r="FA9" s="76"/>
      <c r="FB9" s="76"/>
      <c r="FC9" s="76"/>
      <c r="FD9" s="76"/>
      <c r="FE9" s="76"/>
      <c r="FF9" s="76"/>
      <c r="FG9" s="76"/>
      <c r="FH9" s="76"/>
      <c r="FI9" s="76"/>
      <c r="FJ9" s="76"/>
      <c r="FK9" s="76"/>
      <c r="FL9" s="76"/>
      <c r="FM9" s="76"/>
      <c r="FN9" s="76"/>
      <c r="FO9" s="76"/>
      <c r="FP9" s="76"/>
      <c r="FQ9" s="76"/>
      <c r="FR9" s="76"/>
      <c r="FS9" s="76"/>
      <c r="FT9" s="76"/>
      <c r="FU9" s="76"/>
      <c r="FV9" s="76"/>
      <c r="FW9" s="76"/>
      <c r="FX9" s="76"/>
      <c r="FY9" s="76"/>
      <c r="FZ9" s="76"/>
      <c r="GA9" s="76"/>
      <c r="GB9" s="76"/>
      <c r="GC9" s="76"/>
      <c r="GD9" s="76"/>
      <c r="GE9" s="76"/>
      <c r="GF9" s="76"/>
      <c r="GG9" s="76"/>
      <c r="GH9" s="76"/>
      <c r="GI9" s="76"/>
      <c r="GJ9" s="76"/>
      <c r="GK9" s="76"/>
      <c r="GL9" s="76"/>
      <c r="GM9" s="76"/>
      <c r="GN9" s="76"/>
      <c r="GO9" s="76"/>
      <c r="GP9" s="76"/>
      <c r="GQ9" s="76"/>
      <c r="GR9" s="76"/>
      <c r="GS9" s="76"/>
      <c r="GT9" s="76"/>
      <c r="GU9" s="76"/>
      <c r="GV9" s="76"/>
      <c r="GW9" s="76"/>
      <c r="GX9" s="76"/>
      <c r="GY9" s="76"/>
      <c r="GZ9" s="76"/>
      <c r="HA9" s="76"/>
      <c r="HB9" s="76"/>
      <c r="HC9" s="76"/>
      <c r="HD9" s="76"/>
      <c r="HE9" s="76"/>
      <c r="HF9" s="76"/>
      <c r="HG9" s="76"/>
      <c r="HH9" s="76"/>
      <c r="HI9" s="76"/>
      <c r="HJ9" s="76"/>
      <c r="HK9" s="76"/>
      <c r="HL9" s="76"/>
      <c r="HM9" s="76"/>
      <c r="HN9" s="76"/>
      <c r="HO9" s="76"/>
      <c r="HP9" s="76"/>
      <c r="HQ9" s="76"/>
      <c r="HR9" s="76"/>
      <c r="HS9" s="76"/>
      <c r="HT9" s="76"/>
      <c r="HU9" s="76"/>
      <c r="HV9" s="76"/>
      <c r="HW9" s="76"/>
      <c r="HX9" s="76"/>
      <c r="HY9" s="76"/>
      <c r="HZ9" s="76"/>
      <c r="IA9" s="76"/>
      <c r="IB9" s="76"/>
      <c r="IC9" s="76"/>
      <c r="ID9" s="76"/>
      <c r="IE9" s="76"/>
      <c r="IF9" s="76"/>
    </row>
    <row r="10" s="350" customFormat="true" ht="12.75" hidden="false" customHeight="true" outlineLevel="0" collapsed="false">
      <c r="A10" s="541" t="str">
        <f aca="false">IF(CALIBRACION!H16="","",+CALIBRACION!A16)</f>
        <v/>
      </c>
      <c r="B10" s="542" t="e">
        <f aca="false">CALIBRACION!I16</f>
        <v>#VALUE!</v>
      </c>
      <c r="C10" s="542" t="str">
        <f aca="false">IF(CALIBRACION!H16="","",CALIBRACION!H16)</f>
        <v/>
      </c>
      <c r="D10" s="542" t="str">
        <f aca="false">IF(CALIBRACION!H16="","",CALIBRACION!Q16*1000)</f>
        <v/>
      </c>
      <c r="E10" s="542" t="str">
        <f aca="false">IF(CALIBRACION!H16="","",CALIBRACION!T16)</f>
        <v/>
      </c>
      <c r="F10" s="543" t="str">
        <f aca="false">IF(INCERTIDUMBRE!B33="","",INCERTIDUMBRE!AS33)</f>
        <v/>
      </c>
      <c r="G10" s="543" t="str">
        <f aca="false">IF(CALIBRACION!H16="","",CALIBRACION!L16)</f>
        <v/>
      </c>
      <c r="H10" s="543" t="str">
        <f aca="false">IF(CALIBRACION!H16="","",CALIBRACION!M16)</f>
        <v/>
      </c>
      <c r="I10" s="544" t="str">
        <f aca="false">IF(CALIBRACION!H16="","",IF(CALIBRACION!K16="","sí","no"))</f>
        <v/>
      </c>
      <c r="J10" s="544" t="str">
        <f aca="false">IF(CALIBRACION!H16="","",IF(CALIBRACION!K16="","sí","no"))</f>
        <v/>
      </c>
      <c r="K10" s="545" t="str">
        <f aca="false">IF(CALIBRACION!L16="","",CALIBRACION!N16)</f>
        <v/>
      </c>
      <c r="L10" s="76"/>
      <c r="M10" s="541" t="str">
        <f aca="false">A10</f>
        <v/>
      </c>
      <c r="N10" s="546" t="e">
        <f aca="false">B10</f>
        <v>#VALUE!</v>
      </c>
      <c r="O10" s="547" t="str">
        <f aca="false">CALIBRACION!J16</f>
        <v/>
      </c>
      <c r="P10" s="542" t="str">
        <f aca="false">IF(D10="","",((D10*0.00003937008*1000000)))</f>
        <v/>
      </c>
      <c r="Q10" s="542" t="str">
        <f aca="false">IF(E10="","",((E10/25.4)))</f>
        <v/>
      </c>
      <c r="R10" s="542" t="str">
        <f aca="false">IF(F10="","",(F10*0.00003937008*1000000))</f>
        <v/>
      </c>
      <c r="S10" s="543" t="str">
        <f aca="false">IF(G10="","",((G10*0.00003937*1000000)))</f>
        <v/>
      </c>
      <c r="T10" s="543" t="str">
        <f aca="false">IF(H10="","",((H10*0.00003937*1000000)))</f>
        <v/>
      </c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  <c r="CM10" s="76"/>
      <c r="CN10" s="76"/>
      <c r="CO10" s="76"/>
      <c r="CP10" s="76"/>
      <c r="CQ10" s="76"/>
      <c r="CR10" s="76"/>
      <c r="CS10" s="76"/>
      <c r="CT10" s="76"/>
      <c r="CU10" s="76"/>
      <c r="CV10" s="76"/>
      <c r="CW10" s="76"/>
      <c r="CX10" s="76"/>
      <c r="CY10" s="76"/>
      <c r="CZ10" s="76"/>
      <c r="DA10" s="76"/>
      <c r="DB10" s="76"/>
      <c r="DC10" s="76"/>
      <c r="DD10" s="76"/>
      <c r="DE10" s="76"/>
      <c r="DF10" s="76"/>
      <c r="DG10" s="76"/>
      <c r="DH10" s="76"/>
      <c r="DI10" s="76"/>
      <c r="DJ10" s="76"/>
      <c r="DK10" s="76"/>
      <c r="DL10" s="76"/>
      <c r="DM10" s="76"/>
      <c r="DN10" s="76"/>
      <c r="DO10" s="76"/>
      <c r="DP10" s="76"/>
      <c r="DQ10" s="76"/>
      <c r="DR10" s="76"/>
      <c r="DS10" s="76"/>
      <c r="DT10" s="76"/>
      <c r="DU10" s="76"/>
      <c r="DV10" s="76"/>
      <c r="DW10" s="76"/>
      <c r="DX10" s="76"/>
      <c r="DY10" s="76"/>
      <c r="DZ10" s="76"/>
      <c r="EA10" s="76"/>
      <c r="EB10" s="76"/>
      <c r="EC10" s="76"/>
      <c r="ED10" s="76"/>
      <c r="EE10" s="76"/>
      <c r="EF10" s="76"/>
      <c r="EG10" s="76"/>
      <c r="EH10" s="76"/>
      <c r="EI10" s="76"/>
      <c r="EJ10" s="76"/>
      <c r="EK10" s="76"/>
      <c r="EL10" s="76"/>
      <c r="EM10" s="76"/>
      <c r="EN10" s="76"/>
      <c r="EO10" s="76"/>
      <c r="EP10" s="76"/>
      <c r="EQ10" s="76"/>
      <c r="ER10" s="76"/>
      <c r="ES10" s="76"/>
      <c r="ET10" s="76"/>
      <c r="EU10" s="76"/>
      <c r="EV10" s="76"/>
      <c r="EW10" s="76"/>
      <c r="EX10" s="76"/>
      <c r="EY10" s="76"/>
      <c r="EZ10" s="76"/>
      <c r="FA10" s="76"/>
      <c r="FB10" s="76"/>
      <c r="FC10" s="76"/>
      <c r="FD10" s="76"/>
      <c r="FE10" s="76"/>
      <c r="FF10" s="76"/>
      <c r="FG10" s="76"/>
      <c r="FH10" s="76"/>
      <c r="FI10" s="76"/>
      <c r="FJ10" s="76"/>
      <c r="FK10" s="76"/>
      <c r="FL10" s="76"/>
      <c r="FM10" s="76"/>
      <c r="FN10" s="76"/>
      <c r="FO10" s="76"/>
      <c r="FP10" s="76"/>
      <c r="FQ10" s="76"/>
      <c r="FR10" s="76"/>
      <c r="FS10" s="76"/>
      <c r="FT10" s="76"/>
      <c r="FU10" s="76"/>
      <c r="FV10" s="76"/>
      <c r="FW10" s="76"/>
      <c r="FX10" s="76"/>
      <c r="FY10" s="76"/>
      <c r="FZ10" s="76"/>
      <c r="GA10" s="76"/>
      <c r="GB10" s="76"/>
      <c r="GC10" s="76"/>
      <c r="GD10" s="76"/>
      <c r="GE10" s="76"/>
      <c r="GF10" s="76"/>
      <c r="GG10" s="76"/>
      <c r="GH10" s="76"/>
      <c r="GI10" s="76"/>
      <c r="GJ10" s="76"/>
      <c r="GK10" s="76"/>
      <c r="GL10" s="76"/>
      <c r="GM10" s="76"/>
      <c r="GN10" s="76"/>
      <c r="GO10" s="76"/>
      <c r="GP10" s="76"/>
      <c r="GQ10" s="76"/>
      <c r="GR10" s="76"/>
      <c r="GS10" s="76"/>
      <c r="GT10" s="76"/>
      <c r="GU10" s="76"/>
      <c r="GV10" s="76"/>
      <c r="GW10" s="76"/>
      <c r="GX10" s="76"/>
      <c r="GY10" s="76"/>
      <c r="GZ10" s="76"/>
      <c r="HA10" s="76"/>
      <c r="HB10" s="76"/>
      <c r="HC10" s="76"/>
      <c r="HD10" s="76"/>
      <c r="HE10" s="76"/>
      <c r="HF10" s="76"/>
      <c r="HG10" s="76"/>
      <c r="HH10" s="76"/>
      <c r="HI10" s="76"/>
      <c r="HJ10" s="76"/>
      <c r="HK10" s="76"/>
      <c r="HL10" s="76"/>
      <c r="HM10" s="76"/>
      <c r="HN10" s="76"/>
      <c r="HO10" s="76"/>
      <c r="HP10" s="76"/>
      <c r="HQ10" s="76"/>
      <c r="HR10" s="76"/>
      <c r="HS10" s="76"/>
      <c r="HT10" s="76"/>
      <c r="HU10" s="76"/>
      <c r="HV10" s="76"/>
      <c r="HW10" s="76"/>
      <c r="HX10" s="76"/>
      <c r="HY10" s="76"/>
      <c r="HZ10" s="76"/>
      <c r="IA10" s="76"/>
      <c r="IB10" s="76"/>
      <c r="IC10" s="76"/>
      <c r="ID10" s="76"/>
      <c r="IE10" s="76"/>
      <c r="IF10" s="76"/>
    </row>
    <row r="11" s="350" customFormat="true" ht="12.75" hidden="false" customHeight="true" outlineLevel="0" collapsed="false">
      <c r="A11" s="541" t="str">
        <f aca="false">IF(CALIBRACION!H17="","",+CALIBRACION!A17)</f>
        <v/>
      </c>
      <c r="B11" s="542" t="e">
        <f aca="false">CALIBRACION!I17</f>
        <v>#VALUE!</v>
      </c>
      <c r="C11" s="542" t="str">
        <f aca="false">IF(CALIBRACION!H17="","",CALIBRACION!H17)</f>
        <v/>
      </c>
      <c r="D11" s="542" t="str">
        <f aca="false">IF(CALIBRACION!H17="","",CALIBRACION!Q17*1000)</f>
        <v/>
      </c>
      <c r="E11" s="542" t="str">
        <f aca="false">IF(CALIBRACION!H17="","",CALIBRACION!T17)</f>
        <v/>
      </c>
      <c r="F11" s="543" t="str">
        <f aca="false">IF(INCERTIDUMBRE!B34="","",INCERTIDUMBRE!AS34)</f>
        <v/>
      </c>
      <c r="G11" s="543" t="str">
        <f aca="false">IF(CALIBRACION!H17="","",CALIBRACION!L17)</f>
        <v/>
      </c>
      <c r="H11" s="543" t="str">
        <f aca="false">IF(CALIBRACION!H17="","",CALIBRACION!M17)</f>
        <v/>
      </c>
      <c r="I11" s="544" t="str">
        <f aca="false">IF(CALIBRACION!H17="","",IF(CALIBRACION!K17="","sí","no"))</f>
        <v/>
      </c>
      <c r="J11" s="544" t="str">
        <f aca="false">IF(CALIBRACION!H17="","",IF(CALIBRACION!K17="","sí","no"))</f>
        <v/>
      </c>
      <c r="K11" s="545" t="str">
        <f aca="false">IF(CALIBRACION!L17="","",CALIBRACION!N17)</f>
        <v/>
      </c>
      <c r="L11" s="76"/>
      <c r="M11" s="541" t="str">
        <f aca="false">A11</f>
        <v/>
      </c>
      <c r="N11" s="546" t="e">
        <f aca="false">B11</f>
        <v>#VALUE!</v>
      </c>
      <c r="O11" s="547" t="str">
        <f aca="false">CALIBRACION!J17</f>
        <v/>
      </c>
      <c r="P11" s="542" t="str">
        <f aca="false">IF(D11="","",((D11*0.00003937008*1000000)))</f>
        <v/>
      </c>
      <c r="Q11" s="542" t="str">
        <f aca="false">IF(E11="","",((E11/25.4)))</f>
        <v/>
      </c>
      <c r="R11" s="542" t="str">
        <f aca="false">IF(F11="","",(F11*0.00003937008*1000000))</f>
        <v/>
      </c>
      <c r="S11" s="543" t="str">
        <f aca="false">IF(G11="","",((G11*0.00003937*1000000)))</f>
        <v/>
      </c>
      <c r="T11" s="543" t="str">
        <f aca="false">IF(H11="","",((H11*0.00003937*1000000)))</f>
        <v/>
      </c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76"/>
      <c r="CQ11" s="76"/>
      <c r="CR11" s="76"/>
      <c r="CS11" s="76"/>
      <c r="CT11" s="76"/>
      <c r="CU11" s="76"/>
      <c r="CV11" s="76"/>
      <c r="CW11" s="76"/>
      <c r="CX11" s="76"/>
      <c r="CY11" s="76"/>
      <c r="CZ11" s="76"/>
      <c r="DA11" s="76"/>
      <c r="DB11" s="76"/>
      <c r="DC11" s="76"/>
      <c r="DD11" s="76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  <c r="DT11" s="76"/>
      <c r="DU11" s="76"/>
      <c r="DV11" s="76"/>
      <c r="DW11" s="76"/>
      <c r="DX11" s="76"/>
      <c r="DY11" s="76"/>
      <c r="DZ11" s="76"/>
      <c r="EA11" s="76"/>
      <c r="EB11" s="76"/>
      <c r="EC11" s="76"/>
      <c r="ED11" s="76"/>
      <c r="EE11" s="76"/>
      <c r="EF11" s="76"/>
      <c r="EG11" s="76"/>
      <c r="EH11" s="76"/>
      <c r="EI11" s="76"/>
      <c r="EJ11" s="76"/>
      <c r="EK11" s="76"/>
      <c r="EL11" s="76"/>
      <c r="EM11" s="76"/>
      <c r="EN11" s="76"/>
      <c r="EO11" s="76"/>
      <c r="EP11" s="76"/>
      <c r="EQ11" s="76"/>
      <c r="ER11" s="76"/>
      <c r="ES11" s="76"/>
      <c r="ET11" s="76"/>
      <c r="EU11" s="76"/>
      <c r="EV11" s="76"/>
      <c r="EW11" s="76"/>
      <c r="EX11" s="76"/>
      <c r="EY11" s="76"/>
      <c r="EZ11" s="76"/>
      <c r="FA11" s="76"/>
      <c r="FB11" s="76"/>
      <c r="FC11" s="76"/>
      <c r="FD11" s="76"/>
      <c r="FE11" s="76"/>
      <c r="FF11" s="76"/>
      <c r="FG11" s="76"/>
      <c r="FH11" s="76"/>
      <c r="FI11" s="76"/>
      <c r="FJ11" s="76"/>
      <c r="FK11" s="76"/>
      <c r="FL11" s="76"/>
      <c r="FM11" s="76"/>
      <c r="FN11" s="76"/>
      <c r="FO11" s="76"/>
      <c r="FP11" s="76"/>
      <c r="FQ11" s="76"/>
      <c r="FR11" s="76"/>
      <c r="FS11" s="76"/>
      <c r="FT11" s="76"/>
      <c r="FU11" s="76"/>
      <c r="FV11" s="76"/>
      <c r="FW11" s="76"/>
      <c r="FX11" s="76"/>
      <c r="FY11" s="76"/>
      <c r="FZ11" s="76"/>
      <c r="GA11" s="76"/>
      <c r="GB11" s="76"/>
      <c r="GC11" s="76"/>
      <c r="GD11" s="76"/>
      <c r="GE11" s="76"/>
      <c r="GF11" s="76"/>
      <c r="GG11" s="76"/>
      <c r="GH11" s="76"/>
      <c r="GI11" s="76"/>
      <c r="GJ11" s="76"/>
      <c r="GK11" s="76"/>
      <c r="GL11" s="76"/>
      <c r="GM11" s="76"/>
      <c r="GN11" s="76"/>
      <c r="GO11" s="76"/>
      <c r="GP11" s="76"/>
      <c r="GQ11" s="76"/>
      <c r="GR11" s="76"/>
      <c r="GS11" s="76"/>
      <c r="GT11" s="76"/>
      <c r="GU11" s="76"/>
      <c r="GV11" s="76"/>
      <c r="GW11" s="76"/>
      <c r="GX11" s="76"/>
      <c r="GY11" s="76"/>
      <c r="GZ11" s="76"/>
      <c r="HA11" s="76"/>
      <c r="HB11" s="76"/>
      <c r="HC11" s="76"/>
      <c r="HD11" s="76"/>
      <c r="HE11" s="76"/>
      <c r="HF11" s="76"/>
      <c r="HG11" s="76"/>
      <c r="HH11" s="76"/>
      <c r="HI11" s="76"/>
      <c r="HJ11" s="76"/>
      <c r="HK11" s="76"/>
      <c r="HL11" s="76"/>
      <c r="HM11" s="76"/>
      <c r="HN11" s="76"/>
      <c r="HO11" s="76"/>
      <c r="HP11" s="76"/>
      <c r="HQ11" s="76"/>
      <c r="HR11" s="76"/>
      <c r="HS11" s="76"/>
      <c r="HT11" s="76"/>
      <c r="HU11" s="76"/>
      <c r="HV11" s="76"/>
      <c r="HW11" s="76"/>
      <c r="HX11" s="76"/>
      <c r="HY11" s="76"/>
      <c r="HZ11" s="76"/>
      <c r="IA11" s="76"/>
      <c r="IB11" s="76"/>
      <c r="IC11" s="76"/>
      <c r="ID11" s="76"/>
      <c r="IE11" s="76"/>
      <c r="IF11" s="76"/>
    </row>
    <row r="12" s="350" customFormat="true" ht="12.75" hidden="false" customHeight="true" outlineLevel="0" collapsed="false">
      <c r="A12" s="541" t="str">
        <f aca="false">IF(CALIBRACION!H18="","",+CALIBRACION!A18)</f>
        <v/>
      </c>
      <c r="B12" s="542" t="e">
        <f aca="false">CALIBRACION!I18</f>
        <v>#VALUE!</v>
      </c>
      <c r="C12" s="542" t="str">
        <f aca="false">IF(CALIBRACION!H18="","",CALIBRACION!H18)</f>
        <v/>
      </c>
      <c r="D12" s="542" t="str">
        <f aca="false">IF(CALIBRACION!H18="","",CALIBRACION!Q18*1000)</f>
        <v/>
      </c>
      <c r="E12" s="542" t="str">
        <f aca="false">IF(CALIBRACION!H18="","",CALIBRACION!T18)</f>
        <v/>
      </c>
      <c r="F12" s="543" t="str">
        <f aca="false">IF(INCERTIDUMBRE!B35="","",INCERTIDUMBRE!AS35)</f>
        <v/>
      </c>
      <c r="G12" s="543" t="str">
        <f aca="false">IF(CALIBRACION!H18="","",CALIBRACION!L18)</f>
        <v/>
      </c>
      <c r="H12" s="543" t="str">
        <f aca="false">IF(CALIBRACION!H18="","",CALIBRACION!M18)</f>
        <v/>
      </c>
      <c r="I12" s="544" t="str">
        <f aca="false">IF(CALIBRACION!H18="","",IF(CALIBRACION!K18="","sí","no"))</f>
        <v/>
      </c>
      <c r="J12" s="544" t="str">
        <f aca="false">IF(CALIBRACION!H18="","",IF(CALIBRACION!K18="","sí","no"))</f>
        <v/>
      </c>
      <c r="K12" s="545" t="str">
        <f aca="false">IF(CALIBRACION!L18="","",CALIBRACION!N18)</f>
        <v/>
      </c>
      <c r="L12" s="76"/>
      <c r="M12" s="541" t="str">
        <f aca="false">A12</f>
        <v/>
      </c>
      <c r="N12" s="546" t="e">
        <f aca="false">B12</f>
        <v>#VALUE!</v>
      </c>
      <c r="O12" s="547" t="str">
        <f aca="false">CALIBRACION!J18</f>
        <v/>
      </c>
      <c r="P12" s="542" t="str">
        <f aca="false">IF(D12="","",((D12*0.00003937008*1000000)))</f>
        <v/>
      </c>
      <c r="Q12" s="542" t="str">
        <f aca="false">IF(E12="","",((E12/25.4)))</f>
        <v/>
      </c>
      <c r="R12" s="542" t="str">
        <f aca="false">IF(F12="","",(F12*0.00003937008*1000000))</f>
        <v/>
      </c>
      <c r="S12" s="543" t="str">
        <f aca="false">IF(G12="","",((G12*0.00003937*1000000)))</f>
        <v/>
      </c>
      <c r="T12" s="543" t="str">
        <f aca="false">IF(H12="","",((H12*0.00003937*1000000)))</f>
        <v/>
      </c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6"/>
      <c r="BL12" s="76"/>
      <c r="BM12" s="76"/>
      <c r="BN12" s="76"/>
      <c r="BO12" s="76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M12" s="76"/>
      <c r="CN12" s="76"/>
      <c r="CO12" s="76"/>
      <c r="CP12" s="76"/>
      <c r="CQ12" s="76"/>
      <c r="CR12" s="76"/>
      <c r="CS12" s="76"/>
      <c r="CT12" s="76"/>
      <c r="CU12" s="76"/>
      <c r="CV12" s="76"/>
      <c r="CW12" s="76"/>
      <c r="CX12" s="76"/>
      <c r="CY12" s="76"/>
      <c r="CZ12" s="76"/>
      <c r="DA12" s="76"/>
      <c r="DB12" s="76"/>
      <c r="DC12" s="76"/>
      <c r="DD12" s="76"/>
      <c r="DE12" s="76"/>
      <c r="DF12" s="76"/>
      <c r="DG12" s="76"/>
      <c r="DH12" s="76"/>
      <c r="DI12" s="76"/>
      <c r="DJ12" s="76"/>
      <c r="DK12" s="76"/>
      <c r="DL12" s="76"/>
      <c r="DM12" s="76"/>
      <c r="DN12" s="76"/>
      <c r="DO12" s="76"/>
      <c r="DP12" s="76"/>
      <c r="DQ12" s="76"/>
      <c r="DR12" s="76"/>
      <c r="DS12" s="76"/>
      <c r="DT12" s="76"/>
      <c r="DU12" s="76"/>
      <c r="DV12" s="76"/>
      <c r="DW12" s="76"/>
      <c r="DX12" s="76"/>
      <c r="DY12" s="76"/>
      <c r="DZ12" s="76"/>
      <c r="EA12" s="76"/>
      <c r="EB12" s="76"/>
      <c r="EC12" s="76"/>
      <c r="ED12" s="76"/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6"/>
      <c r="EQ12" s="76"/>
      <c r="ER12" s="76"/>
      <c r="ES12" s="76"/>
      <c r="ET12" s="76"/>
      <c r="EU12" s="76"/>
      <c r="EV12" s="76"/>
      <c r="EW12" s="76"/>
      <c r="EX12" s="76"/>
      <c r="EY12" s="76"/>
      <c r="EZ12" s="76"/>
      <c r="FA12" s="76"/>
      <c r="FB12" s="76"/>
      <c r="FC12" s="76"/>
      <c r="FD12" s="76"/>
      <c r="FE12" s="76"/>
      <c r="FF12" s="76"/>
      <c r="FG12" s="76"/>
      <c r="FH12" s="76"/>
      <c r="FI12" s="76"/>
      <c r="FJ12" s="76"/>
      <c r="FK12" s="76"/>
      <c r="FL12" s="76"/>
      <c r="FM12" s="76"/>
      <c r="FN12" s="76"/>
      <c r="FO12" s="76"/>
      <c r="FP12" s="76"/>
      <c r="FQ12" s="76"/>
      <c r="FR12" s="76"/>
      <c r="FS12" s="76"/>
      <c r="FT12" s="76"/>
      <c r="FU12" s="76"/>
      <c r="FV12" s="76"/>
      <c r="FW12" s="76"/>
      <c r="FX12" s="76"/>
      <c r="FY12" s="76"/>
      <c r="FZ12" s="76"/>
      <c r="GA12" s="76"/>
      <c r="GB12" s="76"/>
      <c r="GC12" s="76"/>
      <c r="GD12" s="76"/>
      <c r="GE12" s="76"/>
      <c r="GF12" s="76"/>
      <c r="GG12" s="76"/>
      <c r="GH12" s="76"/>
      <c r="GI12" s="76"/>
      <c r="GJ12" s="76"/>
      <c r="GK12" s="76"/>
      <c r="GL12" s="76"/>
      <c r="GM12" s="76"/>
      <c r="GN12" s="76"/>
      <c r="GO12" s="76"/>
      <c r="GP12" s="76"/>
      <c r="GQ12" s="76"/>
      <c r="GR12" s="76"/>
      <c r="GS12" s="76"/>
      <c r="GT12" s="76"/>
      <c r="GU12" s="76"/>
      <c r="GV12" s="76"/>
      <c r="GW12" s="76"/>
      <c r="GX12" s="76"/>
      <c r="GY12" s="76"/>
      <c r="GZ12" s="76"/>
      <c r="HA12" s="76"/>
      <c r="HB12" s="76"/>
      <c r="HC12" s="76"/>
      <c r="HD12" s="76"/>
      <c r="HE12" s="76"/>
      <c r="HF12" s="76"/>
      <c r="HG12" s="76"/>
      <c r="HH12" s="76"/>
      <c r="HI12" s="76"/>
      <c r="HJ12" s="76"/>
      <c r="HK12" s="76"/>
      <c r="HL12" s="76"/>
      <c r="HM12" s="76"/>
      <c r="HN12" s="76"/>
      <c r="HO12" s="76"/>
      <c r="HP12" s="76"/>
      <c r="HQ12" s="76"/>
      <c r="HR12" s="76"/>
      <c r="HS12" s="76"/>
      <c r="HT12" s="76"/>
      <c r="HU12" s="76"/>
      <c r="HV12" s="76"/>
      <c r="HW12" s="76"/>
      <c r="HX12" s="76"/>
      <c r="HY12" s="76"/>
      <c r="HZ12" s="76"/>
      <c r="IA12" s="76"/>
      <c r="IB12" s="76"/>
      <c r="IC12" s="76"/>
      <c r="ID12" s="76"/>
      <c r="IE12" s="76"/>
      <c r="IF12" s="76"/>
    </row>
    <row r="13" s="350" customFormat="true" ht="12.75" hidden="false" customHeight="true" outlineLevel="0" collapsed="false">
      <c r="A13" s="541" t="str">
        <f aca="false">IF(CALIBRACION!H19="","",+CALIBRACION!A19)</f>
        <v/>
      </c>
      <c r="B13" s="542" t="e">
        <f aca="false">CALIBRACION!I19</f>
        <v>#VALUE!</v>
      </c>
      <c r="C13" s="542" t="str">
        <f aca="false">IF(CALIBRACION!H19="","",CALIBRACION!H19)</f>
        <v/>
      </c>
      <c r="D13" s="542" t="str">
        <f aca="false">IF(CALIBRACION!H19="","",CALIBRACION!Q19*1000)</f>
        <v/>
      </c>
      <c r="E13" s="542" t="str">
        <f aca="false">IF(CALIBRACION!H19="","",CALIBRACION!T19)</f>
        <v/>
      </c>
      <c r="F13" s="543" t="str">
        <f aca="false">IF(INCERTIDUMBRE!B36="","",INCERTIDUMBRE!AS36)</f>
        <v/>
      </c>
      <c r="G13" s="543" t="str">
        <f aca="false">IF(CALIBRACION!H19="","",CALIBRACION!L19)</f>
        <v/>
      </c>
      <c r="H13" s="543" t="str">
        <f aca="false">IF(CALIBRACION!H19="","",CALIBRACION!M19)</f>
        <v/>
      </c>
      <c r="I13" s="544" t="str">
        <f aca="false">IF(CALIBRACION!H19="","",IF(CALIBRACION!K19="","sí","no"))</f>
        <v/>
      </c>
      <c r="J13" s="544" t="str">
        <f aca="false">IF(CALIBRACION!H19="","",IF(CALIBRACION!K19="","sí","no"))</f>
        <v/>
      </c>
      <c r="K13" s="545" t="str">
        <f aca="false">IF(CALIBRACION!L19="","",CALIBRACION!N19)</f>
        <v/>
      </c>
      <c r="L13" s="76"/>
      <c r="M13" s="541" t="str">
        <f aca="false">A13</f>
        <v/>
      </c>
      <c r="N13" s="546" t="e">
        <f aca="false">B13</f>
        <v>#VALUE!</v>
      </c>
      <c r="O13" s="547" t="str">
        <f aca="false">CALIBRACION!J19</f>
        <v/>
      </c>
      <c r="P13" s="542" t="str">
        <f aca="false">IF(D13="","",((D13*0.00003937008*1000000)))</f>
        <v/>
      </c>
      <c r="Q13" s="542" t="str">
        <f aca="false">IF(E13="","",((E13/25.4)))</f>
        <v/>
      </c>
      <c r="R13" s="542" t="str">
        <f aca="false">IF(F13="","",(F13*0.00003937008*1000000))</f>
        <v/>
      </c>
      <c r="S13" s="543" t="str">
        <f aca="false">IF(G13="","",((G13*0.00003937*1000000)))</f>
        <v/>
      </c>
      <c r="T13" s="543" t="str">
        <f aca="false">IF(H13="","",((H13*0.00003937*1000000)))</f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76"/>
      <c r="CQ13" s="76"/>
      <c r="CR13" s="76"/>
      <c r="CS13" s="76"/>
      <c r="CT13" s="76"/>
      <c r="CU13" s="76"/>
      <c r="CV13" s="76"/>
      <c r="CW13" s="76"/>
      <c r="CX13" s="76"/>
      <c r="CY13" s="76"/>
      <c r="CZ13" s="76"/>
      <c r="DA13" s="76"/>
      <c r="DB13" s="76"/>
      <c r="DC13" s="76"/>
      <c r="DD13" s="76"/>
      <c r="DE13" s="76"/>
      <c r="DF13" s="76"/>
      <c r="DG13" s="76"/>
      <c r="DH13" s="76"/>
      <c r="DI13" s="76"/>
      <c r="DJ13" s="76"/>
      <c r="DK13" s="76"/>
      <c r="DL13" s="76"/>
      <c r="DM13" s="76"/>
      <c r="DN13" s="76"/>
      <c r="DO13" s="76"/>
      <c r="DP13" s="76"/>
      <c r="DQ13" s="76"/>
      <c r="DR13" s="76"/>
      <c r="DS13" s="76"/>
      <c r="DT13" s="76"/>
      <c r="DU13" s="76"/>
      <c r="DV13" s="76"/>
      <c r="DW13" s="76"/>
      <c r="DX13" s="76"/>
      <c r="DY13" s="76"/>
      <c r="DZ13" s="76"/>
      <c r="EA13" s="76"/>
      <c r="EB13" s="76"/>
      <c r="EC13" s="76"/>
      <c r="ED13" s="76"/>
      <c r="EE13" s="76"/>
      <c r="EF13" s="76"/>
      <c r="EG13" s="76"/>
      <c r="EH13" s="76"/>
      <c r="EI13" s="76"/>
      <c r="EJ13" s="76"/>
      <c r="EK13" s="76"/>
      <c r="EL13" s="76"/>
      <c r="EM13" s="76"/>
      <c r="EN13" s="76"/>
      <c r="EO13" s="76"/>
      <c r="EP13" s="76"/>
      <c r="EQ13" s="76"/>
      <c r="ER13" s="76"/>
      <c r="ES13" s="76"/>
      <c r="ET13" s="76"/>
      <c r="EU13" s="76"/>
      <c r="EV13" s="76"/>
      <c r="EW13" s="76"/>
      <c r="EX13" s="76"/>
      <c r="EY13" s="76"/>
      <c r="EZ13" s="76"/>
      <c r="FA13" s="76"/>
      <c r="FB13" s="76"/>
      <c r="FC13" s="76"/>
      <c r="FD13" s="76"/>
      <c r="FE13" s="76"/>
      <c r="FF13" s="76"/>
      <c r="FG13" s="76"/>
      <c r="FH13" s="76"/>
      <c r="FI13" s="76"/>
      <c r="FJ13" s="76"/>
      <c r="FK13" s="76"/>
      <c r="FL13" s="76"/>
      <c r="FM13" s="76"/>
      <c r="FN13" s="76"/>
      <c r="FO13" s="76"/>
      <c r="FP13" s="76"/>
      <c r="FQ13" s="76"/>
      <c r="FR13" s="76"/>
      <c r="FS13" s="76"/>
      <c r="FT13" s="76"/>
      <c r="FU13" s="76"/>
      <c r="FV13" s="76"/>
      <c r="FW13" s="76"/>
      <c r="FX13" s="76"/>
      <c r="FY13" s="76"/>
      <c r="FZ13" s="76"/>
      <c r="GA13" s="76"/>
      <c r="GB13" s="76"/>
      <c r="GC13" s="76"/>
      <c r="GD13" s="76"/>
      <c r="GE13" s="76"/>
      <c r="GF13" s="76"/>
      <c r="GG13" s="76"/>
      <c r="GH13" s="76"/>
      <c r="GI13" s="76"/>
      <c r="GJ13" s="76"/>
      <c r="GK13" s="76"/>
      <c r="GL13" s="76"/>
      <c r="GM13" s="76"/>
      <c r="GN13" s="76"/>
      <c r="GO13" s="76"/>
      <c r="GP13" s="76"/>
      <c r="GQ13" s="76"/>
      <c r="GR13" s="76"/>
      <c r="GS13" s="76"/>
      <c r="GT13" s="76"/>
      <c r="GU13" s="76"/>
      <c r="GV13" s="76"/>
      <c r="GW13" s="76"/>
      <c r="GX13" s="76"/>
      <c r="GY13" s="76"/>
      <c r="GZ13" s="76"/>
      <c r="HA13" s="76"/>
      <c r="HB13" s="76"/>
      <c r="HC13" s="76"/>
      <c r="HD13" s="76"/>
      <c r="HE13" s="76"/>
      <c r="HF13" s="76"/>
      <c r="HG13" s="76"/>
      <c r="HH13" s="76"/>
      <c r="HI13" s="76"/>
      <c r="HJ13" s="76"/>
      <c r="HK13" s="76"/>
      <c r="HL13" s="76"/>
      <c r="HM13" s="76"/>
      <c r="HN13" s="76"/>
      <c r="HO13" s="76"/>
      <c r="HP13" s="76"/>
      <c r="HQ13" s="76"/>
      <c r="HR13" s="76"/>
      <c r="HS13" s="76"/>
      <c r="HT13" s="76"/>
      <c r="HU13" s="76"/>
      <c r="HV13" s="76"/>
      <c r="HW13" s="76"/>
      <c r="HX13" s="76"/>
      <c r="HY13" s="76"/>
      <c r="HZ13" s="76"/>
      <c r="IA13" s="76"/>
      <c r="IB13" s="76"/>
      <c r="IC13" s="76"/>
      <c r="ID13" s="76"/>
      <c r="IE13" s="76"/>
      <c r="IF13" s="76"/>
    </row>
    <row r="14" customFormat="false" ht="12.75" hidden="false" customHeight="true" outlineLevel="0" collapsed="false">
      <c r="A14" s="541" t="str">
        <f aca="false">IF(CALIBRACION!H20="","",+CALIBRACION!A20)</f>
        <v/>
      </c>
      <c r="B14" s="542" t="e">
        <f aca="false">CALIBRACION!I20</f>
        <v>#VALUE!</v>
      </c>
      <c r="C14" s="542" t="str">
        <f aca="false">IF(CALIBRACION!H20="","",CALIBRACION!H20)</f>
        <v/>
      </c>
      <c r="D14" s="542" t="str">
        <f aca="false">IF(CALIBRACION!H20="","",CALIBRACION!Q20*1000)</f>
        <v/>
      </c>
      <c r="E14" s="542" t="str">
        <f aca="false">IF(CALIBRACION!H20="","",CALIBRACION!T20)</f>
        <v/>
      </c>
      <c r="F14" s="543" t="str">
        <f aca="false">IF(INCERTIDUMBRE!B37="","",INCERTIDUMBRE!AS37)</f>
        <v/>
      </c>
      <c r="G14" s="543" t="str">
        <f aca="false">IF(CALIBRACION!H20="","",CALIBRACION!L20)</f>
        <v/>
      </c>
      <c r="H14" s="543" t="str">
        <f aca="false">IF(CALIBRACION!H20="","",CALIBRACION!M20)</f>
        <v/>
      </c>
      <c r="I14" s="544" t="str">
        <f aca="false">IF(CALIBRACION!H20="","",IF(CALIBRACION!K20="","sí","no"))</f>
        <v/>
      </c>
      <c r="J14" s="544" t="str">
        <f aca="false">IF(CALIBRACION!H20="","",IF(CALIBRACION!K20="","sí","no"))</f>
        <v/>
      </c>
      <c r="K14" s="545" t="str">
        <f aca="false">IF(CALIBRACION!L20="","",CALIBRACION!N20)</f>
        <v/>
      </c>
      <c r="M14" s="541" t="str">
        <f aca="false">A14</f>
        <v/>
      </c>
      <c r="N14" s="546" t="e">
        <f aca="false">B14</f>
        <v>#VALUE!</v>
      </c>
      <c r="O14" s="547" t="str">
        <f aca="false">CALIBRACION!J20</f>
        <v/>
      </c>
      <c r="P14" s="542" t="str">
        <f aca="false">IF(D14="","",((D14*0.00003937008*1000000)))</f>
        <v/>
      </c>
      <c r="Q14" s="542" t="str">
        <f aca="false">IF(E14="","",((E14/25.4)))</f>
        <v/>
      </c>
      <c r="R14" s="542" t="str">
        <f aca="false">IF(F14="","",(F14*0.00003937008*1000000))</f>
        <v/>
      </c>
      <c r="S14" s="543" t="str">
        <f aca="false">IF(G14="","",((G14*0.00003937*1000000)))</f>
        <v/>
      </c>
      <c r="T14" s="543" t="str">
        <f aca="false">IF(H14="","",((H14*0.00003937*1000000)))</f>
        <v/>
      </c>
    </row>
    <row r="15" customFormat="false" ht="12.75" hidden="false" customHeight="true" outlineLevel="0" collapsed="false">
      <c r="A15" s="541" t="str">
        <f aca="false">IF(CALIBRACION!H21="","",+CALIBRACION!A21)</f>
        <v/>
      </c>
      <c r="B15" s="542" t="e">
        <f aca="false">CALIBRACION!I21</f>
        <v>#VALUE!</v>
      </c>
      <c r="C15" s="542" t="str">
        <f aca="false">IF(CALIBRACION!H21="","",CALIBRACION!H21)</f>
        <v/>
      </c>
      <c r="D15" s="542" t="str">
        <f aca="false">IF(CALIBRACION!H21="","",CALIBRACION!Q21*1000)</f>
        <v/>
      </c>
      <c r="E15" s="542" t="str">
        <f aca="false">IF(CALIBRACION!H21="","",CALIBRACION!T21)</f>
        <v/>
      </c>
      <c r="F15" s="543" t="str">
        <f aca="false">IF(INCERTIDUMBRE!B38="","",INCERTIDUMBRE!AS38)</f>
        <v/>
      </c>
      <c r="G15" s="543" t="str">
        <f aca="false">IF(CALIBRACION!H21="","",CALIBRACION!L21)</f>
        <v/>
      </c>
      <c r="H15" s="543" t="str">
        <f aca="false">IF(CALIBRACION!H21="","",CALIBRACION!M21)</f>
        <v/>
      </c>
      <c r="I15" s="544" t="str">
        <f aca="false">IF(CALIBRACION!H21="","",IF(CALIBRACION!K21="","sí","no"))</f>
        <v/>
      </c>
      <c r="J15" s="544" t="str">
        <f aca="false">IF(CALIBRACION!H21="","",IF(CALIBRACION!K21="","sí","no"))</f>
        <v/>
      </c>
      <c r="K15" s="545" t="str">
        <f aca="false">IF(CALIBRACION!L21="","",CALIBRACION!N21)</f>
        <v/>
      </c>
      <c r="M15" s="541" t="str">
        <f aca="false">A15</f>
        <v/>
      </c>
      <c r="N15" s="546" t="e">
        <f aca="false">B15</f>
        <v>#VALUE!</v>
      </c>
      <c r="O15" s="547" t="str">
        <f aca="false">CALIBRACION!J21</f>
        <v/>
      </c>
      <c r="P15" s="542" t="str">
        <f aca="false">IF(D15="","",((D15*0.00003937008*1000000)))</f>
        <v/>
      </c>
      <c r="Q15" s="542" t="str">
        <f aca="false">IF(E15="","",((E15/25.4)))</f>
        <v/>
      </c>
      <c r="R15" s="542" t="str">
        <f aca="false">IF(F15="","",(F15*0.00003937008*1000000))</f>
        <v/>
      </c>
      <c r="S15" s="543" t="str">
        <f aca="false">IF(G15="","",((G15*0.00003937*1000000)))</f>
        <v/>
      </c>
      <c r="T15" s="543" t="str">
        <f aca="false">IF(H15="","",((H15*0.00003937*1000000)))</f>
        <v/>
      </c>
    </row>
    <row r="16" customFormat="false" ht="12.75" hidden="false" customHeight="true" outlineLevel="0" collapsed="false">
      <c r="A16" s="541" t="str">
        <f aca="false">IF(CALIBRACION!H22="","",+CALIBRACION!A22)</f>
        <v/>
      </c>
      <c r="B16" s="542" t="e">
        <f aca="false">CALIBRACION!I22</f>
        <v>#VALUE!</v>
      </c>
      <c r="C16" s="542" t="str">
        <f aca="false">IF(CALIBRACION!H22="","",CALIBRACION!H22)</f>
        <v/>
      </c>
      <c r="D16" s="542" t="str">
        <f aca="false">IF(CALIBRACION!H22="","",CALIBRACION!Q22*1000)</f>
        <v/>
      </c>
      <c r="E16" s="542" t="str">
        <f aca="false">IF(CALIBRACION!H22="","",CALIBRACION!T22)</f>
        <v/>
      </c>
      <c r="F16" s="543" t="str">
        <f aca="false">IF(INCERTIDUMBRE!B39="","",INCERTIDUMBRE!AS39)</f>
        <v/>
      </c>
      <c r="G16" s="543" t="str">
        <f aca="false">IF(CALIBRACION!H22="","",CALIBRACION!L22)</f>
        <v/>
      </c>
      <c r="H16" s="543" t="str">
        <f aca="false">IF(CALIBRACION!H22="","",CALIBRACION!M22)</f>
        <v/>
      </c>
      <c r="I16" s="544" t="str">
        <f aca="false">IF(CALIBRACION!H22="","",IF(CALIBRACION!K22="","sí","no"))</f>
        <v/>
      </c>
      <c r="J16" s="544" t="str">
        <f aca="false">IF(CALIBRACION!H22="","",IF(CALIBRACION!K22="","sí","no"))</f>
        <v/>
      </c>
      <c r="K16" s="545" t="str">
        <f aca="false">IF(CALIBRACION!L22="","",CALIBRACION!N22)</f>
        <v/>
      </c>
      <c r="M16" s="541" t="str">
        <f aca="false">A16</f>
        <v/>
      </c>
      <c r="N16" s="546" t="e">
        <f aca="false">B16</f>
        <v>#VALUE!</v>
      </c>
      <c r="O16" s="547" t="str">
        <f aca="false">CALIBRACION!J22</f>
        <v/>
      </c>
      <c r="P16" s="542" t="str">
        <f aca="false">IF(D16="","",((D16*0.00003937008*1000000)))</f>
        <v/>
      </c>
      <c r="Q16" s="542" t="str">
        <f aca="false">IF(E16="","",((E16/25.4)))</f>
        <v/>
      </c>
      <c r="R16" s="542" t="str">
        <f aca="false">IF(F16="","",(F16*0.00003937008*1000000))</f>
        <v/>
      </c>
      <c r="S16" s="543" t="str">
        <f aca="false">IF(G16="","",((G16*0.00003937*1000000)))</f>
        <v/>
      </c>
      <c r="T16" s="543" t="str">
        <f aca="false">IF(H16="","",((H16*0.00003937*1000000)))</f>
        <v/>
      </c>
    </row>
    <row r="17" customFormat="false" ht="12.75" hidden="false" customHeight="true" outlineLevel="0" collapsed="false">
      <c r="A17" s="541" t="str">
        <f aca="false">IF(CALIBRACION!H23="","",+CALIBRACION!A23)</f>
        <v/>
      </c>
      <c r="B17" s="542" t="e">
        <f aca="false">CALIBRACION!I23</f>
        <v>#VALUE!</v>
      </c>
      <c r="C17" s="542" t="str">
        <f aca="false">IF(CALIBRACION!H23="","",CALIBRACION!H23)</f>
        <v/>
      </c>
      <c r="D17" s="542" t="str">
        <f aca="false">IF(CALIBRACION!H23="","",CALIBRACION!Q23*1000)</f>
        <v/>
      </c>
      <c r="E17" s="542" t="str">
        <f aca="false">IF(CALIBRACION!H23="","",CALIBRACION!T23)</f>
        <v/>
      </c>
      <c r="F17" s="543" t="str">
        <f aca="false">IF(INCERTIDUMBRE!B40="","",INCERTIDUMBRE!AS40)</f>
        <v/>
      </c>
      <c r="G17" s="543" t="str">
        <f aca="false">IF(CALIBRACION!H23="","",CALIBRACION!L23)</f>
        <v/>
      </c>
      <c r="H17" s="543" t="str">
        <f aca="false">IF(CALIBRACION!H23="","",CALIBRACION!M23)</f>
        <v/>
      </c>
      <c r="I17" s="544" t="str">
        <f aca="false">IF(CALIBRACION!H23="","",IF(CALIBRACION!K23="","sí","no"))</f>
        <v/>
      </c>
      <c r="J17" s="544" t="str">
        <f aca="false">IF(CALIBRACION!H23="","",IF(CALIBRACION!K23="","sí","no"))</f>
        <v/>
      </c>
      <c r="K17" s="545" t="str">
        <f aca="false">IF(CALIBRACION!L23="","",CALIBRACION!N23)</f>
        <v/>
      </c>
      <c r="M17" s="541" t="str">
        <f aca="false">A17</f>
        <v/>
      </c>
      <c r="N17" s="546" t="e">
        <f aca="false">B17</f>
        <v>#VALUE!</v>
      </c>
      <c r="O17" s="547" t="str">
        <f aca="false">CALIBRACION!J23</f>
        <v/>
      </c>
      <c r="P17" s="542" t="str">
        <f aca="false">IF(D17="","",((D17*0.00003937008*1000000)))</f>
        <v/>
      </c>
      <c r="Q17" s="542" t="str">
        <f aca="false">IF(E17="","",((E17/25.4)))</f>
        <v/>
      </c>
      <c r="R17" s="542" t="str">
        <f aca="false">IF(F17="","",(F17*0.00003937008*1000000))</f>
        <v/>
      </c>
      <c r="S17" s="543" t="str">
        <f aca="false">IF(G17="","",((G17*0.00003937*1000000)))</f>
        <v/>
      </c>
      <c r="T17" s="543" t="str">
        <f aca="false">IF(H17="","",((H17*0.00003937*1000000)))</f>
        <v/>
      </c>
    </row>
    <row r="18" customFormat="false" ht="15.75" hidden="false" customHeight="false" outlineLevel="0" collapsed="false">
      <c r="A18" s="541" t="str">
        <f aca="false">IF(CALIBRACION!H24="","",+CALIBRACION!A24)</f>
        <v/>
      </c>
      <c r="B18" s="542" t="e">
        <f aca="false">CALIBRACION!I24</f>
        <v>#VALUE!</v>
      </c>
      <c r="C18" s="542" t="str">
        <f aca="false">IF(CALIBRACION!H24="","",CALIBRACION!H24)</f>
        <v/>
      </c>
      <c r="D18" s="542" t="str">
        <f aca="false">IF(CALIBRACION!H24="","",CALIBRACION!Q24*1000)</f>
        <v/>
      </c>
      <c r="E18" s="542" t="str">
        <f aca="false">IF(CALIBRACION!H24="","",CALIBRACION!T24)</f>
        <v/>
      </c>
      <c r="F18" s="543" t="str">
        <f aca="false">IF(INCERTIDUMBRE!B41="","",INCERTIDUMBRE!AS41)</f>
        <v/>
      </c>
      <c r="G18" s="543" t="str">
        <f aca="false">IF(CALIBRACION!H24="","",CALIBRACION!L24)</f>
        <v/>
      </c>
      <c r="H18" s="543" t="str">
        <f aca="false">IF(CALIBRACION!H24="","",CALIBRACION!M24)</f>
        <v/>
      </c>
      <c r="I18" s="544" t="str">
        <f aca="false">IF(CALIBRACION!H24="","",IF(CALIBRACION!K24="","sí","no"))</f>
        <v/>
      </c>
      <c r="J18" s="544" t="str">
        <f aca="false">IF(CALIBRACION!H24="","",IF(CALIBRACION!K24="","sí","no"))</f>
        <v/>
      </c>
      <c r="K18" s="545" t="str">
        <f aca="false">IF(CALIBRACION!L24="","",CALIBRACION!N24)</f>
        <v/>
      </c>
      <c r="M18" s="541" t="str">
        <f aca="false">A18</f>
        <v/>
      </c>
      <c r="N18" s="546" t="e">
        <f aca="false">B18</f>
        <v>#VALUE!</v>
      </c>
      <c r="O18" s="547" t="str">
        <f aca="false">CALIBRACION!J24</f>
        <v/>
      </c>
      <c r="P18" s="542" t="str">
        <f aca="false">IF(D18="","",((D18*0.00003937008*1000000)))</f>
        <v/>
      </c>
      <c r="Q18" s="542" t="str">
        <f aca="false">IF(E18="","",((E18/25.4)))</f>
        <v/>
      </c>
      <c r="R18" s="542" t="str">
        <f aca="false">IF(F18="","",(F18*0.00003937008*1000000))</f>
        <v/>
      </c>
      <c r="S18" s="543" t="str">
        <f aca="false">IF(G18="","",((G18*0.00003937*1000000)))</f>
        <v/>
      </c>
      <c r="T18" s="543" t="str">
        <f aca="false">IF(H18="","",((H18*0.00003937*1000000)))</f>
        <v/>
      </c>
    </row>
    <row r="19" customFormat="false" ht="15.75" hidden="false" customHeight="false" outlineLevel="0" collapsed="false">
      <c r="A19" s="541" t="str">
        <f aca="false">IF(CALIBRACION!H25="","",+CALIBRACION!A25)</f>
        <v/>
      </c>
      <c r="B19" s="542" t="e">
        <f aca="false">CALIBRACION!I25</f>
        <v>#VALUE!</v>
      </c>
      <c r="C19" s="542" t="str">
        <f aca="false">IF(CALIBRACION!H25="","",CALIBRACION!H25)</f>
        <v/>
      </c>
      <c r="D19" s="542" t="str">
        <f aca="false">IF(CALIBRACION!H25="","",CALIBRACION!Q25*1000)</f>
        <v/>
      </c>
      <c r="E19" s="542" t="str">
        <f aca="false">IF(CALIBRACION!H25="","",CALIBRACION!T25)</f>
        <v/>
      </c>
      <c r="F19" s="543" t="str">
        <f aca="false">IF(INCERTIDUMBRE!B42="","",INCERTIDUMBRE!AS42)</f>
        <v/>
      </c>
      <c r="G19" s="543" t="str">
        <f aca="false">IF(CALIBRACION!H25="","",CALIBRACION!L25)</f>
        <v/>
      </c>
      <c r="H19" s="543" t="str">
        <f aca="false">IF(CALIBRACION!H25="","",CALIBRACION!M25)</f>
        <v/>
      </c>
      <c r="I19" s="544" t="str">
        <f aca="false">IF(CALIBRACION!H25="","",IF(CALIBRACION!K25="","sí","no"))</f>
        <v/>
      </c>
      <c r="J19" s="544" t="str">
        <f aca="false">IF(CALIBRACION!H25="","",IF(CALIBRACION!K25="","sí","no"))</f>
        <v/>
      </c>
      <c r="K19" s="545" t="str">
        <f aca="false">IF(CALIBRACION!L25="","",CALIBRACION!N25)</f>
        <v/>
      </c>
      <c r="M19" s="541" t="str">
        <f aca="false">A19</f>
        <v/>
      </c>
      <c r="N19" s="546" t="e">
        <f aca="false">B19</f>
        <v>#VALUE!</v>
      </c>
      <c r="O19" s="547" t="str">
        <f aca="false">CALIBRACION!J25</f>
        <v/>
      </c>
      <c r="P19" s="542" t="str">
        <f aca="false">IF(D19="","",((D19*0.00003937008*1000000)))</f>
        <v/>
      </c>
      <c r="Q19" s="542" t="str">
        <f aca="false">IF(E19="","",((E19/25.4)))</f>
        <v/>
      </c>
      <c r="R19" s="542" t="str">
        <f aca="false">IF(F19="","",(F19*0.00003937008*1000000))</f>
        <v/>
      </c>
      <c r="S19" s="543" t="str">
        <f aca="false">IF(G19="","",((G19*0.00003937*1000000)))</f>
        <v/>
      </c>
      <c r="T19" s="543" t="str">
        <f aca="false">IF(H19="","",((H19*0.00003937*1000000)))</f>
        <v/>
      </c>
    </row>
    <row r="20" customFormat="false" ht="15.75" hidden="false" customHeight="false" outlineLevel="0" collapsed="false">
      <c r="A20" s="541" t="str">
        <f aca="false">IF(CALIBRACION!H26="","",+CALIBRACION!A26)</f>
        <v/>
      </c>
      <c r="B20" s="549" t="e">
        <f aca="false">CALIBRACION!I26</f>
        <v>#VALUE!</v>
      </c>
      <c r="C20" s="549" t="str">
        <f aca="false">IF(CALIBRACION!H26="","",CALIBRACION!H26)</f>
        <v/>
      </c>
      <c r="D20" s="549" t="str">
        <f aca="false">IF(CALIBRACION!H26="","",CALIBRACION!Q26*1000)</f>
        <v/>
      </c>
      <c r="E20" s="549" t="str">
        <f aca="false">IF(CALIBRACION!H26="","",CALIBRACION!T26)</f>
        <v/>
      </c>
      <c r="F20" s="550" t="str">
        <f aca="false">IF(INCERTIDUMBRE!B43="","",INCERTIDUMBRE!AS43)</f>
        <v/>
      </c>
      <c r="G20" s="550" t="str">
        <f aca="false">IF(CALIBRACION!H26="","",CALIBRACION!L26)</f>
        <v/>
      </c>
      <c r="H20" s="550" t="str">
        <f aca="false">IF(CALIBRACION!H26="","",CALIBRACION!M26)</f>
        <v/>
      </c>
      <c r="I20" s="551" t="str">
        <f aca="false">IF(CALIBRACION!H26="","",IF(CALIBRACION!K26="","sí","no"))</f>
        <v/>
      </c>
      <c r="J20" s="551" t="str">
        <f aca="false">IF(CALIBRACION!H26="","",IF(CALIBRACION!K26="","sí","no"))</f>
        <v/>
      </c>
      <c r="K20" s="552" t="str">
        <f aca="false">IF(CALIBRACION!L26="","",CALIBRACION!N26)</f>
        <v/>
      </c>
      <c r="L20" s="553"/>
      <c r="M20" s="554" t="str">
        <f aca="false">A20</f>
        <v/>
      </c>
      <c r="N20" s="555" t="e">
        <f aca="false">B20</f>
        <v>#VALUE!</v>
      </c>
      <c r="O20" s="556" t="str">
        <f aca="false">CALIBRACION!J26</f>
        <v/>
      </c>
      <c r="P20" s="549" t="str">
        <f aca="false">IF(D20="","",((D20*0.00003937008*1000000)))</f>
        <v/>
      </c>
      <c r="Q20" s="549" t="str">
        <f aca="false">IF(E20="","",((E20/25.4)))</f>
        <v/>
      </c>
      <c r="R20" s="549" t="str">
        <f aca="false">IF(F20="","",(F20*0.00003937008*1000000))</f>
        <v/>
      </c>
      <c r="S20" s="550" t="str">
        <f aca="false">IF(G20="","",((G20*0.00003937*1000000)))</f>
        <v/>
      </c>
      <c r="T20" s="550" t="str">
        <f aca="false">IF(H20="","",((H20*0.00003937*1000000)))</f>
        <v/>
      </c>
    </row>
    <row r="21" customFormat="false" ht="15.75" hidden="false" customHeight="false" outlineLevel="0" collapsed="false">
      <c r="A21" s="541" t="str">
        <f aca="false">IF(CALIBRACION!H27="","",+CALIBRACION!A27)</f>
        <v/>
      </c>
      <c r="B21" s="542" t="e">
        <f aca="false">CALIBRACION!I27</f>
        <v>#VALUE!</v>
      </c>
      <c r="C21" s="542" t="str">
        <f aca="false">IF(CALIBRACION!H27="","",CALIBRACION!H27)</f>
        <v/>
      </c>
      <c r="D21" s="542" t="str">
        <f aca="false">IF(CALIBRACION!H27="","",CALIBRACION!Q27*1000)</f>
        <v/>
      </c>
      <c r="E21" s="542" t="str">
        <f aca="false">IF(CALIBRACION!H27="","",CALIBRACION!T27)</f>
        <v/>
      </c>
      <c r="F21" s="543" t="str">
        <f aca="false">IF(INCERTIDUMBRE!B44="","",INCERTIDUMBRE!AS44)</f>
        <v/>
      </c>
      <c r="G21" s="543" t="str">
        <f aca="false">IF(CALIBRACION!H27="","",CALIBRACION!L27)</f>
        <v/>
      </c>
      <c r="H21" s="543" t="str">
        <f aca="false">IF(CALIBRACION!H27="","",CALIBRACION!M27)</f>
        <v/>
      </c>
      <c r="I21" s="544" t="str">
        <f aca="false">IF(CALIBRACION!H27="","",IF(CALIBRACION!K27="","sí","no"))</f>
        <v/>
      </c>
      <c r="J21" s="544" t="str">
        <f aca="false">IF(CALIBRACION!H27="","",IF(CALIBRACION!K27="","sí","no"))</f>
        <v/>
      </c>
      <c r="K21" s="545" t="str">
        <f aca="false">IF(CALIBRACION!L27="","",CALIBRACION!N27)</f>
        <v/>
      </c>
      <c r="M21" s="541" t="str">
        <f aca="false">A21</f>
        <v/>
      </c>
      <c r="N21" s="546" t="e">
        <f aca="false">B21</f>
        <v>#VALUE!</v>
      </c>
      <c r="O21" s="547" t="str">
        <f aca="false">CALIBRACION!J27</f>
        <v/>
      </c>
      <c r="P21" s="542" t="str">
        <f aca="false">IF(D21="","",((D21*0.00003937008*1000000)))</f>
        <v/>
      </c>
      <c r="Q21" s="542" t="str">
        <f aca="false">IF(E21="","",((E21/25.4)))</f>
        <v/>
      </c>
      <c r="R21" s="542" t="str">
        <f aca="false">IF(F21="","",(F21*0.00003937008*1000000))</f>
        <v/>
      </c>
      <c r="S21" s="543" t="str">
        <f aca="false">IF(G21="","",((G21*0.00003937*1000000)))</f>
        <v/>
      </c>
      <c r="T21" s="543" t="str">
        <f aca="false">IF(H21="","",((H21*0.00003937*1000000)))</f>
        <v/>
      </c>
    </row>
    <row r="22" customFormat="false" ht="15.75" hidden="false" customHeight="false" outlineLevel="0" collapsed="false">
      <c r="A22" s="541" t="str">
        <f aca="false">IF(CALIBRACION!H28="","",+CALIBRACION!A28)</f>
        <v/>
      </c>
      <c r="B22" s="542" t="e">
        <f aca="false">CALIBRACION!I28</f>
        <v>#VALUE!</v>
      </c>
      <c r="C22" s="542" t="str">
        <f aca="false">IF(CALIBRACION!H28="","",CALIBRACION!H28)</f>
        <v/>
      </c>
      <c r="D22" s="542" t="str">
        <f aca="false">IF(CALIBRACION!H28="","",CALIBRACION!Q28*1000)</f>
        <v/>
      </c>
      <c r="E22" s="542" t="str">
        <f aca="false">IF(CALIBRACION!H28="","",CALIBRACION!T28)</f>
        <v/>
      </c>
      <c r="F22" s="543" t="str">
        <f aca="false">IF(INCERTIDUMBRE!B45="","",INCERTIDUMBRE!AS45)</f>
        <v/>
      </c>
      <c r="G22" s="543" t="str">
        <f aca="false">IF(CALIBRACION!H28="","",CALIBRACION!L28)</f>
        <v/>
      </c>
      <c r="H22" s="543" t="str">
        <f aca="false">IF(CALIBRACION!H28="","",CALIBRACION!M28)</f>
        <v/>
      </c>
      <c r="I22" s="544" t="str">
        <f aca="false">IF(CALIBRACION!H28="","",IF(CALIBRACION!K28="","sí","no"))</f>
        <v/>
      </c>
      <c r="J22" s="544" t="str">
        <f aca="false">IF(CALIBRACION!H28="","",IF(CALIBRACION!K28="","sí","no"))</f>
        <v/>
      </c>
      <c r="K22" s="545" t="str">
        <f aca="false">IF(CALIBRACION!L28="","",CALIBRACION!N28)</f>
        <v/>
      </c>
      <c r="M22" s="541" t="str">
        <f aca="false">A22</f>
        <v/>
      </c>
      <c r="N22" s="546" t="e">
        <f aca="false">B22</f>
        <v>#VALUE!</v>
      </c>
      <c r="O22" s="547" t="str">
        <f aca="false">CALIBRACION!J28</f>
        <v/>
      </c>
      <c r="P22" s="542" t="str">
        <f aca="false">IF(D22="","",((D22*0.00003937008*1000000)))</f>
        <v/>
      </c>
      <c r="Q22" s="542" t="str">
        <f aca="false">IF(E22="","",((E22/25.4)))</f>
        <v/>
      </c>
      <c r="R22" s="542" t="str">
        <f aca="false">IF(F22="","",(F22*0.00003937008*1000000))</f>
        <v/>
      </c>
      <c r="S22" s="543" t="str">
        <f aca="false">IF(G22="","",((G22*0.00003937*1000000)))</f>
        <v/>
      </c>
      <c r="T22" s="543" t="str">
        <f aca="false">IF(H22="","",((H22*0.00003937*1000000)))</f>
        <v/>
      </c>
    </row>
    <row r="23" customFormat="false" ht="15.75" hidden="false" customHeight="false" outlineLevel="0" collapsed="false">
      <c r="A23" s="541" t="str">
        <f aca="false">IF(CALIBRACION!H29="","",+CALIBRACION!A29)</f>
        <v/>
      </c>
      <c r="B23" s="542" t="e">
        <f aca="false">CALIBRACION!I29</f>
        <v>#VALUE!</v>
      </c>
      <c r="C23" s="542" t="str">
        <f aca="false">IF(CALIBRACION!H29="","",CALIBRACION!H29)</f>
        <v/>
      </c>
      <c r="D23" s="542" t="str">
        <f aca="false">IF(CALIBRACION!H29="","",CALIBRACION!Q29*1000)</f>
        <v/>
      </c>
      <c r="E23" s="542" t="str">
        <f aca="false">IF(CALIBRACION!H29="","",CALIBRACION!T29)</f>
        <v/>
      </c>
      <c r="F23" s="543" t="str">
        <f aca="false">IF(INCERTIDUMBRE!B46="","",INCERTIDUMBRE!AS46)</f>
        <v/>
      </c>
      <c r="G23" s="543" t="str">
        <f aca="false">IF(CALIBRACION!H29="","",CALIBRACION!L29)</f>
        <v/>
      </c>
      <c r="H23" s="543" t="str">
        <f aca="false">IF(CALIBRACION!H29="","",CALIBRACION!M29)</f>
        <v/>
      </c>
      <c r="I23" s="544" t="str">
        <f aca="false">IF(CALIBRACION!H29="","",IF(CALIBRACION!K29="","sí","no"))</f>
        <v/>
      </c>
      <c r="J23" s="544" t="str">
        <f aca="false">IF(CALIBRACION!H29="","",IF(CALIBRACION!K29="","sí","no"))</f>
        <v/>
      </c>
      <c r="K23" s="545" t="str">
        <f aca="false">IF(CALIBRACION!L29="","",CALIBRACION!N29)</f>
        <v/>
      </c>
      <c r="M23" s="541" t="str">
        <f aca="false">A23</f>
        <v/>
      </c>
      <c r="N23" s="546" t="e">
        <f aca="false">B23</f>
        <v>#VALUE!</v>
      </c>
      <c r="O23" s="547" t="str">
        <f aca="false">CALIBRACION!J29</f>
        <v/>
      </c>
      <c r="P23" s="542" t="str">
        <f aca="false">IF(D23="","",((D23*0.00003937008*1000000)))</f>
        <v/>
      </c>
      <c r="Q23" s="542" t="str">
        <f aca="false">IF(E23="","",((E23/25.4)))</f>
        <v/>
      </c>
      <c r="R23" s="542" t="str">
        <f aca="false">IF(F23="","",(F23*0.00003937008*1000000))</f>
        <v/>
      </c>
      <c r="S23" s="543" t="str">
        <f aca="false">IF(G23="","",((G23*0.00003937*1000000)))</f>
        <v/>
      </c>
      <c r="T23" s="543" t="str">
        <f aca="false">IF(H23="","",((H23*0.00003937*1000000)))</f>
        <v/>
      </c>
    </row>
    <row r="24" customFormat="false" ht="15.75" hidden="false" customHeight="false" outlineLevel="0" collapsed="false">
      <c r="A24" s="541" t="str">
        <f aca="false">IF(CALIBRACION!H30="","",+CALIBRACION!A30)</f>
        <v/>
      </c>
      <c r="B24" s="542" t="e">
        <f aca="false">CALIBRACION!I30</f>
        <v>#VALUE!</v>
      </c>
      <c r="C24" s="542" t="str">
        <f aca="false">IF(CALIBRACION!H30="","",CALIBRACION!H30)</f>
        <v/>
      </c>
      <c r="D24" s="542" t="str">
        <f aca="false">IF(CALIBRACION!H30="","",CALIBRACION!Q30*1000)</f>
        <v/>
      </c>
      <c r="E24" s="542" t="str">
        <f aca="false">IF(CALIBRACION!H30="","",CALIBRACION!T30)</f>
        <v/>
      </c>
      <c r="F24" s="543" t="str">
        <f aca="false">IF(INCERTIDUMBRE!B47="","",INCERTIDUMBRE!AS47)</f>
        <v/>
      </c>
      <c r="G24" s="543" t="str">
        <f aca="false">IF(CALIBRACION!H30="","",CALIBRACION!L30)</f>
        <v/>
      </c>
      <c r="H24" s="543" t="str">
        <f aca="false">IF(CALIBRACION!H30="","",CALIBRACION!M30)</f>
        <v/>
      </c>
      <c r="I24" s="544" t="str">
        <f aca="false">IF(CALIBRACION!H30="","",IF(CALIBRACION!K30="","sí","no"))</f>
        <v/>
      </c>
      <c r="J24" s="544" t="str">
        <f aca="false">IF(CALIBRACION!H30="","",IF(CALIBRACION!K30="","sí","no"))</f>
        <v/>
      </c>
      <c r="K24" s="545" t="str">
        <f aca="false">IF(CALIBRACION!L30="","",CALIBRACION!N30)</f>
        <v/>
      </c>
      <c r="M24" s="541" t="str">
        <f aca="false">A24</f>
        <v/>
      </c>
      <c r="N24" s="546" t="e">
        <f aca="false">B24</f>
        <v>#VALUE!</v>
      </c>
      <c r="O24" s="547" t="str">
        <f aca="false">CALIBRACION!J30</f>
        <v/>
      </c>
      <c r="P24" s="542" t="str">
        <f aca="false">IF(D24="","",((D24*0.00003937008*1000000)))</f>
        <v/>
      </c>
      <c r="Q24" s="542" t="str">
        <f aca="false">IF(E24="","",((E24/25.4)))</f>
        <v/>
      </c>
      <c r="R24" s="542" t="str">
        <f aca="false">IF(F24="","",(F24*0.00003937008*1000000))</f>
        <v/>
      </c>
      <c r="S24" s="543" t="str">
        <f aca="false">IF(G24="","",((G24*0.00003937*1000000)))</f>
        <v/>
      </c>
      <c r="T24" s="543" t="str">
        <f aca="false">IF(H24="","",((H24*0.00003937*1000000)))</f>
        <v/>
      </c>
    </row>
    <row r="25" customFormat="false" ht="15.75" hidden="false" customHeight="false" outlineLevel="0" collapsed="false">
      <c r="A25" s="541" t="str">
        <f aca="false">IF(CALIBRACION!H31="","",+CALIBRACION!A31)</f>
        <v/>
      </c>
      <c r="B25" s="542" t="e">
        <f aca="false">CALIBRACION!I31</f>
        <v>#VALUE!</v>
      </c>
      <c r="C25" s="542" t="str">
        <f aca="false">IF(CALIBRACION!H31="","",CALIBRACION!H31)</f>
        <v/>
      </c>
      <c r="D25" s="542" t="str">
        <f aca="false">IF(CALIBRACION!H31="","",CALIBRACION!Q31*1000)</f>
        <v/>
      </c>
      <c r="E25" s="542" t="str">
        <f aca="false">IF(CALIBRACION!H31="","",CALIBRACION!T31)</f>
        <v/>
      </c>
      <c r="F25" s="543" t="str">
        <f aca="false">IF(INCERTIDUMBRE!B48="","",INCERTIDUMBRE!AS48)</f>
        <v/>
      </c>
      <c r="G25" s="543" t="str">
        <f aca="false">IF(CALIBRACION!H31="","",CALIBRACION!L31)</f>
        <v/>
      </c>
      <c r="H25" s="543" t="str">
        <f aca="false">IF(CALIBRACION!H31="","",CALIBRACION!M31)</f>
        <v/>
      </c>
      <c r="I25" s="544" t="str">
        <f aca="false">IF(CALIBRACION!H31="","",IF(CALIBRACION!K31="","sí","no"))</f>
        <v/>
      </c>
      <c r="J25" s="544" t="str">
        <f aca="false">IF(CALIBRACION!H31="","",IF(CALIBRACION!K31="","sí","no"))</f>
        <v/>
      </c>
      <c r="K25" s="545" t="str">
        <f aca="false">IF(CALIBRACION!L31="","",CALIBRACION!N31)</f>
        <v/>
      </c>
      <c r="M25" s="541" t="str">
        <f aca="false">A25</f>
        <v/>
      </c>
      <c r="N25" s="546" t="e">
        <f aca="false">B25</f>
        <v>#VALUE!</v>
      </c>
      <c r="O25" s="547" t="str">
        <f aca="false">CALIBRACION!J31</f>
        <v/>
      </c>
      <c r="P25" s="542" t="str">
        <f aca="false">IF(D25="","",((D25*0.00003937008*1000000)))</f>
        <v/>
      </c>
      <c r="Q25" s="542" t="str">
        <f aca="false">IF(E25="","",((E25/25.4)))</f>
        <v/>
      </c>
      <c r="R25" s="542" t="str">
        <f aca="false">IF(F25="","",(F25*0.00003937008*1000000))</f>
        <v/>
      </c>
      <c r="S25" s="543" t="str">
        <f aca="false">IF(G25="","",((G25*0.00003937*1000000)))</f>
        <v/>
      </c>
      <c r="T25" s="543" t="str">
        <f aca="false">IF(H25="","",((H25*0.00003937*1000000)))</f>
        <v/>
      </c>
    </row>
    <row r="26" customFormat="false" ht="15.75" hidden="false" customHeight="false" outlineLevel="0" collapsed="false">
      <c r="A26" s="541" t="str">
        <f aca="false">IF(CALIBRACION!H32="","",+CALIBRACION!A32)</f>
        <v/>
      </c>
      <c r="B26" s="542" t="e">
        <f aca="false">CALIBRACION!I32</f>
        <v>#VALUE!</v>
      </c>
      <c r="C26" s="542" t="str">
        <f aca="false">IF(CALIBRACION!H32="","",CALIBRACION!H32)</f>
        <v/>
      </c>
      <c r="D26" s="542" t="str">
        <f aca="false">IF(CALIBRACION!H32="","",CALIBRACION!Q32*1000)</f>
        <v/>
      </c>
      <c r="E26" s="542" t="str">
        <f aca="false">IF(CALIBRACION!H32="","",CALIBRACION!T32)</f>
        <v/>
      </c>
      <c r="F26" s="543" t="str">
        <f aca="false">IF(INCERTIDUMBRE!B49="","",INCERTIDUMBRE!AS49)</f>
        <v/>
      </c>
      <c r="G26" s="543" t="str">
        <f aca="false">IF(CALIBRACION!H32="","",CALIBRACION!L32)</f>
        <v/>
      </c>
      <c r="H26" s="543" t="str">
        <f aca="false">IF(CALIBRACION!H32="","",CALIBRACION!M32)</f>
        <v/>
      </c>
      <c r="I26" s="544" t="str">
        <f aca="false">IF(CALIBRACION!H32="","",IF(CALIBRACION!K32="","sí","no"))</f>
        <v/>
      </c>
      <c r="J26" s="544" t="str">
        <f aca="false">IF(CALIBRACION!H32="","",IF(CALIBRACION!K32="","sí","no"))</f>
        <v/>
      </c>
      <c r="K26" s="545" t="str">
        <f aca="false">IF(CALIBRACION!L32="","",CALIBRACION!N32)</f>
        <v/>
      </c>
      <c r="M26" s="541" t="str">
        <f aca="false">A26</f>
        <v/>
      </c>
      <c r="N26" s="546" t="e">
        <f aca="false">B26</f>
        <v>#VALUE!</v>
      </c>
      <c r="O26" s="547" t="str">
        <f aca="false">CALIBRACION!J32</f>
        <v/>
      </c>
      <c r="P26" s="542" t="str">
        <f aca="false">IF(D26="","",((D26*0.00003937008*1000000)))</f>
        <v/>
      </c>
      <c r="Q26" s="542" t="str">
        <f aca="false">IF(E26="","",((E26/25.4)))</f>
        <v/>
      </c>
      <c r="R26" s="542" t="str">
        <f aca="false">IF(F26="","",(F26*0.00003937008*1000000))</f>
        <v/>
      </c>
      <c r="S26" s="543" t="str">
        <f aca="false">IF(G26="","",((G26*0.00003937*1000000)))</f>
        <v/>
      </c>
      <c r="T26" s="543" t="str">
        <f aca="false">IF(H26="","",((H26*0.00003937*1000000)))</f>
        <v/>
      </c>
    </row>
    <row r="27" customFormat="false" ht="15.75" hidden="false" customHeight="false" outlineLevel="0" collapsed="false">
      <c r="A27" s="541" t="str">
        <f aca="false">IF(CALIBRACION!H33="","",+CALIBRACION!A33)</f>
        <v/>
      </c>
      <c r="B27" s="542" t="e">
        <f aca="false">CALIBRACION!I33</f>
        <v>#VALUE!</v>
      </c>
      <c r="C27" s="542" t="str">
        <f aca="false">IF(CALIBRACION!H33="","",CALIBRACION!H33)</f>
        <v/>
      </c>
      <c r="D27" s="542" t="str">
        <f aca="false">IF(CALIBRACION!H33="","",CALIBRACION!Q33*1000)</f>
        <v/>
      </c>
      <c r="E27" s="542" t="str">
        <f aca="false">IF(CALIBRACION!H33="","",CALIBRACION!T33)</f>
        <v/>
      </c>
      <c r="F27" s="543" t="str">
        <f aca="false">IF(INCERTIDUMBRE!B50="","",INCERTIDUMBRE!AS50)</f>
        <v/>
      </c>
      <c r="G27" s="543" t="str">
        <f aca="false">IF(CALIBRACION!H33="","",CALIBRACION!L33)</f>
        <v/>
      </c>
      <c r="H27" s="543" t="str">
        <f aca="false">IF(CALIBRACION!H33="","",CALIBRACION!M33)</f>
        <v/>
      </c>
      <c r="I27" s="544" t="str">
        <f aca="false">IF(CALIBRACION!H33="","",IF(CALIBRACION!K33="","sí","no"))</f>
        <v/>
      </c>
      <c r="J27" s="544" t="str">
        <f aca="false">IF(CALIBRACION!H33="","",IF(CALIBRACION!K33="","sí","no"))</f>
        <v/>
      </c>
      <c r="K27" s="545" t="str">
        <f aca="false">IF(CALIBRACION!L33="","",CALIBRACION!N33)</f>
        <v/>
      </c>
      <c r="M27" s="541" t="str">
        <f aca="false">A27</f>
        <v/>
      </c>
      <c r="N27" s="546" t="e">
        <f aca="false">B27</f>
        <v>#VALUE!</v>
      </c>
      <c r="O27" s="547" t="str">
        <f aca="false">CALIBRACION!J33</f>
        <v/>
      </c>
      <c r="P27" s="542" t="str">
        <f aca="false">IF(D27="","",((D27*0.00003937008*1000000)))</f>
        <v/>
      </c>
      <c r="Q27" s="542" t="str">
        <f aca="false">IF(E27="","",((E27/25.4)))</f>
        <v/>
      </c>
      <c r="R27" s="542" t="str">
        <f aca="false">IF(F27="","",(F27*0.00003937008*1000000))</f>
        <v/>
      </c>
      <c r="S27" s="543" t="str">
        <f aca="false">IF(G27="","",((G27*0.00003937*1000000)))</f>
        <v/>
      </c>
      <c r="T27" s="543" t="str">
        <f aca="false">IF(H27="","",((H27*0.00003937*1000000)))</f>
        <v/>
      </c>
    </row>
    <row r="28" customFormat="false" ht="15.75" hidden="false" customHeight="false" outlineLevel="0" collapsed="false">
      <c r="A28" s="541" t="str">
        <f aca="false">IF(CALIBRACION!H34="","",+CALIBRACION!A34)</f>
        <v/>
      </c>
      <c r="B28" s="542" t="e">
        <f aca="false">CALIBRACION!I34</f>
        <v>#VALUE!</v>
      </c>
      <c r="C28" s="542" t="str">
        <f aca="false">IF(CALIBRACION!H34="","",CALIBRACION!H34)</f>
        <v/>
      </c>
      <c r="D28" s="542" t="str">
        <f aca="false">IF(CALIBRACION!H34="","",CALIBRACION!Q34*1000)</f>
        <v/>
      </c>
      <c r="E28" s="542" t="str">
        <f aca="false">IF(CALIBRACION!H34="","",CALIBRACION!T34)</f>
        <v/>
      </c>
      <c r="F28" s="543" t="str">
        <f aca="false">IF(INCERTIDUMBRE!B51="","",INCERTIDUMBRE!AS51)</f>
        <v/>
      </c>
      <c r="G28" s="543" t="str">
        <f aca="false">IF(CALIBRACION!H34="","",CALIBRACION!L34)</f>
        <v/>
      </c>
      <c r="H28" s="543" t="str">
        <f aca="false">IF(CALIBRACION!H34="","",CALIBRACION!M34)</f>
        <v/>
      </c>
      <c r="I28" s="544" t="str">
        <f aca="false">IF(CALIBRACION!H34="","",IF(CALIBRACION!K34="","sí","no"))</f>
        <v/>
      </c>
      <c r="J28" s="544" t="str">
        <f aca="false">IF(CALIBRACION!H34="","",IF(CALIBRACION!K34="","sí","no"))</f>
        <v/>
      </c>
      <c r="K28" s="545" t="str">
        <f aca="false">IF(CALIBRACION!L34="","",CALIBRACION!N34)</f>
        <v/>
      </c>
      <c r="M28" s="541" t="str">
        <f aca="false">A28</f>
        <v/>
      </c>
      <c r="N28" s="546" t="e">
        <f aca="false">B28</f>
        <v>#VALUE!</v>
      </c>
      <c r="O28" s="547" t="str">
        <f aca="false">CALIBRACION!J34</f>
        <v/>
      </c>
      <c r="P28" s="542" t="str">
        <f aca="false">IF(D28="","",((D28*0.00003937008*1000000)))</f>
        <v/>
      </c>
      <c r="Q28" s="542" t="str">
        <f aca="false">IF(E28="","",((E28/25.4)))</f>
        <v/>
      </c>
      <c r="R28" s="542" t="str">
        <f aca="false">IF(F28="","",(F28*0.00003937008*1000000))</f>
        <v/>
      </c>
      <c r="S28" s="543" t="str">
        <f aca="false">IF(G28="","",((G28*0.00003937*1000000)))</f>
        <v/>
      </c>
      <c r="T28" s="543" t="str">
        <f aca="false">IF(H28="","",((H28*0.00003937*1000000)))</f>
        <v/>
      </c>
    </row>
    <row r="29" customFormat="false" ht="15.75" hidden="false" customHeight="false" outlineLevel="0" collapsed="false">
      <c r="A29" s="541" t="str">
        <f aca="false">IF(CALIBRACION!H35="","",+CALIBRACION!A35)</f>
        <v/>
      </c>
      <c r="B29" s="542" t="e">
        <f aca="false">CALIBRACION!I35</f>
        <v>#VALUE!</v>
      </c>
      <c r="C29" s="542" t="str">
        <f aca="false">IF(CALIBRACION!H35="","",CALIBRACION!H35)</f>
        <v/>
      </c>
      <c r="D29" s="542" t="str">
        <f aca="false">IF(CALIBRACION!H35="","",CALIBRACION!Q35*1000)</f>
        <v/>
      </c>
      <c r="E29" s="542" t="str">
        <f aca="false">IF(CALIBRACION!H35="","",CALIBRACION!T35)</f>
        <v/>
      </c>
      <c r="F29" s="543" t="str">
        <f aca="false">IF(INCERTIDUMBRE!B52="","",INCERTIDUMBRE!AS52)</f>
        <v/>
      </c>
      <c r="G29" s="543" t="str">
        <f aca="false">IF(CALIBRACION!H35="","",CALIBRACION!L35)</f>
        <v/>
      </c>
      <c r="H29" s="543" t="str">
        <f aca="false">IF(CALIBRACION!H35="","",CALIBRACION!M35)</f>
        <v/>
      </c>
      <c r="I29" s="544" t="str">
        <f aca="false">IF(CALIBRACION!H35="","",IF(CALIBRACION!K35="","sí","no"))</f>
        <v/>
      </c>
      <c r="J29" s="544" t="str">
        <f aca="false">IF(CALIBRACION!H35="","",IF(CALIBRACION!K35="","sí","no"))</f>
        <v/>
      </c>
      <c r="K29" s="545" t="str">
        <f aca="false">IF(CALIBRACION!L35="","",CALIBRACION!N35)</f>
        <v/>
      </c>
      <c r="M29" s="541" t="str">
        <f aca="false">A29</f>
        <v/>
      </c>
      <c r="N29" s="546" t="e">
        <f aca="false">B29</f>
        <v>#VALUE!</v>
      </c>
      <c r="O29" s="547" t="str">
        <f aca="false">CALIBRACION!J35</f>
        <v/>
      </c>
      <c r="P29" s="542" t="str">
        <f aca="false">IF(D29="","",((D29*0.00003937008*1000000)))</f>
        <v/>
      </c>
      <c r="Q29" s="542" t="str">
        <f aca="false">IF(E29="","",((E29/25.4)))</f>
        <v/>
      </c>
      <c r="R29" s="542" t="str">
        <f aca="false">IF(F29="","",(F29*0.00003937008*1000000))</f>
        <v/>
      </c>
      <c r="S29" s="543" t="str">
        <f aca="false">IF(G29="","",((G29*0.00003937*1000000)))</f>
        <v/>
      </c>
      <c r="T29" s="543" t="str">
        <f aca="false">IF(H29="","",((H29*0.00003937*1000000)))</f>
        <v/>
      </c>
    </row>
    <row r="30" customFormat="false" ht="15.75" hidden="false" customHeight="false" outlineLevel="0" collapsed="false">
      <c r="A30" s="541" t="str">
        <f aca="false">IF(CALIBRACION!H36="","",+CALIBRACION!A36)</f>
        <v/>
      </c>
      <c r="B30" s="542" t="e">
        <f aca="false">CALIBRACION!I36</f>
        <v>#VALUE!</v>
      </c>
      <c r="C30" s="542" t="str">
        <f aca="false">IF(CALIBRACION!H36="","",CALIBRACION!H36)</f>
        <v/>
      </c>
      <c r="D30" s="542" t="str">
        <f aca="false">IF(CALIBRACION!H36="","",CALIBRACION!Q36*1000)</f>
        <v/>
      </c>
      <c r="E30" s="542" t="str">
        <f aca="false">IF(CALIBRACION!H36="","",CALIBRACION!T36)</f>
        <v/>
      </c>
      <c r="F30" s="543" t="str">
        <f aca="false">IF(INCERTIDUMBRE!B53="","",INCERTIDUMBRE!AS53)</f>
        <v/>
      </c>
      <c r="G30" s="543" t="str">
        <f aca="false">IF(CALIBRACION!H36="","",CALIBRACION!L36)</f>
        <v/>
      </c>
      <c r="H30" s="543" t="str">
        <f aca="false">IF(CALIBRACION!H36="","",CALIBRACION!M36)</f>
        <v/>
      </c>
      <c r="I30" s="544" t="str">
        <f aca="false">IF(CALIBRACION!H36="","",IF(CALIBRACION!K36="","sí","no"))</f>
        <v/>
      </c>
      <c r="J30" s="544" t="str">
        <f aca="false">IF(CALIBRACION!H36="","",IF(CALIBRACION!K36="","sí","no"))</f>
        <v/>
      </c>
      <c r="K30" s="545" t="str">
        <f aca="false">IF(CALIBRACION!L36="","",CALIBRACION!N36)</f>
        <v/>
      </c>
      <c r="M30" s="541" t="str">
        <f aca="false">A30</f>
        <v/>
      </c>
      <c r="N30" s="546" t="e">
        <f aca="false">B30</f>
        <v>#VALUE!</v>
      </c>
      <c r="O30" s="547" t="str">
        <f aca="false">CALIBRACION!J36</f>
        <v/>
      </c>
      <c r="P30" s="542" t="str">
        <f aca="false">IF(D30="","",((D30*0.00003937008*1000000)))</f>
        <v/>
      </c>
      <c r="Q30" s="542" t="str">
        <f aca="false">IF(E30="","",((E30/25.4)))</f>
        <v/>
      </c>
      <c r="R30" s="542" t="str">
        <f aca="false">IF(F30="","",(F30*0.00003937008*1000000))</f>
        <v/>
      </c>
      <c r="S30" s="543" t="str">
        <f aca="false">IF(G30="","",((G30*0.00003937*1000000)))</f>
        <v/>
      </c>
      <c r="T30" s="543" t="str">
        <f aca="false">IF(H30="","",((H30*0.00003937*1000000)))</f>
        <v/>
      </c>
    </row>
    <row r="31" customFormat="false" ht="15.75" hidden="false" customHeight="false" outlineLevel="0" collapsed="false">
      <c r="A31" s="541" t="str">
        <f aca="false">IF(CALIBRACION!H37="","",+CALIBRACION!A37)</f>
        <v/>
      </c>
      <c r="B31" s="542" t="e">
        <f aca="false">CALIBRACION!I37</f>
        <v>#VALUE!</v>
      </c>
      <c r="C31" s="542" t="str">
        <f aca="false">IF(CALIBRACION!H37="","",CALIBRACION!H37)</f>
        <v/>
      </c>
      <c r="D31" s="542" t="str">
        <f aca="false">IF(CALIBRACION!H37="","",CALIBRACION!Q37*1000)</f>
        <v/>
      </c>
      <c r="E31" s="542" t="str">
        <f aca="false">IF(CALIBRACION!H37="","",CALIBRACION!T37)</f>
        <v/>
      </c>
      <c r="F31" s="543" t="str">
        <f aca="false">IF(INCERTIDUMBRE!B54="","",INCERTIDUMBRE!AS54)</f>
        <v/>
      </c>
      <c r="G31" s="543" t="str">
        <f aca="false">IF(CALIBRACION!H37="","",CALIBRACION!L37)</f>
        <v/>
      </c>
      <c r="H31" s="543" t="str">
        <f aca="false">IF(CALIBRACION!H37="","",CALIBRACION!M37)</f>
        <v/>
      </c>
      <c r="I31" s="544" t="str">
        <f aca="false">IF(CALIBRACION!H37="","",IF(CALIBRACION!K37="","sí","no"))</f>
        <v/>
      </c>
      <c r="J31" s="544" t="str">
        <f aca="false">IF(CALIBRACION!H37="","",IF(CALIBRACION!K37="","sí","no"))</f>
        <v/>
      </c>
      <c r="K31" s="545" t="str">
        <f aca="false">IF(CALIBRACION!L37="","",CALIBRACION!N37)</f>
        <v/>
      </c>
      <c r="M31" s="541" t="str">
        <f aca="false">A31</f>
        <v/>
      </c>
      <c r="N31" s="546" t="e">
        <f aca="false">B31</f>
        <v>#VALUE!</v>
      </c>
      <c r="O31" s="547" t="str">
        <f aca="false">CALIBRACION!J37</f>
        <v/>
      </c>
      <c r="P31" s="542" t="str">
        <f aca="false">IF(D31="","",((D31*0.00003937008*1000000)))</f>
        <v/>
      </c>
      <c r="Q31" s="542" t="str">
        <f aca="false">IF(E31="","",((E31/25.4)))</f>
        <v/>
      </c>
      <c r="R31" s="542" t="str">
        <f aca="false">IF(F31="","",(F31*0.00003937008*1000000))</f>
        <v/>
      </c>
      <c r="S31" s="543" t="str">
        <f aca="false">IF(G31="","",((G31*0.00003937*1000000)))</f>
        <v/>
      </c>
      <c r="T31" s="543" t="str">
        <f aca="false">IF(H31="","",((H31*0.00003937*1000000)))</f>
        <v/>
      </c>
    </row>
    <row r="32" customFormat="false" ht="15.75" hidden="false" customHeight="false" outlineLevel="0" collapsed="false">
      <c r="A32" s="541" t="str">
        <f aca="false">IF(CALIBRACION!H38="","",+CALIBRACION!A38)</f>
        <v/>
      </c>
      <c r="B32" s="542" t="e">
        <f aca="false">CALIBRACION!I38</f>
        <v>#VALUE!</v>
      </c>
      <c r="C32" s="542" t="str">
        <f aca="false">IF(CALIBRACION!H38="","",CALIBRACION!H38)</f>
        <v/>
      </c>
      <c r="D32" s="542" t="str">
        <f aca="false">IF(CALIBRACION!H38="","",CALIBRACION!Q38*1000)</f>
        <v/>
      </c>
      <c r="E32" s="542" t="str">
        <f aca="false">IF(CALIBRACION!H38="","",CALIBRACION!T38)</f>
        <v/>
      </c>
      <c r="F32" s="543" t="str">
        <f aca="false">IF(INCERTIDUMBRE!B55="","",INCERTIDUMBRE!AS55)</f>
        <v/>
      </c>
      <c r="G32" s="543" t="str">
        <f aca="false">IF(CALIBRACION!H38="","",CALIBRACION!L38)</f>
        <v/>
      </c>
      <c r="H32" s="543" t="str">
        <f aca="false">IF(CALIBRACION!H38="","",CALIBRACION!M38)</f>
        <v/>
      </c>
      <c r="I32" s="544" t="str">
        <f aca="false">IF(CALIBRACION!H38="","",IF(CALIBRACION!K38="","sí","no"))</f>
        <v/>
      </c>
      <c r="J32" s="544" t="str">
        <f aca="false">IF(CALIBRACION!H38="","",IF(CALIBRACION!K38="","sí","no"))</f>
        <v/>
      </c>
      <c r="K32" s="545" t="str">
        <f aca="false">IF(CALIBRACION!L38="","",CALIBRACION!N38)</f>
        <v/>
      </c>
      <c r="M32" s="541" t="str">
        <f aca="false">A32</f>
        <v/>
      </c>
      <c r="N32" s="546" t="e">
        <f aca="false">B32</f>
        <v>#VALUE!</v>
      </c>
      <c r="O32" s="547" t="str">
        <f aca="false">CALIBRACION!J38</f>
        <v/>
      </c>
      <c r="P32" s="542" t="str">
        <f aca="false">IF(D32="","",((D32*0.00003937008*1000000)))</f>
        <v/>
      </c>
      <c r="Q32" s="542" t="str">
        <f aca="false">IF(E32="","",((E32/25.4)))</f>
        <v/>
      </c>
      <c r="R32" s="542" t="str">
        <f aca="false">IF(F32="","",(F32*0.00003937008*1000000))</f>
        <v/>
      </c>
      <c r="S32" s="543" t="str">
        <f aca="false">IF(G32="","",((G32*0.00003937*1000000)))</f>
        <v/>
      </c>
      <c r="T32" s="543" t="str">
        <f aca="false">IF(H32="","",((H32*0.00003937*1000000)))</f>
        <v/>
      </c>
    </row>
    <row r="33" customFormat="false" ht="15.75" hidden="false" customHeight="false" outlineLevel="0" collapsed="false">
      <c r="A33" s="541" t="str">
        <f aca="false">IF(CALIBRACION!H39="","",+CALIBRACION!A39)</f>
        <v/>
      </c>
      <c r="B33" s="542" t="e">
        <f aca="false">CALIBRACION!I39</f>
        <v>#VALUE!</v>
      </c>
      <c r="C33" s="542" t="str">
        <f aca="false">IF(CALIBRACION!H39="","",CALIBRACION!H39)</f>
        <v/>
      </c>
      <c r="D33" s="542" t="str">
        <f aca="false">IF(CALIBRACION!H39="","",CALIBRACION!Q39*1000)</f>
        <v/>
      </c>
      <c r="E33" s="542" t="str">
        <f aca="false">IF(CALIBRACION!H39="","",CALIBRACION!T39)</f>
        <v/>
      </c>
      <c r="F33" s="543" t="str">
        <f aca="false">IF(INCERTIDUMBRE!B56="","",INCERTIDUMBRE!AS56)</f>
        <v/>
      </c>
      <c r="G33" s="543" t="str">
        <f aca="false">IF(CALIBRACION!H39="","",CALIBRACION!L39)</f>
        <v/>
      </c>
      <c r="H33" s="543" t="str">
        <f aca="false">IF(CALIBRACION!H39="","",CALIBRACION!M39)</f>
        <v/>
      </c>
      <c r="I33" s="544" t="str">
        <f aca="false">IF(CALIBRACION!H39="","",IF(CALIBRACION!K39="","sí","no"))</f>
        <v/>
      </c>
      <c r="J33" s="544" t="str">
        <f aca="false">IF(CALIBRACION!H39="","",IF(CALIBRACION!K39="","sí","no"))</f>
        <v/>
      </c>
      <c r="K33" s="545" t="str">
        <f aca="false">IF(CALIBRACION!L39="","",CALIBRACION!N39)</f>
        <v/>
      </c>
      <c r="M33" s="541" t="str">
        <f aca="false">A33</f>
        <v/>
      </c>
      <c r="N33" s="546" t="e">
        <f aca="false">B33</f>
        <v>#VALUE!</v>
      </c>
      <c r="O33" s="547" t="str">
        <f aca="false">CALIBRACION!J39</f>
        <v/>
      </c>
      <c r="P33" s="542" t="str">
        <f aca="false">IF(D33="","",((D33*0.00003937008*1000000)))</f>
        <v/>
      </c>
      <c r="Q33" s="542" t="str">
        <f aca="false">IF(E33="","",((E33/25.4)))</f>
        <v/>
      </c>
      <c r="R33" s="542" t="str">
        <f aca="false">IF(F33="","",(F33*0.00003937008*1000000))</f>
        <v/>
      </c>
      <c r="S33" s="543" t="str">
        <f aca="false">IF(G33="","",((G33*0.00003937*1000000)))</f>
        <v/>
      </c>
      <c r="T33" s="543" t="str">
        <f aca="false">IF(H33="","",((H33*0.00003937*1000000)))</f>
        <v/>
      </c>
    </row>
    <row r="34" customFormat="false" ht="15.75" hidden="false" customHeight="false" outlineLevel="0" collapsed="false">
      <c r="A34" s="541" t="str">
        <f aca="false">IF(CALIBRACION!H40="","",+CALIBRACION!A40)</f>
        <v/>
      </c>
      <c r="B34" s="542" t="e">
        <f aca="false">CALIBRACION!I40</f>
        <v>#VALUE!</v>
      </c>
      <c r="C34" s="542" t="str">
        <f aca="false">IF(CALIBRACION!H40="","",CALIBRACION!H40)</f>
        <v/>
      </c>
      <c r="D34" s="542" t="str">
        <f aca="false">IF(CALIBRACION!H40="","",CALIBRACION!Q40*1000)</f>
        <v/>
      </c>
      <c r="E34" s="542" t="str">
        <f aca="false">IF(CALIBRACION!H40="","",CALIBRACION!T40)</f>
        <v/>
      </c>
      <c r="F34" s="543" t="str">
        <f aca="false">IF(INCERTIDUMBRE!B57="","",INCERTIDUMBRE!AS57)</f>
        <v/>
      </c>
      <c r="G34" s="543" t="str">
        <f aca="false">IF(CALIBRACION!H40="","",CALIBRACION!L40)</f>
        <v/>
      </c>
      <c r="H34" s="543" t="str">
        <f aca="false">IF(CALIBRACION!H40="","",CALIBRACION!M40)</f>
        <v/>
      </c>
      <c r="I34" s="544" t="str">
        <f aca="false">IF(CALIBRACION!H40="","",IF(CALIBRACION!K40="","sí","no"))</f>
        <v/>
      </c>
      <c r="J34" s="544" t="str">
        <f aca="false">IF(CALIBRACION!H40="","",IF(CALIBRACION!K40="","sí","no"))</f>
        <v/>
      </c>
      <c r="K34" s="545" t="str">
        <f aca="false">IF(CALIBRACION!L40="","",CALIBRACION!N40)</f>
        <v/>
      </c>
      <c r="M34" s="541" t="str">
        <f aca="false">A34</f>
        <v/>
      </c>
      <c r="N34" s="546" t="e">
        <f aca="false">B34</f>
        <v>#VALUE!</v>
      </c>
      <c r="O34" s="547" t="str">
        <f aca="false">CALIBRACION!J40</f>
        <v/>
      </c>
      <c r="P34" s="542" t="str">
        <f aca="false">IF(D34="","",((D34*0.00003937008*1000000)))</f>
        <v/>
      </c>
      <c r="Q34" s="542" t="str">
        <f aca="false">IF(E34="","",((E34/25.4)))</f>
        <v/>
      </c>
      <c r="R34" s="542" t="str">
        <f aca="false">IF(F34="","",(F34*0.00003937008*1000000))</f>
        <v/>
      </c>
      <c r="S34" s="543" t="str">
        <f aca="false">IF(G34="","",((G34*0.00003937*1000000)))</f>
        <v/>
      </c>
      <c r="T34" s="543" t="str">
        <f aca="false">IF(H34="","",((H34*0.00003937*1000000)))</f>
        <v/>
      </c>
    </row>
    <row r="35" customFormat="false" ht="15.75" hidden="false" customHeight="false" outlineLevel="0" collapsed="false">
      <c r="A35" s="541" t="str">
        <f aca="false">IF(CALIBRACION!H41="","",+CALIBRACION!A41)</f>
        <v/>
      </c>
      <c r="B35" s="542" t="e">
        <f aca="false">CALIBRACION!I41</f>
        <v>#VALUE!</v>
      </c>
      <c r="C35" s="542" t="str">
        <f aca="false">IF(CALIBRACION!H41="","",CALIBRACION!H41)</f>
        <v/>
      </c>
      <c r="D35" s="542" t="str">
        <f aca="false">IF(CALIBRACION!H41="","",CALIBRACION!Q41*1000)</f>
        <v/>
      </c>
      <c r="E35" s="542" t="str">
        <f aca="false">IF(CALIBRACION!H41="","",CALIBRACION!T41)</f>
        <v/>
      </c>
      <c r="F35" s="543" t="str">
        <f aca="false">IF(INCERTIDUMBRE!B58="","",INCERTIDUMBRE!AS58)</f>
        <v/>
      </c>
      <c r="G35" s="543" t="str">
        <f aca="false">IF(CALIBRACION!H41="","",CALIBRACION!L41)</f>
        <v/>
      </c>
      <c r="H35" s="543" t="str">
        <f aca="false">IF(CALIBRACION!H41="","",CALIBRACION!M41)</f>
        <v/>
      </c>
      <c r="I35" s="544" t="str">
        <f aca="false">IF(CALIBRACION!H41="","",IF(CALIBRACION!K41="","sí","no"))</f>
        <v/>
      </c>
      <c r="J35" s="544" t="str">
        <f aca="false">IF(CALIBRACION!H41="","",IF(CALIBRACION!K41="","sí","no"))</f>
        <v/>
      </c>
      <c r="K35" s="545" t="str">
        <f aca="false">IF(CALIBRACION!L41="","",CALIBRACION!N41)</f>
        <v/>
      </c>
      <c r="M35" s="541" t="str">
        <f aca="false">A35</f>
        <v/>
      </c>
      <c r="N35" s="546" t="e">
        <f aca="false">B35</f>
        <v>#VALUE!</v>
      </c>
      <c r="O35" s="547" t="str">
        <f aca="false">CALIBRACION!J41</f>
        <v/>
      </c>
      <c r="P35" s="542" t="str">
        <f aca="false">IF(D35="","",((D35*0.00003937008*1000000)))</f>
        <v/>
      </c>
      <c r="Q35" s="542" t="str">
        <f aca="false">IF(E35="","",((E35/25.4)))</f>
        <v/>
      </c>
      <c r="R35" s="542" t="str">
        <f aca="false">IF(F35="","",(F35*0.00003937008*1000000))</f>
        <v/>
      </c>
      <c r="S35" s="543" t="str">
        <f aca="false">IF(G35="","",((G35*0.00003937*1000000)))</f>
        <v/>
      </c>
      <c r="T35" s="543" t="str">
        <f aca="false">IF(H35="","",((H35*0.00003937*1000000)))</f>
        <v/>
      </c>
    </row>
    <row r="36" customFormat="false" ht="15.75" hidden="false" customHeight="false" outlineLevel="0" collapsed="false">
      <c r="A36" s="541" t="str">
        <f aca="false">IF(CALIBRACION!H42="","",+CALIBRACION!A42)</f>
        <v/>
      </c>
      <c r="B36" s="542" t="e">
        <f aca="false">CALIBRACION!I42</f>
        <v>#VALUE!</v>
      </c>
      <c r="C36" s="542" t="str">
        <f aca="false">IF(CALIBRACION!H42="","",CALIBRACION!H42)</f>
        <v/>
      </c>
      <c r="D36" s="542" t="str">
        <f aca="false">IF(CALIBRACION!H42="","",CALIBRACION!Q42*1000)</f>
        <v/>
      </c>
      <c r="E36" s="542" t="str">
        <f aca="false">IF(CALIBRACION!H42="","",CALIBRACION!T42)</f>
        <v/>
      </c>
      <c r="F36" s="543" t="str">
        <f aca="false">IF(INCERTIDUMBRE!B59="","",INCERTIDUMBRE!AS59)</f>
        <v/>
      </c>
      <c r="G36" s="543" t="str">
        <f aca="false">IF(CALIBRACION!H42="","",CALIBRACION!L42)</f>
        <v/>
      </c>
      <c r="H36" s="543" t="str">
        <f aca="false">IF(CALIBRACION!H42="","",CALIBRACION!M42)</f>
        <v/>
      </c>
      <c r="I36" s="544" t="str">
        <f aca="false">IF(CALIBRACION!H42="","",IF(CALIBRACION!K42="","sí","no"))</f>
        <v/>
      </c>
      <c r="J36" s="544" t="str">
        <f aca="false">IF(CALIBRACION!H42="","",IF(CALIBRACION!K42="","sí","no"))</f>
        <v/>
      </c>
      <c r="K36" s="545" t="str">
        <f aca="false">IF(CALIBRACION!L42="","",CALIBRACION!N42)</f>
        <v/>
      </c>
      <c r="M36" s="541" t="str">
        <f aca="false">A36</f>
        <v/>
      </c>
      <c r="N36" s="546" t="e">
        <f aca="false">B36</f>
        <v>#VALUE!</v>
      </c>
      <c r="O36" s="547" t="str">
        <f aca="false">CALIBRACION!J42</f>
        <v/>
      </c>
      <c r="P36" s="542" t="str">
        <f aca="false">IF(D36="","",((D36*0.00003937008*1000000)))</f>
        <v/>
      </c>
      <c r="Q36" s="542" t="str">
        <f aca="false">IF(E36="","",((E36/25.4)))</f>
        <v/>
      </c>
      <c r="R36" s="542" t="str">
        <f aca="false">IF(F36="","",(F36*0.00003937008*1000000))</f>
        <v/>
      </c>
      <c r="S36" s="543" t="str">
        <f aca="false">IF(G36="","",((G36*0.00003937*1000000)))</f>
        <v/>
      </c>
      <c r="T36" s="543" t="str">
        <f aca="false">IF(H36="","",((H36*0.00003937*1000000)))</f>
        <v/>
      </c>
    </row>
    <row r="37" customFormat="false" ht="15.75" hidden="false" customHeight="false" outlineLevel="0" collapsed="false">
      <c r="A37" s="541" t="str">
        <f aca="false">IF(CALIBRACION!H43="","",+CALIBRACION!A43)</f>
        <v/>
      </c>
      <c r="B37" s="542" t="e">
        <f aca="false">CALIBRACION!I43</f>
        <v>#VALUE!</v>
      </c>
      <c r="C37" s="542" t="str">
        <f aca="false">IF(CALIBRACION!H43="","",CALIBRACION!H43)</f>
        <v/>
      </c>
      <c r="D37" s="542" t="str">
        <f aca="false">IF(CALIBRACION!H43="","",CALIBRACION!Q43*1000)</f>
        <v/>
      </c>
      <c r="E37" s="542" t="str">
        <f aca="false">IF(CALIBRACION!H43="","",CALIBRACION!T43)</f>
        <v/>
      </c>
      <c r="F37" s="543" t="str">
        <f aca="false">IF(INCERTIDUMBRE!B60="","",INCERTIDUMBRE!AS60)</f>
        <v/>
      </c>
      <c r="G37" s="543" t="str">
        <f aca="false">IF(CALIBRACION!H43="","",CALIBRACION!L43)</f>
        <v/>
      </c>
      <c r="H37" s="543" t="str">
        <f aca="false">IF(CALIBRACION!H43="","",CALIBRACION!M43)</f>
        <v/>
      </c>
      <c r="I37" s="544" t="str">
        <f aca="false">IF(CALIBRACION!H43="","",IF(CALIBRACION!K43="","sí","no"))</f>
        <v/>
      </c>
      <c r="J37" s="544" t="str">
        <f aca="false">IF(CALIBRACION!H43="","",IF(CALIBRACION!K43="","sí","no"))</f>
        <v/>
      </c>
      <c r="K37" s="545" t="str">
        <f aca="false">IF(CALIBRACION!L43="","",CALIBRACION!N43)</f>
        <v/>
      </c>
      <c r="M37" s="541" t="str">
        <f aca="false">A37</f>
        <v/>
      </c>
      <c r="N37" s="546" t="e">
        <f aca="false">B37</f>
        <v>#VALUE!</v>
      </c>
      <c r="O37" s="547" t="str">
        <f aca="false">CALIBRACION!J43</f>
        <v/>
      </c>
      <c r="P37" s="542" t="str">
        <f aca="false">IF(D37="","",((D37*0.00003937008*1000000)))</f>
        <v/>
      </c>
      <c r="Q37" s="542" t="str">
        <f aca="false">IF(E37="","",((E37/25.4)))</f>
        <v/>
      </c>
      <c r="R37" s="542" t="str">
        <f aca="false">IF(F37="","",(F37*0.00003937008*1000000))</f>
        <v/>
      </c>
      <c r="S37" s="543" t="str">
        <f aca="false">IF(G37="","",((G37*0.00003937*1000000)))</f>
        <v/>
      </c>
      <c r="T37" s="543" t="str">
        <f aca="false">IF(H37="","",((H37*0.00003937*1000000)))</f>
        <v/>
      </c>
    </row>
    <row r="38" customFormat="false" ht="15.75" hidden="false" customHeight="false" outlineLevel="0" collapsed="false">
      <c r="A38" s="541" t="str">
        <f aca="false">IF(CALIBRACION!H44="","",+CALIBRACION!A44)</f>
        <v/>
      </c>
      <c r="B38" s="542" t="e">
        <f aca="false">CALIBRACION!I44</f>
        <v>#VALUE!</v>
      </c>
      <c r="C38" s="542" t="str">
        <f aca="false">IF(CALIBRACION!H44="","",CALIBRACION!H44)</f>
        <v/>
      </c>
      <c r="D38" s="542" t="str">
        <f aca="false">IF(CALIBRACION!H44="","",CALIBRACION!Q44*1000)</f>
        <v/>
      </c>
      <c r="E38" s="542" t="str">
        <f aca="false">IF(CALIBRACION!H44="","",CALIBRACION!T44)</f>
        <v/>
      </c>
      <c r="F38" s="543" t="str">
        <f aca="false">IF(INCERTIDUMBRE!B61="","",INCERTIDUMBRE!AS61)</f>
        <v/>
      </c>
      <c r="G38" s="543" t="str">
        <f aca="false">IF(CALIBRACION!H44="","",CALIBRACION!L44)</f>
        <v/>
      </c>
      <c r="H38" s="543" t="str">
        <f aca="false">IF(CALIBRACION!H44="","",CALIBRACION!M44)</f>
        <v/>
      </c>
      <c r="I38" s="544" t="str">
        <f aca="false">IF(CALIBRACION!H44="","",IF(CALIBRACION!K44="","sí","no"))</f>
        <v/>
      </c>
      <c r="J38" s="544" t="str">
        <f aca="false">IF(CALIBRACION!H44="","",IF(CALIBRACION!K44="","sí","no"))</f>
        <v/>
      </c>
      <c r="K38" s="545" t="str">
        <f aca="false">IF(CALIBRACION!L44="","",CALIBRACION!N44)</f>
        <v/>
      </c>
      <c r="M38" s="541" t="str">
        <f aca="false">A38</f>
        <v/>
      </c>
      <c r="N38" s="546" t="e">
        <f aca="false">B38</f>
        <v>#VALUE!</v>
      </c>
      <c r="O38" s="547" t="str">
        <f aca="false">CALIBRACION!J44</f>
        <v/>
      </c>
      <c r="P38" s="542" t="str">
        <f aca="false">IF(D38="","",((D38*0.00003937008*1000000)))</f>
        <v/>
      </c>
      <c r="Q38" s="542" t="str">
        <f aca="false">IF(E38="","",((E38/25.4)))</f>
        <v/>
      </c>
      <c r="R38" s="542" t="str">
        <f aca="false">IF(F38="","",(F38*0.00003937008*1000000))</f>
        <v/>
      </c>
      <c r="S38" s="543" t="str">
        <f aca="false">IF(G38="","",((G38*0.00003937*1000000)))</f>
        <v/>
      </c>
      <c r="T38" s="543" t="str">
        <f aca="false">IF(H38="","",((H38*0.00003937*1000000)))</f>
        <v/>
      </c>
    </row>
    <row r="39" customFormat="false" ht="15.75" hidden="false" customHeight="false" outlineLevel="0" collapsed="false">
      <c r="A39" s="541" t="str">
        <f aca="false">IF(CALIBRACION!H45="","",+CALIBRACION!A45)</f>
        <v/>
      </c>
      <c r="B39" s="542" t="e">
        <f aca="false">CALIBRACION!I45</f>
        <v>#VALUE!</v>
      </c>
      <c r="C39" s="542" t="str">
        <f aca="false">IF(CALIBRACION!H45="","",CALIBRACION!H45)</f>
        <v/>
      </c>
      <c r="D39" s="542" t="str">
        <f aca="false">IF(CALIBRACION!H45="","",CALIBRACION!Q45*1000)</f>
        <v/>
      </c>
      <c r="E39" s="542" t="str">
        <f aca="false">IF(CALIBRACION!H45="","",CALIBRACION!T45)</f>
        <v/>
      </c>
      <c r="F39" s="543" t="str">
        <f aca="false">IF(INCERTIDUMBRE!B62="","",INCERTIDUMBRE!AS62)</f>
        <v/>
      </c>
      <c r="G39" s="543" t="str">
        <f aca="false">IF(CALIBRACION!H45="","",CALIBRACION!L45)</f>
        <v/>
      </c>
      <c r="H39" s="543" t="str">
        <f aca="false">IF(CALIBRACION!H45="","",CALIBRACION!M45)</f>
        <v/>
      </c>
      <c r="I39" s="544" t="str">
        <f aca="false">IF(CALIBRACION!H45="","",IF(CALIBRACION!K45="","sí","no"))</f>
        <v/>
      </c>
      <c r="J39" s="544" t="str">
        <f aca="false">IF(CALIBRACION!H45="","",IF(CALIBRACION!K45="","sí","no"))</f>
        <v/>
      </c>
      <c r="K39" s="545" t="str">
        <f aca="false">IF(CALIBRACION!L45="","",CALIBRACION!N45)</f>
        <v/>
      </c>
      <c r="M39" s="541" t="str">
        <f aca="false">A39</f>
        <v/>
      </c>
      <c r="N39" s="546" t="e">
        <f aca="false">B39</f>
        <v>#VALUE!</v>
      </c>
      <c r="O39" s="547" t="str">
        <f aca="false">CALIBRACION!J45</f>
        <v/>
      </c>
      <c r="P39" s="542" t="str">
        <f aca="false">IF(D39="","",((D39*0.00003937008*1000000)))</f>
        <v/>
      </c>
      <c r="Q39" s="542" t="str">
        <f aca="false">IF(E39="","",((E39/25.4)))</f>
        <v/>
      </c>
      <c r="R39" s="542" t="str">
        <f aca="false">IF(F39="","",(F39*0.00003937008*1000000))</f>
        <v/>
      </c>
      <c r="S39" s="543" t="str">
        <f aca="false">IF(G39="","",((G39*0.00003937*1000000)))</f>
        <v/>
      </c>
      <c r="T39" s="543" t="str">
        <f aca="false">IF(H39="","",((H39*0.00003937*1000000)))</f>
        <v/>
      </c>
    </row>
    <row r="40" customFormat="false" ht="15.75" hidden="false" customHeight="false" outlineLevel="0" collapsed="false">
      <c r="A40" s="541" t="str">
        <f aca="false">IF(CALIBRACION!H46="","",+CALIBRACION!A46)</f>
        <v/>
      </c>
      <c r="B40" s="542" t="e">
        <f aca="false">CALIBRACION!I46</f>
        <v>#VALUE!</v>
      </c>
      <c r="C40" s="542" t="str">
        <f aca="false">IF(CALIBRACION!H46="","",CALIBRACION!H46)</f>
        <v/>
      </c>
      <c r="D40" s="542" t="str">
        <f aca="false">IF(CALIBRACION!H46="","",CALIBRACION!Q46*1000)</f>
        <v/>
      </c>
      <c r="E40" s="542" t="str">
        <f aca="false">IF(CALIBRACION!H46="","",CALIBRACION!T46)</f>
        <v/>
      </c>
      <c r="F40" s="543" t="str">
        <f aca="false">IF(INCERTIDUMBRE!B63="","",INCERTIDUMBRE!AS63)</f>
        <v/>
      </c>
      <c r="G40" s="543" t="str">
        <f aca="false">IF(CALIBRACION!H46="","",CALIBRACION!L46)</f>
        <v/>
      </c>
      <c r="H40" s="543" t="str">
        <f aca="false">IF(CALIBRACION!H46="","",CALIBRACION!M46)</f>
        <v/>
      </c>
      <c r="I40" s="544" t="str">
        <f aca="false">IF(CALIBRACION!H46="","",IF(CALIBRACION!K46="","sí","no"))</f>
        <v/>
      </c>
      <c r="J40" s="544" t="str">
        <f aca="false">IF(CALIBRACION!H46="","",IF(CALIBRACION!K46="","sí","no"))</f>
        <v/>
      </c>
      <c r="K40" s="545" t="str">
        <f aca="false">IF(CALIBRACION!L46="","",CALIBRACION!N46)</f>
        <v/>
      </c>
      <c r="M40" s="541" t="str">
        <f aca="false">A40</f>
        <v/>
      </c>
      <c r="N40" s="546" t="e">
        <f aca="false">B40</f>
        <v>#VALUE!</v>
      </c>
      <c r="O40" s="547" t="str">
        <f aca="false">CALIBRACION!J46</f>
        <v/>
      </c>
      <c r="P40" s="542" t="str">
        <f aca="false">IF(D40="","",((D40*0.00003937008*1000000)))</f>
        <v/>
      </c>
      <c r="Q40" s="542" t="str">
        <f aca="false">IF(E40="","",((E40/25.4)))</f>
        <v/>
      </c>
      <c r="R40" s="542" t="str">
        <f aca="false">IF(F40="","",(F40*0.00003937008*1000000))</f>
        <v/>
      </c>
      <c r="S40" s="543" t="str">
        <f aca="false">IF(G40="","",((G40*0.00003937*1000000)))</f>
        <v/>
      </c>
      <c r="T40" s="543" t="str">
        <f aca="false">IF(H40="","",((H40*0.00003937*1000000)))</f>
        <v/>
      </c>
    </row>
    <row r="41" customFormat="false" ht="15.75" hidden="false" customHeight="false" outlineLevel="0" collapsed="false">
      <c r="A41" s="541" t="str">
        <f aca="false">IF(CALIBRACION!H47="","",+CALIBRACION!A47)</f>
        <v/>
      </c>
      <c r="B41" s="542" t="e">
        <f aca="false">CALIBRACION!I47</f>
        <v>#VALUE!</v>
      </c>
      <c r="C41" s="542" t="str">
        <f aca="false">IF(CALIBRACION!H47="","",CALIBRACION!H47)</f>
        <v/>
      </c>
      <c r="D41" s="542" t="str">
        <f aca="false">IF(CALIBRACION!H47="","",CALIBRACION!Q47*1000)</f>
        <v/>
      </c>
      <c r="E41" s="542" t="str">
        <f aca="false">IF(CALIBRACION!H47="","",CALIBRACION!T47)</f>
        <v/>
      </c>
      <c r="F41" s="542" t="str">
        <f aca="false">IF(INCERTIDUMBRE!B64="","",INCERTIDUMBRE!AS64)</f>
        <v/>
      </c>
      <c r="G41" s="543" t="str">
        <f aca="false">IF(CALIBRACION!H47="","",CALIBRACION!L47)</f>
        <v/>
      </c>
      <c r="H41" s="543" t="str">
        <f aca="false">IF(CALIBRACION!H47="","",CALIBRACION!M47)</f>
        <v/>
      </c>
      <c r="I41" s="544" t="str">
        <f aca="false">IF(CALIBRACION!H47="","",IF(CALIBRACION!K47="","sí","no"))</f>
        <v/>
      </c>
      <c r="J41" s="544" t="str">
        <f aca="false">IF(CALIBRACION!H47="","",IF(CALIBRACION!K47="","sí","no"))</f>
        <v/>
      </c>
      <c r="K41" s="545" t="str">
        <f aca="false">IF(CALIBRACION!L47="","",CALIBRACION!N47)</f>
        <v/>
      </c>
      <c r="M41" s="541" t="str">
        <f aca="false">A41</f>
        <v/>
      </c>
      <c r="N41" s="546" t="e">
        <f aca="false">B41</f>
        <v>#VALUE!</v>
      </c>
      <c r="O41" s="547" t="str">
        <f aca="false">CALIBRACION!J47</f>
        <v/>
      </c>
      <c r="P41" s="542" t="str">
        <f aca="false">IF(D41="","",((D41*0.00003937008*1000000)))</f>
        <v/>
      </c>
      <c r="Q41" s="542" t="str">
        <f aca="false">IF(E41="","",((E41/25.4)))</f>
        <v/>
      </c>
      <c r="R41" s="542" t="str">
        <f aca="false">IF(F41="","",(F41*0.00003937008*1000000))</f>
        <v/>
      </c>
      <c r="S41" s="543" t="str">
        <f aca="false">IF(G41="","",((G41*0.00003937*1000000)))</f>
        <v/>
      </c>
      <c r="T41" s="543" t="str">
        <f aca="false">IF(H41="","",((H41*0.00003937*1000000)))</f>
        <v/>
      </c>
    </row>
    <row r="42" customFormat="false" ht="15.75" hidden="false" customHeight="false" outlineLevel="0" collapsed="false">
      <c r="A42" s="541" t="str">
        <f aca="false">IF(CALIBRACION!H48="","",+CALIBRACION!A48)</f>
        <v/>
      </c>
      <c r="B42" s="542" t="e">
        <f aca="false">CALIBRACION!I48</f>
        <v>#VALUE!</v>
      </c>
      <c r="C42" s="542" t="str">
        <f aca="false">IF(CALIBRACION!H48="","",CALIBRACION!H48)</f>
        <v/>
      </c>
      <c r="D42" s="542" t="str">
        <f aca="false">IF(CALIBRACION!H48="","",CALIBRACION!Q48*1000)</f>
        <v/>
      </c>
      <c r="E42" s="542" t="str">
        <f aca="false">IF(CALIBRACION!H48="","",CALIBRACION!T48)</f>
        <v/>
      </c>
      <c r="F42" s="542" t="str">
        <f aca="false">IF(INCERTIDUMBRE!B65="","",INCERTIDUMBRE!AS65)</f>
        <v/>
      </c>
      <c r="G42" s="543" t="str">
        <f aca="false">IF(CALIBRACION!H48="","",CALIBRACION!L48)</f>
        <v/>
      </c>
      <c r="H42" s="543" t="str">
        <f aca="false">IF(CALIBRACION!H48="","",CALIBRACION!M48)</f>
        <v/>
      </c>
      <c r="I42" s="544" t="str">
        <f aca="false">IF(CALIBRACION!H48="","",IF(CALIBRACION!K48="","sí","no"))</f>
        <v/>
      </c>
      <c r="J42" s="544" t="str">
        <f aca="false">IF(CALIBRACION!H48="","",IF(CALIBRACION!K48="","sí","no"))</f>
        <v/>
      </c>
      <c r="K42" s="545" t="str">
        <f aca="false">IF(CALIBRACION!L48="","",CALIBRACION!N48)</f>
        <v/>
      </c>
      <c r="M42" s="541" t="str">
        <f aca="false">A42</f>
        <v/>
      </c>
      <c r="N42" s="546" t="e">
        <f aca="false">B42</f>
        <v>#VALUE!</v>
      </c>
      <c r="O42" s="547" t="str">
        <f aca="false">CALIBRACION!J48</f>
        <v/>
      </c>
      <c r="P42" s="542" t="str">
        <f aca="false">IF(D42="","",((D42*0.00003937008*1000000)))</f>
        <v/>
      </c>
      <c r="Q42" s="542" t="str">
        <f aca="false">IF(E42="","",((E42/25.4)))</f>
        <v/>
      </c>
      <c r="R42" s="542" t="str">
        <f aca="false">IF(F42="","",(F42*0.00003937008*1000000))</f>
        <v/>
      </c>
      <c r="S42" s="543" t="str">
        <f aca="false">IF(G42="","",((G42*0.00003937*1000000)))</f>
        <v/>
      </c>
      <c r="T42" s="543" t="str">
        <f aca="false">IF(H42="","",((H42*0.00003937*1000000)))</f>
        <v/>
      </c>
    </row>
    <row r="43" customFormat="false" ht="15.75" hidden="false" customHeight="false" outlineLevel="0" collapsed="false">
      <c r="A43" s="541" t="str">
        <f aca="false">IF(CALIBRACION!H49="","",+CALIBRACION!A49)</f>
        <v/>
      </c>
      <c r="B43" s="542" t="e">
        <f aca="false">CALIBRACION!I49</f>
        <v>#VALUE!</v>
      </c>
      <c r="C43" s="542" t="str">
        <f aca="false">IF(CALIBRACION!H49="","",CALIBRACION!H49)</f>
        <v/>
      </c>
      <c r="D43" s="542" t="str">
        <f aca="false">IF(CALIBRACION!H49="","",CALIBRACION!Q49*1000)</f>
        <v/>
      </c>
      <c r="E43" s="542" t="str">
        <f aca="false">IF(CALIBRACION!H49="","",CALIBRACION!T49)</f>
        <v/>
      </c>
      <c r="F43" s="542" t="str">
        <f aca="false">IF(INCERTIDUMBRE!B66="","",INCERTIDUMBRE!AS66)</f>
        <v/>
      </c>
      <c r="G43" s="543" t="str">
        <f aca="false">IF(CALIBRACION!H49="","",CALIBRACION!L49)</f>
        <v/>
      </c>
      <c r="H43" s="543" t="str">
        <f aca="false">IF(CALIBRACION!H49="","",CALIBRACION!M49)</f>
        <v/>
      </c>
      <c r="I43" s="544" t="str">
        <f aca="false">IF(CALIBRACION!H49="","",IF(CALIBRACION!K49="","sí","no"))</f>
        <v/>
      </c>
      <c r="J43" s="544" t="str">
        <f aca="false">IF(CALIBRACION!H49="","",IF(CALIBRACION!K49="","sí","no"))</f>
        <v/>
      </c>
      <c r="K43" s="545" t="str">
        <f aca="false">IF(CALIBRACION!L49="","",CALIBRACION!N49)</f>
        <v/>
      </c>
      <c r="M43" s="541" t="str">
        <f aca="false">A43</f>
        <v/>
      </c>
      <c r="N43" s="546" t="e">
        <f aca="false">B43</f>
        <v>#VALUE!</v>
      </c>
      <c r="O43" s="547" t="str">
        <f aca="false">CALIBRACION!J49</f>
        <v/>
      </c>
      <c r="P43" s="542" t="str">
        <f aca="false">IF(D43="","",((D43*0.00003937008*1000000)))</f>
        <v/>
      </c>
      <c r="Q43" s="542" t="str">
        <f aca="false">IF(E43="","",((E43/25.4)))</f>
        <v/>
      </c>
      <c r="R43" s="542" t="str">
        <f aca="false">IF(F43="","",(F43*0.00003937008*1000000))</f>
        <v/>
      </c>
      <c r="S43" s="543" t="str">
        <f aca="false">IF(G43="","",((G43*0.00003937*1000000)))</f>
        <v/>
      </c>
      <c r="T43" s="543" t="str">
        <f aca="false">IF(H43="","",((H43*0.00003937*1000000)))</f>
        <v/>
      </c>
    </row>
    <row r="44" customFormat="false" ht="15.75" hidden="false" customHeight="false" outlineLevel="0" collapsed="false">
      <c r="A44" s="541" t="str">
        <f aca="false">IF(CALIBRACION!H50="","",+CALIBRACION!A50)</f>
        <v/>
      </c>
      <c r="B44" s="542" t="e">
        <f aca="false">CALIBRACION!I50</f>
        <v>#VALUE!</v>
      </c>
      <c r="C44" s="542" t="str">
        <f aca="false">IF(CALIBRACION!H50="","",CALIBRACION!H50)</f>
        <v/>
      </c>
      <c r="D44" s="542" t="str">
        <f aca="false">IF(CALIBRACION!H50="","",CALIBRACION!Q50*1000)</f>
        <v/>
      </c>
      <c r="E44" s="542" t="str">
        <f aca="false">IF(CALIBRACION!H50="","",CALIBRACION!T50)</f>
        <v/>
      </c>
      <c r="F44" s="542" t="str">
        <f aca="false">IF(INCERTIDUMBRE!B67="","",INCERTIDUMBRE!AS67)</f>
        <v/>
      </c>
      <c r="G44" s="543" t="str">
        <f aca="false">IF(CALIBRACION!H50="","",CALIBRACION!L50)</f>
        <v/>
      </c>
      <c r="H44" s="543" t="str">
        <f aca="false">IF(CALIBRACION!H50="","",CALIBRACION!M50)</f>
        <v/>
      </c>
      <c r="I44" s="544" t="str">
        <f aca="false">IF(CALIBRACION!H50="","",IF(CALIBRACION!K50="","sí","no"))</f>
        <v/>
      </c>
      <c r="J44" s="544" t="str">
        <f aca="false">IF(CALIBRACION!H50="","",IF(CALIBRACION!K50="","sí","no"))</f>
        <v/>
      </c>
      <c r="K44" s="545" t="str">
        <f aca="false">IF(CALIBRACION!L50="","",CALIBRACION!N50)</f>
        <v/>
      </c>
      <c r="M44" s="541" t="str">
        <f aca="false">A44</f>
        <v/>
      </c>
      <c r="N44" s="546" t="e">
        <f aca="false">B44</f>
        <v>#VALUE!</v>
      </c>
      <c r="O44" s="547" t="str">
        <f aca="false">CALIBRACION!J50</f>
        <v/>
      </c>
      <c r="P44" s="542" t="str">
        <f aca="false">IF(D44="","",((D44*0.00003937008*1000000)))</f>
        <v/>
      </c>
      <c r="Q44" s="542" t="str">
        <f aca="false">IF(E44="","",((E44/25.4)))</f>
        <v/>
      </c>
      <c r="R44" s="542" t="str">
        <f aca="false">IF(F44="","",(F44*0.00003937008*1000000))</f>
        <v/>
      </c>
      <c r="S44" s="543" t="str">
        <f aca="false">IF(G44="","",((G44*0.00003937*1000000)))</f>
        <v/>
      </c>
      <c r="T44" s="543" t="str">
        <f aca="false">IF(H44="","",((H44*0.00003937*1000000)))</f>
        <v/>
      </c>
    </row>
    <row r="45" customFormat="false" ht="15.75" hidden="false" customHeight="false" outlineLevel="0" collapsed="false">
      <c r="A45" s="541" t="str">
        <f aca="false">IF(CALIBRACION!H51="","",+CALIBRACION!A51)</f>
        <v/>
      </c>
      <c r="B45" s="542" t="e">
        <f aca="false">CALIBRACION!I51</f>
        <v>#VALUE!</v>
      </c>
      <c r="C45" s="542" t="str">
        <f aca="false">IF(CALIBRACION!H51="","",CALIBRACION!H51)</f>
        <v/>
      </c>
      <c r="D45" s="542" t="str">
        <f aca="false">IF(CALIBRACION!H51="","",CALIBRACION!Q51*1000)</f>
        <v/>
      </c>
      <c r="E45" s="542" t="str">
        <f aca="false">IF(CALIBRACION!H51="","",CALIBRACION!T51)</f>
        <v/>
      </c>
      <c r="F45" s="542" t="str">
        <f aca="false">IF(INCERTIDUMBRE!B68="","",INCERTIDUMBRE!AS68)</f>
        <v/>
      </c>
      <c r="G45" s="543" t="str">
        <f aca="false">IF(CALIBRACION!H51="","",CALIBRACION!L51)</f>
        <v/>
      </c>
      <c r="H45" s="543" t="str">
        <f aca="false">IF(CALIBRACION!H51="","",CALIBRACION!M51)</f>
        <v/>
      </c>
      <c r="I45" s="544" t="str">
        <f aca="false">IF(CALIBRACION!H51="","",IF(CALIBRACION!K51="","sí","no"))</f>
        <v/>
      </c>
      <c r="J45" s="544" t="str">
        <f aca="false">IF(CALIBRACION!H51="","",IF(CALIBRACION!K51="","sí","no"))</f>
        <v/>
      </c>
      <c r="K45" s="545" t="str">
        <f aca="false">IF(CALIBRACION!L51="","",CALIBRACION!N51)</f>
        <v/>
      </c>
      <c r="M45" s="541" t="str">
        <f aca="false">A45</f>
        <v/>
      </c>
      <c r="N45" s="546" t="e">
        <f aca="false">B45</f>
        <v>#VALUE!</v>
      </c>
      <c r="O45" s="547" t="str">
        <f aca="false">CALIBRACION!J51</f>
        <v/>
      </c>
      <c r="P45" s="542" t="str">
        <f aca="false">IF(D45="","",((D45*0.00003937008*1000000)))</f>
        <v/>
      </c>
      <c r="Q45" s="542" t="str">
        <f aca="false">IF(E45="","",((E45/25.4)))</f>
        <v/>
      </c>
      <c r="R45" s="542" t="str">
        <f aca="false">IF(F45="","",(F45*0.00003937008*1000000))</f>
        <v/>
      </c>
      <c r="S45" s="543" t="str">
        <f aca="false">IF(G45="","",((G45*0.00003937*1000000)))</f>
        <v/>
      </c>
      <c r="T45" s="543" t="str">
        <f aca="false">IF(H45="","",((H45*0.00003937*1000000)))</f>
        <v/>
      </c>
    </row>
    <row r="46" customFormat="false" ht="15.75" hidden="false" customHeight="false" outlineLevel="0" collapsed="false">
      <c r="A46" s="541" t="str">
        <f aca="false">IF(CALIBRACION!H52="","",+CALIBRACION!A52)</f>
        <v/>
      </c>
      <c r="B46" s="542" t="e">
        <f aca="false">CALIBRACION!I52</f>
        <v>#VALUE!</v>
      </c>
      <c r="C46" s="542" t="str">
        <f aca="false">IF(CALIBRACION!H52="","",CALIBRACION!H52)</f>
        <v/>
      </c>
      <c r="D46" s="542" t="str">
        <f aca="false">IF(CALIBRACION!H52="","",CALIBRACION!Q52*1000)</f>
        <v/>
      </c>
      <c r="E46" s="542" t="str">
        <f aca="false">IF(CALIBRACION!H52="","",CALIBRACION!T52)</f>
        <v/>
      </c>
      <c r="F46" s="542" t="str">
        <f aca="false">IF(INCERTIDUMBRE!B69="","",INCERTIDUMBRE!AS69)</f>
        <v/>
      </c>
      <c r="G46" s="543" t="str">
        <f aca="false">IF(CALIBRACION!H52="","",CALIBRACION!L52)</f>
        <v/>
      </c>
      <c r="H46" s="543" t="str">
        <f aca="false">IF(CALIBRACION!H52="","",CALIBRACION!M52)</f>
        <v/>
      </c>
      <c r="I46" s="544" t="str">
        <f aca="false">IF(CALIBRACION!H52="","",IF(CALIBRACION!K52="","sí","no"))</f>
        <v/>
      </c>
      <c r="J46" s="544" t="str">
        <f aca="false">IF(CALIBRACION!H52="","",IF(CALIBRACION!K52="","sí","no"))</f>
        <v/>
      </c>
      <c r="K46" s="545" t="str">
        <f aca="false">IF(CALIBRACION!L52="","",CALIBRACION!N52)</f>
        <v/>
      </c>
      <c r="M46" s="541" t="str">
        <f aca="false">A46</f>
        <v/>
      </c>
      <c r="N46" s="546" t="e">
        <f aca="false">B46</f>
        <v>#VALUE!</v>
      </c>
      <c r="O46" s="547" t="str">
        <f aca="false">CALIBRACION!J52</f>
        <v/>
      </c>
      <c r="P46" s="542" t="str">
        <f aca="false">IF(D46="","",((D46*0.00003937008*1000000)))</f>
        <v/>
      </c>
      <c r="Q46" s="542" t="str">
        <f aca="false">IF(E46="","",((E46/25.4)))</f>
        <v/>
      </c>
      <c r="R46" s="542" t="str">
        <f aca="false">IF(F46="","",(F46*0.00003937008*1000000))</f>
        <v/>
      </c>
      <c r="S46" s="543" t="str">
        <f aca="false">IF(G46="","",((G46*0.00003937*1000000)))</f>
        <v/>
      </c>
      <c r="T46" s="543" t="str">
        <f aca="false">IF(H46="","",((H46*0.00003937*1000000)))</f>
        <v/>
      </c>
    </row>
    <row r="47" customFormat="false" ht="15.75" hidden="false" customHeight="false" outlineLevel="0" collapsed="false">
      <c r="A47" s="541" t="str">
        <f aca="false">IF(CALIBRACION!H53="","",+CALIBRACION!A53)</f>
        <v/>
      </c>
      <c r="B47" s="542" t="e">
        <f aca="false">CALIBRACION!I53</f>
        <v>#VALUE!</v>
      </c>
      <c r="C47" s="542" t="str">
        <f aca="false">IF(CALIBRACION!H53="","",CALIBRACION!H53)</f>
        <v/>
      </c>
      <c r="D47" s="542" t="str">
        <f aca="false">IF(CALIBRACION!H53="","",CALIBRACION!Q53*1000)</f>
        <v/>
      </c>
      <c r="E47" s="542" t="str">
        <f aca="false">IF(CALIBRACION!H53="","",CALIBRACION!T53)</f>
        <v/>
      </c>
      <c r="F47" s="542" t="str">
        <f aca="false">IF(INCERTIDUMBRE!B70="","",INCERTIDUMBRE!AS70)</f>
        <v/>
      </c>
      <c r="G47" s="543" t="str">
        <f aca="false">IF(CALIBRACION!H53="","",CALIBRACION!L53)</f>
        <v/>
      </c>
      <c r="H47" s="543" t="str">
        <f aca="false">IF(CALIBRACION!H53="","",CALIBRACION!M53)</f>
        <v/>
      </c>
      <c r="I47" s="544" t="str">
        <f aca="false">IF(CALIBRACION!H53="","",IF(CALIBRACION!K53="","sí","no"))</f>
        <v/>
      </c>
      <c r="J47" s="544" t="str">
        <f aca="false">IF(CALIBRACION!H53="","",IF(CALIBRACION!K53="","sí","no"))</f>
        <v/>
      </c>
      <c r="K47" s="545" t="str">
        <f aca="false">IF(CALIBRACION!L53="","",CALIBRACION!N53)</f>
        <v/>
      </c>
      <c r="M47" s="541" t="str">
        <f aca="false">A47</f>
        <v/>
      </c>
      <c r="N47" s="546" t="e">
        <f aca="false">B47</f>
        <v>#VALUE!</v>
      </c>
      <c r="O47" s="547" t="str">
        <f aca="false">CALIBRACION!J53</f>
        <v/>
      </c>
      <c r="P47" s="542" t="str">
        <f aca="false">IF(D47="","",((D47*0.00003937008*1000000)))</f>
        <v/>
      </c>
      <c r="Q47" s="542" t="str">
        <f aca="false">IF(E47="","",((E47/25.4)))</f>
        <v/>
      </c>
      <c r="R47" s="542" t="str">
        <f aca="false">IF(F47="","",(F47*0.00003937008*1000000))</f>
        <v/>
      </c>
      <c r="S47" s="543" t="str">
        <f aca="false">IF(G47="","",((G47*0.00003937*1000000)))</f>
        <v/>
      </c>
      <c r="T47" s="543" t="str">
        <f aca="false">IF(H47="","",((H47*0.00003937*1000000)))</f>
        <v/>
      </c>
    </row>
    <row r="48" customFormat="false" ht="15.75" hidden="false" customHeight="false" outlineLevel="0" collapsed="false">
      <c r="A48" s="541" t="str">
        <f aca="false">IF(CALIBRACION!H54="","",+CALIBRACION!A54)</f>
        <v/>
      </c>
      <c r="B48" s="542" t="e">
        <f aca="false">CALIBRACION!I54</f>
        <v>#VALUE!</v>
      </c>
      <c r="C48" s="542" t="str">
        <f aca="false">IF(CALIBRACION!H54="","",CALIBRACION!H54)</f>
        <v/>
      </c>
      <c r="D48" s="542" t="str">
        <f aca="false">IF(CALIBRACION!H54="","",CALIBRACION!Q54*1000)</f>
        <v/>
      </c>
      <c r="E48" s="542" t="str">
        <f aca="false">IF(CALIBRACION!H54="","",CALIBRACION!T54)</f>
        <v/>
      </c>
      <c r="F48" s="542" t="str">
        <f aca="false">IF(INCERTIDUMBRE!B71="","",INCERTIDUMBRE!AS71)</f>
        <v/>
      </c>
      <c r="G48" s="543" t="str">
        <f aca="false">IF(CALIBRACION!H54="","",CALIBRACION!L54)</f>
        <v/>
      </c>
      <c r="H48" s="543" t="str">
        <f aca="false">IF(CALIBRACION!H54="","",CALIBRACION!M54)</f>
        <v/>
      </c>
      <c r="I48" s="544" t="str">
        <f aca="false">IF(CALIBRACION!H54="","",IF(CALIBRACION!K54="","sí","no"))</f>
        <v/>
      </c>
      <c r="J48" s="544" t="str">
        <f aca="false">IF(CALIBRACION!H54="","",IF(CALIBRACION!K54="","sí","no"))</f>
        <v/>
      </c>
      <c r="K48" s="545" t="str">
        <f aca="false">IF(CALIBRACION!L54="","",CALIBRACION!N54)</f>
        <v/>
      </c>
      <c r="M48" s="541" t="str">
        <f aca="false">A48</f>
        <v/>
      </c>
      <c r="N48" s="546" t="e">
        <f aca="false">B48</f>
        <v>#VALUE!</v>
      </c>
      <c r="O48" s="547" t="str">
        <f aca="false">CALIBRACION!J54</f>
        <v/>
      </c>
      <c r="P48" s="542" t="str">
        <f aca="false">IF(D48="","",((D48*0.00003937008*1000000)))</f>
        <v/>
      </c>
      <c r="Q48" s="542" t="str">
        <f aca="false">IF(E48="","",((E48/25.4)))</f>
        <v/>
      </c>
      <c r="R48" s="542" t="str">
        <f aca="false">IF(F48="","",(F48*0.00003937008*1000000))</f>
        <v/>
      </c>
      <c r="S48" s="543" t="str">
        <f aca="false">IF(G48="","",((G48*0.00003937*1000000)))</f>
        <v/>
      </c>
      <c r="T48" s="543" t="str">
        <f aca="false">IF(H48="","",((H48*0.00003937*1000000)))</f>
        <v/>
      </c>
    </row>
    <row r="49" customFormat="false" ht="15.75" hidden="false" customHeight="false" outlineLevel="0" collapsed="false">
      <c r="A49" s="541" t="str">
        <f aca="false">IF(CALIBRACION!H55="","",+CALIBRACION!A55)</f>
        <v/>
      </c>
      <c r="B49" s="542" t="e">
        <f aca="false">CALIBRACION!I55</f>
        <v>#VALUE!</v>
      </c>
      <c r="C49" s="542" t="str">
        <f aca="false">IF(CALIBRACION!H55="","",CALIBRACION!H55)</f>
        <v/>
      </c>
      <c r="D49" s="542" t="str">
        <f aca="false">IF(CALIBRACION!H55="","",CALIBRACION!Q55*1000)</f>
        <v/>
      </c>
      <c r="E49" s="542" t="str">
        <f aca="false">IF(CALIBRACION!H55="","",CALIBRACION!T55)</f>
        <v/>
      </c>
      <c r="F49" s="542" t="str">
        <f aca="false">IF(INCERTIDUMBRE!B72="","",INCERTIDUMBRE!AS72)</f>
        <v/>
      </c>
      <c r="G49" s="543" t="str">
        <f aca="false">IF(CALIBRACION!H55="","",CALIBRACION!L55)</f>
        <v/>
      </c>
      <c r="H49" s="543" t="str">
        <f aca="false">IF(CALIBRACION!H55="","",CALIBRACION!M55)</f>
        <v/>
      </c>
      <c r="I49" s="544" t="str">
        <f aca="false">IF(CALIBRACION!H55="","",IF(CALIBRACION!K55="","sí","no"))</f>
        <v/>
      </c>
      <c r="J49" s="544" t="str">
        <f aca="false">IF(CALIBRACION!H55="","",IF(CALIBRACION!K55="","sí","no"))</f>
        <v/>
      </c>
      <c r="K49" s="545" t="str">
        <f aca="false">IF(CALIBRACION!L55="","",CALIBRACION!N55)</f>
        <v/>
      </c>
      <c r="M49" s="541" t="str">
        <f aca="false">A49</f>
        <v/>
      </c>
      <c r="N49" s="546" t="e">
        <f aca="false">B49</f>
        <v>#VALUE!</v>
      </c>
      <c r="O49" s="547" t="str">
        <f aca="false">CALIBRACION!J55</f>
        <v/>
      </c>
      <c r="P49" s="542" t="str">
        <f aca="false">IF(D49="","",((D49*0.00003937008*1000000)))</f>
        <v/>
      </c>
      <c r="Q49" s="542" t="str">
        <f aca="false">IF(E49="","",((E49/25.4)))</f>
        <v/>
      </c>
      <c r="R49" s="542" t="str">
        <f aca="false">IF(F49="","",(F49*0.00003937008*1000000))</f>
        <v/>
      </c>
      <c r="S49" s="543" t="str">
        <f aca="false">IF(G49="","",((G49*0.00003937*1000000)))</f>
        <v/>
      </c>
      <c r="T49" s="543" t="str">
        <f aca="false">IF(H49="","",((H49*0.00003937*1000000)))</f>
        <v/>
      </c>
    </row>
    <row r="50" customFormat="false" ht="15.75" hidden="false" customHeight="false" outlineLevel="0" collapsed="false">
      <c r="A50" s="541" t="str">
        <f aca="false">IF(CALIBRACION!H56="","",+CALIBRACION!A56)</f>
        <v/>
      </c>
      <c r="B50" s="542" t="e">
        <f aca="false">CALIBRACION!I56</f>
        <v>#VALUE!</v>
      </c>
      <c r="C50" s="542" t="str">
        <f aca="false">IF(CALIBRACION!H56="","",CALIBRACION!H56)</f>
        <v/>
      </c>
      <c r="D50" s="542" t="str">
        <f aca="false">IF(CALIBRACION!H56="","",CALIBRACION!Q56*1000)</f>
        <v/>
      </c>
      <c r="E50" s="542" t="str">
        <f aca="false">IF(CALIBRACION!H56="","",CALIBRACION!T56)</f>
        <v/>
      </c>
      <c r="F50" s="542" t="str">
        <f aca="false">IF(INCERTIDUMBRE!B73="","",INCERTIDUMBRE!AS73)</f>
        <v/>
      </c>
      <c r="G50" s="543" t="str">
        <f aca="false">IF(CALIBRACION!H56="","",CALIBRACION!L56)</f>
        <v/>
      </c>
      <c r="H50" s="543" t="str">
        <f aca="false">IF(CALIBRACION!H56="","",CALIBRACION!M56)</f>
        <v/>
      </c>
      <c r="I50" s="544" t="str">
        <f aca="false">IF(CALIBRACION!H56="","",IF(CALIBRACION!K56="","sí","no"))</f>
        <v/>
      </c>
      <c r="J50" s="544" t="str">
        <f aca="false">IF(CALIBRACION!H56="","",IF(CALIBRACION!K56="","sí","no"))</f>
        <v/>
      </c>
      <c r="K50" s="545" t="str">
        <f aca="false">IF(CALIBRACION!L56="","",CALIBRACION!N56)</f>
        <v/>
      </c>
      <c r="M50" s="541" t="str">
        <f aca="false">A50</f>
        <v/>
      </c>
      <c r="N50" s="546" t="e">
        <f aca="false">B50</f>
        <v>#VALUE!</v>
      </c>
      <c r="O50" s="547" t="str">
        <f aca="false">CALIBRACION!J56</f>
        <v/>
      </c>
      <c r="P50" s="542" t="str">
        <f aca="false">IF(D50="","",((D50*0.00003937008*1000000)))</f>
        <v/>
      </c>
      <c r="Q50" s="542" t="str">
        <f aca="false">IF(E50="","",((E50/25.4)))</f>
        <v/>
      </c>
      <c r="R50" s="542" t="str">
        <f aca="false">IF(F50="","",(F50*0.00003937008*1000000))</f>
        <v/>
      </c>
      <c r="S50" s="543" t="str">
        <f aca="false">IF(G50="","",((G50*0.00003937*1000000)))</f>
        <v/>
      </c>
      <c r="T50" s="543" t="str">
        <f aca="false">IF(H50="","",((H50*0.00003937*1000000)))</f>
        <v/>
      </c>
    </row>
    <row r="51" customFormat="false" ht="15.75" hidden="false" customHeight="false" outlineLevel="0" collapsed="false">
      <c r="A51" s="541" t="str">
        <f aca="false">IF(CALIBRACION!H57="","",+CALIBRACION!A57)</f>
        <v/>
      </c>
      <c r="B51" s="542" t="e">
        <f aca="false">CALIBRACION!I57</f>
        <v>#VALUE!</v>
      </c>
      <c r="C51" s="542" t="str">
        <f aca="false">IF(CALIBRACION!H57="","",CALIBRACION!H57)</f>
        <v/>
      </c>
      <c r="D51" s="542" t="str">
        <f aca="false">IF(CALIBRACION!H57="","",CALIBRACION!Q57*1000)</f>
        <v/>
      </c>
      <c r="E51" s="542" t="str">
        <f aca="false">IF(CALIBRACION!H57="","",CALIBRACION!T57)</f>
        <v/>
      </c>
      <c r="F51" s="542" t="str">
        <f aca="false">IF(INCERTIDUMBRE!B74="","",INCERTIDUMBRE!AS74)</f>
        <v/>
      </c>
      <c r="G51" s="543" t="str">
        <f aca="false">IF(CALIBRACION!H57="","",CALIBRACION!L57)</f>
        <v/>
      </c>
      <c r="H51" s="543" t="str">
        <f aca="false">IF(CALIBRACION!H57="","",CALIBRACION!M57)</f>
        <v/>
      </c>
      <c r="I51" s="544" t="str">
        <f aca="false">IF(CALIBRACION!H57="","",IF(CALIBRACION!K57="","sí","no"))</f>
        <v/>
      </c>
      <c r="J51" s="544" t="str">
        <f aca="false">IF(CALIBRACION!H57="","",IF(CALIBRACION!K57="","sí","no"))</f>
        <v/>
      </c>
      <c r="K51" s="545" t="str">
        <f aca="false">IF(CALIBRACION!L57="","",CALIBRACION!N57)</f>
        <v/>
      </c>
      <c r="M51" s="541" t="str">
        <f aca="false">A51</f>
        <v/>
      </c>
      <c r="N51" s="546" t="e">
        <f aca="false">B51</f>
        <v>#VALUE!</v>
      </c>
      <c r="O51" s="547" t="str">
        <f aca="false">CALIBRACION!J57</f>
        <v/>
      </c>
      <c r="P51" s="542" t="str">
        <f aca="false">IF(D51="","",((D51*0.00003937008*1000000)))</f>
        <v/>
      </c>
      <c r="Q51" s="542" t="str">
        <f aca="false">IF(E51="","",((E51/25.4)))</f>
        <v/>
      </c>
      <c r="R51" s="542" t="str">
        <f aca="false">IF(F51="","",(F51*0.00003937008*1000000))</f>
        <v/>
      </c>
      <c r="S51" s="543" t="str">
        <f aca="false">IF(G51="","",((G51*0.00003937*1000000)))</f>
        <v/>
      </c>
      <c r="T51" s="543" t="str">
        <f aca="false">IF(H51="","",((H51*0.00003937*1000000)))</f>
        <v/>
      </c>
    </row>
    <row r="52" customFormat="false" ht="15.75" hidden="false" customHeight="false" outlineLevel="0" collapsed="false">
      <c r="A52" s="541" t="str">
        <f aca="false">IF(CALIBRACION!H58="","",+CALIBRACION!A58)</f>
        <v/>
      </c>
      <c r="B52" s="542" t="e">
        <f aca="false">CALIBRACION!I58</f>
        <v>#VALUE!</v>
      </c>
      <c r="C52" s="542" t="str">
        <f aca="false">IF(CALIBRACION!H58="","",CALIBRACION!H58)</f>
        <v/>
      </c>
      <c r="D52" s="542" t="str">
        <f aca="false">IF(CALIBRACION!H58="","",CALIBRACION!Q58*1000)</f>
        <v/>
      </c>
      <c r="E52" s="542" t="str">
        <f aca="false">IF(CALIBRACION!H58="","",CALIBRACION!T58)</f>
        <v/>
      </c>
      <c r="F52" s="542" t="str">
        <f aca="false">IF(INCERTIDUMBRE!B75="","",INCERTIDUMBRE!AS75)</f>
        <v/>
      </c>
      <c r="G52" s="543" t="str">
        <f aca="false">IF(CALIBRACION!H58="","",CALIBRACION!L58)</f>
        <v/>
      </c>
      <c r="H52" s="543" t="str">
        <f aca="false">IF(CALIBRACION!H58="","",CALIBRACION!M58)</f>
        <v/>
      </c>
      <c r="I52" s="544" t="str">
        <f aca="false">IF(CALIBRACION!H58="","",IF(CALIBRACION!K58="","sí","no"))</f>
        <v/>
      </c>
      <c r="J52" s="544" t="str">
        <f aca="false">IF(CALIBRACION!H58="","",IF(CALIBRACION!K58="","sí","no"))</f>
        <v/>
      </c>
      <c r="K52" s="545" t="str">
        <f aca="false">IF(CALIBRACION!L58="","",CALIBRACION!N58)</f>
        <v/>
      </c>
      <c r="M52" s="541" t="str">
        <f aca="false">A52</f>
        <v/>
      </c>
      <c r="N52" s="546" t="e">
        <f aca="false">B52</f>
        <v>#VALUE!</v>
      </c>
      <c r="O52" s="547" t="str">
        <f aca="false">CALIBRACION!J58</f>
        <v/>
      </c>
      <c r="P52" s="542" t="str">
        <f aca="false">IF(D52="","",((D52*0.00003937008*1000000)))</f>
        <v/>
      </c>
      <c r="Q52" s="542" t="str">
        <f aca="false">IF(E52="","",((E52/25.4)))</f>
        <v/>
      </c>
      <c r="R52" s="542" t="str">
        <f aca="false">IF(F52="","",(F52*0.00003937008*1000000))</f>
        <v/>
      </c>
      <c r="S52" s="543" t="str">
        <f aca="false">IF(G52="","",((G52*0.00003937*1000000)))</f>
        <v/>
      </c>
      <c r="T52" s="543" t="str">
        <f aca="false">IF(H52="","",((H52*0.00003937*1000000)))</f>
        <v/>
      </c>
    </row>
    <row r="53" customFormat="false" ht="15.75" hidden="false" customHeight="false" outlineLevel="0" collapsed="false">
      <c r="A53" s="541" t="str">
        <f aca="false">IF(CALIBRACION!H59="","",+CALIBRACION!A59)</f>
        <v/>
      </c>
      <c r="B53" s="542" t="e">
        <f aca="false">CALIBRACION!I59</f>
        <v>#VALUE!</v>
      </c>
      <c r="C53" s="542" t="str">
        <f aca="false">IF(CALIBRACION!H59="","",CALIBRACION!H59)</f>
        <v/>
      </c>
      <c r="D53" s="542" t="str">
        <f aca="false">IF(CALIBRACION!H59="","",CALIBRACION!Q59*1000)</f>
        <v/>
      </c>
      <c r="E53" s="542" t="str">
        <f aca="false">IF(CALIBRACION!H59="","",CALIBRACION!T59)</f>
        <v/>
      </c>
      <c r="F53" s="542" t="str">
        <f aca="false">IF(INCERTIDUMBRE!B76="","",INCERTIDUMBRE!AS76)</f>
        <v/>
      </c>
      <c r="G53" s="543" t="str">
        <f aca="false">IF(CALIBRACION!H59="","",CALIBRACION!L59)</f>
        <v/>
      </c>
      <c r="H53" s="543" t="str">
        <f aca="false">IF(CALIBRACION!H59="","",CALIBRACION!M59)</f>
        <v/>
      </c>
      <c r="I53" s="544" t="str">
        <f aca="false">IF(CALIBRACION!H59="","",IF(CALIBRACION!K59="","sí","no"))</f>
        <v/>
      </c>
      <c r="J53" s="544" t="str">
        <f aca="false">IF(CALIBRACION!H59="","",IF(CALIBRACION!K59="","sí","no"))</f>
        <v/>
      </c>
      <c r="K53" s="545" t="str">
        <f aca="false">IF(CALIBRACION!L59="","",CALIBRACION!N59)</f>
        <v/>
      </c>
      <c r="M53" s="541" t="str">
        <f aca="false">A53</f>
        <v/>
      </c>
      <c r="N53" s="546" t="e">
        <f aca="false">B53</f>
        <v>#VALUE!</v>
      </c>
      <c r="O53" s="547" t="str">
        <f aca="false">CALIBRACION!J59</f>
        <v/>
      </c>
      <c r="P53" s="542" t="str">
        <f aca="false">IF(D53="","",((D53*0.00003937008*1000000)))</f>
        <v/>
      </c>
      <c r="Q53" s="542" t="str">
        <f aca="false">IF(E53="","",((E53/25.4)))</f>
        <v/>
      </c>
      <c r="R53" s="542" t="str">
        <f aca="false">IF(F53="","",(F53*0.00003937008*1000000))</f>
        <v/>
      </c>
      <c r="S53" s="543" t="str">
        <f aca="false">IF(G53="","",((G53*0.00003937*1000000)))</f>
        <v/>
      </c>
      <c r="T53" s="543" t="str">
        <f aca="false">IF(H53="","",((H53*0.00003937*1000000)))</f>
        <v/>
      </c>
    </row>
    <row r="54" customFormat="false" ht="15.75" hidden="false" customHeight="false" outlineLevel="0" collapsed="false">
      <c r="A54" s="541" t="str">
        <f aca="false">IF(CALIBRACION!H60="","",+CALIBRACION!A60)</f>
        <v/>
      </c>
      <c r="B54" s="542" t="e">
        <f aca="false">CALIBRACION!I60</f>
        <v>#VALUE!</v>
      </c>
      <c r="C54" s="542" t="str">
        <f aca="false">IF(CALIBRACION!H60="","",CALIBRACION!H60)</f>
        <v/>
      </c>
      <c r="D54" s="542" t="str">
        <f aca="false">IF(CALIBRACION!H60="","",CALIBRACION!Q60*1000)</f>
        <v/>
      </c>
      <c r="E54" s="542" t="str">
        <f aca="false">IF(CALIBRACION!H60="","",CALIBRACION!T60)</f>
        <v/>
      </c>
      <c r="F54" s="542" t="str">
        <f aca="false">IF(INCERTIDUMBRE!B77="","",INCERTIDUMBRE!AS77)</f>
        <v/>
      </c>
      <c r="G54" s="543" t="str">
        <f aca="false">IF(CALIBRACION!H60="","",CALIBRACION!L60)</f>
        <v/>
      </c>
      <c r="H54" s="543" t="str">
        <f aca="false">IF(CALIBRACION!H60="","",CALIBRACION!M60)</f>
        <v/>
      </c>
      <c r="I54" s="544" t="str">
        <f aca="false">IF(CALIBRACION!H60="","",IF(CALIBRACION!K60="","sí","no"))</f>
        <v/>
      </c>
      <c r="J54" s="544" t="str">
        <f aca="false">IF(CALIBRACION!H60="","",IF(CALIBRACION!K60="","sí","no"))</f>
        <v/>
      </c>
      <c r="K54" s="545" t="str">
        <f aca="false">IF(CALIBRACION!L60="","",CALIBRACION!N60)</f>
        <v/>
      </c>
      <c r="M54" s="541" t="str">
        <f aca="false">A54</f>
        <v/>
      </c>
      <c r="N54" s="546" t="e">
        <f aca="false">B54</f>
        <v>#VALUE!</v>
      </c>
      <c r="O54" s="547" t="str">
        <f aca="false">CALIBRACION!J60</f>
        <v/>
      </c>
      <c r="P54" s="542" t="str">
        <f aca="false">IF(D54="","",((D54*0.00003937008*1000000)))</f>
        <v/>
      </c>
      <c r="Q54" s="542" t="str">
        <f aca="false">IF(E54="","",((E54/25.4)))</f>
        <v/>
      </c>
      <c r="R54" s="542" t="str">
        <f aca="false">IF(F54="","",(F54*0.00003937008*1000000))</f>
        <v/>
      </c>
      <c r="S54" s="543" t="str">
        <f aca="false">IF(G54="","",((G54*0.00003937*1000000)))</f>
        <v/>
      </c>
      <c r="T54" s="543" t="str">
        <f aca="false">IF(H54="","",((H54*0.00003937*1000000)))</f>
        <v/>
      </c>
    </row>
    <row r="55" customFormat="false" ht="15.75" hidden="false" customHeight="false" outlineLevel="0" collapsed="false">
      <c r="A55" s="541" t="str">
        <f aca="false">IF(CALIBRACION!H61="","",+CALIBRACION!A61)</f>
        <v/>
      </c>
      <c r="B55" s="542" t="e">
        <f aca="false">CALIBRACION!I61</f>
        <v>#VALUE!</v>
      </c>
      <c r="C55" s="542" t="str">
        <f aca="false">IF(CALIBRACION!H61="","",CALIBRACION!H61)</f>
        <v/>
      </c>
      <c r="D55" s="542" t="str">
        <f aca="false">IF(CALIBRACION!H61="","",CALIBRACION!Q61*1000)</f>
        <v/>
      </c>
      <c r="E55" s="542" t="str">
        <f aca="false">IF(CALIBRACION!H61="","",CALIBRACION!T61)</f>
        <v/>
      </c>
      <c r="F55" s="542" t="str">
        <f aca="false">IF(INCERTIDUMBRE!B78="","",INCERTIDUMBRE!AS78)</f>
        <v/>
      </c>
      <c r="G55" s="543" t="str">
        <f aca="false">IF(CALIBRACION!H61="","",CALIBRACION!L61)</f>
        <v/>
      </c>
      <c r="H55" s="543" t="str">
        <f aca="false">IF(CALIBRACION!H61="","",CALIBRACION!M61)</f>
        <v/>
      </c>
      <c r="I55" s="544" t="str">
        <f aca="false">IF(CALIBRACION!H61="","",IF(CALIBRACION!K61="","sí","no"))</f>
        <v/>
      </c>
      <c r="J55" s="544" t="str">
        <f aca="false">IF(CALIBRACION!H61="","",IF(CALIBRACION!K61="","sí","no"))</f>
        <v/>
      </c>
      <c r="K55" s="545" t="str">
        <f aca="false">IF(CALIBRACION!L61="","",CALIBRACION!N61)</f>
        <v/>
      </c>
      <c r="M55" s="541" t="str">
        <f aca="false">A55</f>
        <v/>
      </c>
      <c r="N55" s="546" t="e">
        <f aca="false">B55</f>
        <v>#VALUE!</v>
      </c>
      <c r="O55" s="547" t="str">
        <f aca="false">CALIBRACION!J61</f>
        <v/>
      </c>
      <c r="P55" s="542" t="str">
        <f aca="false">IF(D55="","",((D55*0.00003937008*1000000)))</f>
        <v/>
      </c>
      <c r="Q55" s="542" t="str">
        <f aca="false">IF(E55="","",((E55/25.4)))</f>
        <v/>
      </c>
      <c r="R55" s="542" t="str">
        <f aca="false">IF(F55="","",(F55*0.00003937008*1000000))</f>
        <v/>
      </c>
      <c r="S55" s="543" t="str">
        <f aca="false">IF(G55="","",((G55*0.00003937*1000000)))</f>
        <v/>
      </c>
      <c r="T55" s="543" t="str">
        <f aca="false">IF(H55="","",((H55*0.00003937*1000000)))</f>
        <v/>
      </c>
    </row>
    <row r="56" customFormat="false" ht="15.75" hidden="false" customHeight="false" outlineLevel="0" collapsed="false">
      <c r="A56" s="541" t="str">
        <f aca="false">IF(CALIBRACION!H62="","",+CALIBRACION!A62)</f>
        <v/>
      </c>
      <c r="B56" s="542" t="e">
        <f aca="false">CALIBRACION!I62</f>
        <v>#VALUE!</v>
      </c>
      <c r="C56" s="542" t="str">
        <f aca="false">IF(CALIBRACION!H62="","",CALIBRACION!H62)</f>
        <v/>
      </c>
      <c r="D56" s="542" t="str">
        <f aca="false">IF(CALIBRACION!H62="","",CALIBRACION!Q62*1000)</f>
        <v/>
      </c>
      <c r="E56" s="542" t="str">
        <f aca="false">IF(CALIBRACION!H62="","",CALIBRACION!T62)</f>
        <v/>
      </c>
      <c r="F56" s="542" t="str">
        <f aca="false">IF(INCERTIDUMBRE!B79="","",INCERTIDUMBRE!AS79)</f>
        <v/>
      </c>
      <c r="G56" s="543" t="str">
        <f aca="false">IF(CALIBRACION!H62="","",CALIBRACION!L62)</f>
        <v/>
      </c>
      <c r="H56" s="543" t="str">
        <f aca="false">IF(CALIBRACION!H62="","",CALIBRACION!M62)</f>
        <v/>
      </c>
      <c r="I56" s="544" t="str">
        <f aca="false">IF(CALIBRACION!H62="","",IF(CALIBRACION!K62="","sí","no"))</f>
        <v/>
      </c>
      <c r="J56" s="544" t="str">
        <f aca="false">IF(CALIBRACION!H62="","",IF(CALIBRACION!K62="","sí","no"))</f>
        <v/>
      </c>
      <c r="K56" s="545" t="str">
        <f aca="false">IF(CALIBRACION!L62="","",CALIBRACION!N62)</f>
        <v/>
      </c>
      <c r="M56" s="541" t="str">
        <f aca="false">A56</f>
        <v/>
      </c>
      <c r="N56" s="546" t="e">
        <f aca="false">B56</f>
        <v>#VALUE!</v>
      </c>
      <c r="O56" s="547" t="str">
        <f aca="false">CALIBRACION!J62</f>
        <v/>
      </c>
      <c r="P56" s="542" t="str">
        <f aca="false">IF(D56="","",((D56*0.00003937008*1000000)))</f>
        <v/>
      </c>
      <c r="Q56" s="542" t="str">
        <f aca="false">IF(E56="","",((E56/25.4)))</f>
        <v/>
      </c>
      <c r="R56" s="542" t="str">
        <f aca="false">IF(F56="","",(F56*0.00003937008*1000000))</f>
        <v/>
      </c>
      <c r="S56" s="543" t="str">
        <f aca="false">IF(G56="","",((G56*0.00003937*1000000)))</f>
        <v/>
      </c>
      <c r="T56" s="543" t="str">
        <f aca="false">IF(H56="","",((H56*0.00003937*1000000)))</f>
        <v/>
      </c>
    </row>
    <row r="57" customFormat="false" ht="15.75" hidden="false" customHeight="false" outlineLevel="0" collapsed="false">
      <c r="A57" s="541" t="str">
        <f aca="false">IF(CALIBRACION!H63="","",+CALIBRACION!A63)</f>
        <v/>
      </c>
      <c r="B57" s="542" t="e">
        <f aca="false">CALIBRACION!I63</f>
        <v>#VALUE!</v>
      </c>
      <c r="C57" s="542" t="str">
        <f aca="false">IF(CALIBRACION!H63="","",CALIBRACION!H63)</f>
        <v/>
      </c>
      <c r="D57" s="542" t="str">
        <f aca="false">IF(CALIBRACION!H63="","",CALIBRACION!Q63*1000)</f>
        <v/>
      </c>
      <c r="E57" s="542" t="str">
        <f aca="false">IF(CALIBRACION!H63="","",CALIBRACION!T63)</f>
        <v/>
      </c>
      <c r="F57" s="542" t="str">
        <f aca="false">IF(INCERTIDUMBRE!B80="","",INCERTIDUMBRE!AS80)</f>
        <v/>
      </c>
      <c r="G57" s="543" t="str">
        <f aca="false">IF(CALIBRACION!H63="","",CALIBRACION!L63)</f>
        <v/>
      </c>
      <c r="H57" s="543" t="str">
        <f aca="false">IF(CALIBRACION!H63="","",CALIBRACION!M63)</f>
        <v/>
      </c>
      <c r="I57" s="544" t="str">
        <f aca="false">IF(CALIBRACION!H63="","",IF(CALIBRACION!K63="","sí","no"))</f>
        <v/>
      </c>
      <c r="J57" s="544" t="str">
        <f aca="false">IF(CALIBRACION!H63="","",IF(CALIBRACION!K63="","sí","no"))</f>
        <v/>
      </c>
      <c r="K57" s="545" t="str">
        <f aca="false">IF(CALIBRACION!L63="","",CALIBRACION!N63)</f>
        <v/>
      </c>
      <c r="M57" s="541" t="str">
        <f aca="false">A57</f>
        <v/>
      </c>
      <c r="N57" s="546" t="e">
        <f aca="false">B57</f>
        <v>#VALUE!</v>
      </c>
      <c r="O57" s="547" t="str">
        <f aca="false">CALIBRACION!J63</f>
        <v/>
      </c>
      <c r="P57" s="542" t="str">
        <f aca="false">IF(D57="","",((D57*0.00003937008*1000000)))</f>
        <v/>
      </c>
      <c r="Q57" s="542" t="str">
        <f aca="false">IF(E57="","",((E57/25.4)))</f>
        <v/>
      </c>
      <c r="R57" s="542" t="str">
        <f aca="false">IF(F57="","",(F57*0.00003937008*1000000))</f>
        <v/>
      </c>
      <c r="S57" s="543" t="str">
        <f aca="false">IF(G57="","",((G57*0.00003937*1000000)))</f>
        <v/>
      </c>
      <c r="T57" s="543" t="str">
        <f aca="false">IF(H57="","",((H57*0.00003937*1000000)))</f>
        <v/>
      </c>
    </row>
    <row r="58" customFormat="false" ht="15.75" hidden="false" customHeight="false" outlineLevel="0" collapsed="false">
      <c r="A58" s="541" t="str">
        <f aca="false">IF(CALIBRACION!H64="","",+CALIBRACION!A64)</f>
        <v/>
      </c>
      <c r="B58" s="542" t="e">
        <f aca="false">CALIBRACION!I64</f>
        <v>#VALUE!</v>
      </c>
      <c r="C58" s="542" t="str">
        <f aca="false">IF(CALIBRACION!H64="","",CALIBRACION!H64)</f>
        <v/>
      </c>
      <c r="D58" s="542" t="str">
        <f aca="false">IF(CALIBRACION!H64="","",CALIBRACION!Q64*1000)</f>
        <v/>
      </c>
      <c r="E58" s="542" t="str">
        <f aca="false">IF(CALIBRACION!H64="","",CALIBRACION!T64)</f>
        <v/>
      </c>
      <c r="F58" s="542" t="str">
        <f aca="false">IF(INCERTIDUMBRE!B81="","",INCERTIDUMBRE!AS81)</f>
        <v/>
      </c>
      <c r="G58" s="543" t="str">
        <f aca="false">IF(CALIBRACION!H64="","",CALIBRACION!L64)</f>
        <v/>
      </c>
      <c r="H58" s="543" t="str">
        <f aca="false">IF(CALIBRACION!H64="","",CALIBRACION!M64)</f>
        <v/>
      </c>
      <c r="I58" s="544" t="str">
        <f aca="false">IF(CALIBRACION!H64="","",IF(CALIBRACION!K64="","sí","no"))</f>
        <v/>
      </c>
      <c r="J58" s="544" t="str">
        <f aca="false">IF(CALIBRACION!H64="","",IF(CALIBRACION!K64="","sí","no"))</f>
        <v/>
      </c>
      <c r="K58" s="545" t="str">
        <f aca="false">IF(CALIBRACION!L64="","",CALIBRACION!N64)</f>
        <v/>
      </c>
      <c r="M58" s="541" t="str">
        <f aca="false">A58</f>
        <v/>
      </c>
      <c r="N58" s="546" t="e">
        <f aca="false">B58</f>
        <v>#VALUE!</v>
      </c>
      <c r="O58" s="547" t="str">
        <f aca="false">CALIBRACION!J64</f>
        <v/>
      </c>
      <c r="P58" s="542" t="str">
        <f aca="false">IF(D58="","",((D58*0.00003937008*1000000)))</f>
        <v/>
      </c>
      <c r="Q58" s="542" t="str">
        <f aca="false">IF(E58="","",((E58/25.4)))</f>
        <v/>
      </c>
      <c r="R58" s="542" t="str">
        <f aca="false">IF(F58="","",(F58*0.00003937008*1000000))</f>
        <v/>
      </c>
      <c r="S58" s="543" t="str">
        <f aca="false">IF(G58="","",((G58*0.00003937*1000000)))</f>
        <v/>
      </c>
      <c r="T58" s="543" t="str">
        <f aca="false">IF(H58="","",((H58*0.00003937*1000000)))</f>
        <v/>
      </c>
    </row>
    <row r="59" customFormat="false" ht="15.75" hidden="false" customHeight="false" outlineLevel="0" collapsed="false">
      <c r="A59" s="541" t="str">
        <f aca="false">IF(CALIBRACION!H65="","",+CALIBRACION!A65)</f>
        <v/>
      </c>
      <c r="B59" s="542" t="e">
        <f aca="false">CALIBRACION!I65</f>
        <v>#VALUE!</v>
      </c>
      <c r="C59" s="542" t="str">
        <f aca="false">IF(CALIBRACION!H65="","",CALIBRACION!H65)</f>
        <v/>
      </c>
      <c r="D59" s="542" t="str">
        <f aca="false">IF(CALIBRACION!H65="","",CALIBRACION!Q65*1000)</f>
        <v/>
      </c>
      <c r="E59" s="542" t="str">
        <f aca="false">IF(CALIBRACION!H65="","",CALIBRACION!T65)</f>
        <v/>
      </c>
      <c r="F59" s="542" t="str">
        <f aca="false">IF(INCERTIDUMBRE!B82="","",INCERTIDUMBRE!AS82)</f>
        <v/>
      </c>
      <c r="G59" s="543" t="str">
        <f aca="false">IF(CALIBRACION!H65="","",CALIBRACION!L65)</f>
        <v/>
      </c>
      <c r="H59" s="543" t="str">
        <f aca="false">IF(CALIBRACION!H65="","",CALIBRACION!M65)</f>
        <v/>
      </c>
      <c r="I59" s="544" t="str">
        <f aca="false">IF(CALIBRACION!H65="","",IF(CALIBRACION!K65="","sí","no"))</f>
        <v/>
      </c>
      <c r="J59" s="544" t="str">
        <f aca="false">IF(CALIBRACION!H65="","",IF(CALIBRACION!K65="","sí","no"))</f>
        <v/>
      </c>
      <c r="K59" s="545" t="str">
        <f aca="false">IF(CALIBRACION!L65="","",CALIBRACION!N65)</f>
        <v/>
      </c>
      <c r="M59" s="541" t="str">
        <f aca="false">A59</f>
        <v/>
      </c>
      <c r="N59" s="546" t="e">
        <f aca="false">B59</f>
        <v>#VALUE!</v>
      </c>
      <c r="O59" s="547" t="str">
        <f aca="false">CALIBRACION!J65</f>
        <v/>
      </c>
      <c r="P59" s="542" t="str">
        <f aca="false">IF(D59="","",((D59*0.00003937008*1000000)))</f>
        <v/>
      </c>
      <c r="Q59" s="542" t="str">
        <f aca="false">IF(E59="","",((E59/25.4)))</f>
        <v/>
      </c>
      <c r="R59" s="542" t="str">
        <f aca="false">IF(F59="","",(F59*0.00003937008*1000000))</f>
        <v/>
      </c>
      <c r="S59" s="543" t="str">
        <f aca="false">IF(G59="","",((G59*0.00003937*1000000)))</f>
        <v/>
      </c>
      <c r="T59" s="543" t="str">
        <f aca="false">IF(H59="","",((H59*0.00003937*1000000)))</f>
        <v/>
      </c>
    </row>
    <row r="60" customFormat="false" ht="15.75" hidden="false" customHeight="false" outlineLevel="0" collapsed="false">
      <c r="A60" s="541" t="str">
        <f aca="false">IF(CALIBRACION!H66="","",+CALIBRACION!A66)</f>
        <v/>
      </c>
      <c r="B60" s="542" t="e">
        <f aca="false">CALIBRACION!I66</f>
        <v>#VALUE!</v>
      </c>
      <c r="C60" s="542" t="str">
        <f aca="false">IF(CALIBRACION!H66="","",CALIBRACION!H66)</f>
        <v/>
      </c>
      <c r="D60" s="542" t="str">
        <f aca="false">IF(CALIBRACION!H66="","",CALIBRACION!Q66*1000)</f>
        <v/>
      </c>
      <c r="E60" s="542" t="str">
        <f aca="false">IF(CALIBRACION!H66="","",CALIBRACION!T66)</f>
        <v/>
      </c>
      <c r="F60" s="542" t="str">
        <f aca="false">IF(INCERTIDUMBRE!B83="","",INCERTIDUMBRE!AS83)</f>
        <v/>
      </c>
      <c r="G60" s="543" t="str">
        <f aca="false">IF(CALIBRACION!H66="","",CALIBRACION!L66)</f>
        <v/>
      </c>
      <c r="H60" s="543" t="str">
        <f aca="false">IF(CALIBRACION!H66="","",CALIBRACION!M66)</f>
        <v/>
      </c>
      <c r="I60" s="544" t="str">
        <f aca="false">IF(CALIBRACION!H66="","",IF(CALIBRACION!K66="","sí","no"))</f>
        <v/>
      </c>
      <c r="J60" s="544" t="str">
        <f aca="false">IF(CALIBRACION!H66="","",IF(CALIBRACION!K66="","sí","no"))</f>
        <v/>
      </c>
      <c r="K60" s="545" t="str">
        <f aca="false">IF(CALIBRACION!L66="","",CALIBRACION!N66)</f>
        <v/>
      </c>
      <c r="M60" s="541" t="str">
        <f aca="false">A60</f>
        <v/>
      </c>
      <c r="N60" s="546" t="e">
        <f aca="false">B60</f>
        <v>#VALUE!</v>
      </c>
      <c r="O60" s="547" t="str">
        <f aca="false">CALIBRACION!J66</f>
        <v/>
      </c>
      <c r="P60" s="542" t="str">
        <f aca="false">IF(D60="","",((D60*0.00003937008*1000000)))</f>
        <v/>
      </c>
      <c r="Q60" s="542" t="str">
        <f aca="false">IF(E60="","",((E60/25.4)))</f>
        <v/>
      </c>
      <c r="R60" s="542" t="str">
        <f aca="false">IF(F60="","",(F60*0.00003937008*1000000))</f>
        <v/>
      </c>
      <c r="S60" s="543" t="str">
        <f aca="false">IF(G60="","",((G60*0.00003937*1000000)))</f>
        <v/>
      </c>
      <c r="T60" s="543" t="str">
        <f aca="false">IF(H60="","",((H60*0.00003937*1000000)))</f>
        <v/>
      </c>
    </row>
    <row r="61" customFormat="false" ht="15.75" hidden="false" customHeight="false" outlineLevel="0" collapsed="false">
      <c r="A61" s="541" t="str">
        <f aca="false">IF(CALIBRACION!H67="","",+CALIBRACION!A67)</f>
        <v/>
      </c>
      <c r="B61" s="542" t="e">
        <f aca="false">CALIBRACION!I67</f>
        <v>#VALUE!</v>
      </c>
      <c r="C61" s="542" t="str">
        <f aca="false">IF(CALIBRACION!H67="","",CALIBRACION!H67)</f>
        <v/>
      </c>
      <c r="D61" s="542" t="str">
        <f aca="false">IF(CALIBRACION!H67="","",CALIBRACION!Q67*1000)</f>
        <v/>
      </c>
      <c r="E61" s="542" t="str">
        <f aca="false">IF(CALIBRACION!H67="","",CALIBRACION!T67)</f>
        <v/>
      </c>
      <c r="F61" s="542" t="str">
        <f aca="false">IF(INCERTIDUMBRE!B84="","",INCERTIDUMBRE!AS84)</f>
        <v/>
      </c>
      <c r="G61" s="543" t="str">
        <f aca="false">IF(CALIBRACION!H67="","",CALIBRACION!L67)</f>
        <v/>
      </c>
      <c r="H61" s="543" t="str">
        <f aca="false">IF(CALIBRACION!H67="","",CALIBRACION!M67)</f>
        <v/>
      </c>
      <c r="I61" s="544" t="str">
        <f aca="false">IF(CALIBRACION!H67="","",IF(CALIBRACION!K67="","sí","no"))</f>
        <v/>
      </c>
      <c r="J61" s="544" t="str">
        <f aca="false">IF(CALIBRACION!H67="","",IF(CALIBRACION!K67="","sí","no"))</f>
        <v/>
      </c>
      <c r="K61" s="545" t="str">
        <f aca="false">IF(CALIBRACION!L67="","",CALIBRACION!N67)</f>
        <v/>
      </c>
      <c r="M61" s="541" t="str">
        <f aca="false">A61</f>
        <v/>
      </c>
      <c r="N61" s="546" t="e">
        <f aca="false">B61</f>
        <v>#VALUE!</v>
      </c>
      <c r="O61" s="547" t="str">
        <f aca="false">CALIBRACION!J67</f>
        <v/>
      </c>
      <c r="P61" s="542" t="str">
        <f aca="false">IF(D61="","",((D61*0.00003937008*1000000)))</f>
        <v/>
      </c>
      <c r="Q61" s="542" t="str">
        <f aca="false">IF(E61="","",((E61/25.4)))</f>
        <v/>
      </c>
      <c r="R61" s="542" t="str">
        <f aca="false">IF(F61="","",(F61*0.00003937008*1000000))</f>
        <v/>
      </c>
      <c r="S61" s="543" t="str">
        <f aca="false">IF(G61="","",((G61*0.00003937*1000000)))</f>
        <v/>
      </c>
      <c r="T61" s="543" t="str">
        <f aca="false">IF(H61="","",((H61*0.00003937*1000000)))</f>
        <v/>
      </c>
    </row>
    <row r="62" customFormat="false" ht="15.75" hidden="false" customHeight="false" outlineLevel="0" collapsed="false">
      <c r="A62" s="541" t="str">
        <f aca="false">IF(CALIBRACION!H68="","",+CALIBRACION!A68)</f>
        <v/>
      </c>
      <c r="B62" s="542" t="e">
        <f aca="false">CALIBRACION!I68</f>
        <v>#VALUE!</v>
      </c>
      <c r="C62" s="542" t="str">
        <f aca="false">IF(CALIBRACION!H68="","",CALIBRACION!H68)</f>
        <v/>
      </c>
      <c r="D62" s="542" t="str">
        <f aca="false">IF(CALIBRACION!H68="","",CALIBRACION!Q68*1000)</f>
        <v/>
      </c>
      <c r="E62" s="542" t="str">
        <f aca="false">IF(CALIBRACION!H68="","",CALIBRACION!T68)</f>
        <v/>
      </c>
      <c r="F62" s="542" t="str">
        <f aca="false">IF(INCERTIDUMBRE!B85="","",INCERTIDUMBRE!AS85)</f>
        <v/>
      </c>
      <c r="G62" s="543" t="str">
        <f aca="false">IF(CALIBRACION!H68="","",CALIBRACION!L68)</f>
        <v/>
      </c>
      <c r="H62" s="543" t="str">
        <f aca="false">IF(CALIBRACION!H68="","",CALIBRACION!M68)</f>
        <v/>
      </c>
      <c r="I62" s="544" t="str">
        <f aca="false">IF(CALIBRACION!H68="","",IF(CALIBRACION!K68="","sí","no"))</f>
        <v/>
      </c>
      <c r="J62" s="544" t="str">
        <f aca="false">IF(CALIBRACION!H68="","",IF(CALIBRACION!K68="","sí","no"))</f>
        <v/>
      </c>
      <c r="K62" s="545" t="str">
        <f aca="false">IF(CALIBRACION!L68="","",CALIBRACION!N68)</f>
        <v/>
      </c>
      <c r="M62" s="541" t="str">
        <f aca="false">A62</f>
        <v/>
      </c>
      <c r="N62" s="546" t="e">
        <f aca="false">B62</f>
        <v>#VALUE!</v>
      </c>
      <c r="O62" s="547" t="str">
        <f aca="false">CALIBRACION!J68</f>
        <v/>
      </c>
      <c r="P62" s="542" t="str">
        <f aca="false">IF(D62="","",((D62*0.00003937008*1000000)))</f>
        <v/>
      </c>
      <c r="Q62" s="542" t="str">
        <f aca="false">IF(E62="","",((E62/25.4)))</f>
        <v/>
      </c>
      <c r="R62" s="542" t="str">
        <f aca="false">IF(F62="","",(F62*0.00003937008*1000000))</f>
        <v/>
      </c>
      <c r="S62" s="543" t="str">
        <f aca="false">IF(G62="","",((G62*0.00003937*1000000)))</f>
        <v/>
      </c>
      <c r="T62" s="543" t="str">
        <f aca="false">IF(H62="","",((H62*0.00003937*1000000)))</f>
        <v/>
      </c>
    </row>
    <row r="63" customFormat="false" ht="15.75" hidden="false" customHeight="false" outlineLevel="0" collapsed="false">
      <c r="A63" s="541" t="str">
        <f aca="false">IF(CALIBRACION!H69="","",+CALIBRACION!A69)</f>
        <v/>
      </c>
      <c r="B63" s="542" t="e">
        <f aca="false">CALIBRACION!I69</f>
        <v>#VALUE!</v>
      </c>
      <c r="C63" s="542" t="str">
        <f aca="false">IF(CALIBRACION!H69="","",CALIBRACION!H69)</f>
        <v/>
      </c>
      <c r="D63" s="542" t="str">
        <f aca="false">IF(CALIBRACION!H69="","",CALIBRACION!Q69*1000)</f>
        <v/>
      </c>
      <c r="E63" s="542" t="str">
        <f aca="false">IF(CALIBRACION!H69="","",CALIBRACION!T69)</f>
        <v/>
      </c>
      <c r="F63" s="542" t="str">
        <f aca="false">IF(INCERTIDUMBRE!B86="","",INCERTIDUMBRE!AS86)</f>
        <v/>
      </c>
      <c r="G63" s="543" t="str">
        <f aca="false">IF(CALIBRACION!H69="","",CALIBRACION!L69)</f>
        <v/>
      </c>
      <c r="H63" s="543" t="str">
        <f aca="false">IF(CALIBRACION!H69="","",CALIBRACION!M69)</f>
        <v/>
      </c>
      <c r="I63" s="544" t="str">
        <f aca="false">IF(CALIBRACION!H69="","",IF(CALIBRACION!K69="","sí","no"))</f>
        <v/>
      </c>
      <c r="J63" s="544" t="str">
        <f aca="false">IF(CALIBRACION!H69="","",IF(CALIBRACION!K69="","sí","no"))</f>
        <v/>
      </c>
      <c r="K63" s="545" t="str">
        <f aca="false">IF(CALIBRACION!L69="","",CALIBRACION!N69)</f>
        <v/>
      </c>
      <c r="M63" s="541" t="str">
        <f aca="false">A63</f>
        <v/>
      </c>
      <c r="N63" s="546" t="e">
        <f aca="false">B63</f>
        <v>#VALUE!</v>
      </c>
      <c r="O63" s="547" t="str">
        <f aca="false">CALIBRACION!J69</f>
        <v/>
      </c>
      <c r="P63" s="542" t="str">
        <f aca="false">IF(D63="","",((D63*0.00003937008*1000000)))</f>
        <v/>
      </c>
      <c r="Q63" s="542" t="str">
        <f aca="false">IF(E63="","",((E63/25.4)))</f>
        <v/>
      </c>
      <c r="R63" s="542" t="str">
        <f aca="false">IF(F63="","",(F63*0.00003937008*1000000))</f>
        <v/>
      </c>
      <c r="S63" s="543" t="str">
        <f aca="false">IF(G63="","",((G63*0.00003937*1000000)))</f>
        <v/>
      </c>
      <c r="T63" s="543" t="str">
        <f aca="false">IF(H63="","",((H63*0.00003937*1000000)))</f>
        <v/>
      </c>
    </row>
    <row r="64" customFormat="false" ht="15.75" hidden="false" customHeight="false" outlineLevel="0" collapsed="false">
      <c r="A64" s="541" t="str">
        <f aca="false">IF(CALIBRACION!H70="","",+CALIBRACION!A70)</f>
        <v/>
      </c>
      <c r="B64" s="542" t="e">
        <f aca="false">CALIBRACION!I70</f>
        <v>#VALUE!</v>
      </c>
      <c r="C64" s="542" t="str">
        <f aca="false">IF(CALIBRACION!H70="","",CALIBRACION!H70)</f>
        <v/>
      </c>
      <c r="D64" s="542" t="str">
        <f aca="false">IF(CALIBRACION!H70="","",CALIBRACION!Q70*1000)</f>
        <v/>
      </c>
      <c r="E64" s="542" t="str">
        <f aca="false">IF(CALIBRACION!H70="","",CALIBRACION!T70)</f>
        <v/>
      </c>
      <c r="F64" s="542" t="str">
        <f aca="false">IF(INCERTIDUMBRE!B87="","",INCERTIDUMBRE!AS87)</f>
        <v/>
      </c>
      <c r="G64" s="543" t="str">
        <f aca="false">IF(CALIBRACION!H70="","",CALIBRACION!L70)</f>
        <v/>
      </c>
      <c r="H64" s="543" t="str">
        <f aca="false">IF(CALIBRACION!H70="","",CALIBRACION!M70)</f>
        <v/>
      </c>
      <c r="I64" s="544" t="str">
        <f aca="false">IF(CALIBRACION!H70="","",IF(CALIBRACION!K70="","sí","no"))</f>
        <v/>
      </c>
      <c r="J64" s="544" t="str">
        <f aca="false">IF(CALIBRACION!H70="","",IF(CALIBRACION!K70="","sí","no"))</f>
        <v/>
      </c>
      <c r="K64" s="545" t="str">
        <f aca="false">IF(CALIBRACION!L70="","",CALIBRACION!N70)</f>
        <v/>
      </c>
      <c r="M64" s="541" t="str">
        <f aca="false">A64</f>
        <v/>
      </c>
      <c r="N64" s="546" t="e">
        <f aca="false">B64</f>
        <v>#VALUE!</v>
      </c>
      <c r="O64" s="547" t="str">
        <f aca="false">CALIBRACION!J70</f>
        <v/>
      </c>
      <c r="P64" s="542" t="str">
        <f aca="false">IF(D64="","",((D64*0.00003937008*1000000)))</f>
        <v/>
      </c>
      <c r="Q64" s="542" t="str">
        <f aca="false">IF(E64="","",((E64/25.4)))</f>
        <v/>
      </c>
      <c r="R64" s="542" t="str">
        <f aca="false">IF(F64="","",(F64*0.00003937008*1000000))</f>
        <v/>
      </c>
      <c r="S64" s="543" t="str">
        <f aca="false">IF(G64="","",((G64*0.00003937*1000000)))</f>
        <v/>
      </c>
      <c r="T64" s="543" t="str">
        <f aca="false">IF(H64="","",((H64*0.00003937*1000000)))</f>
        <v/>
      </c>
    </row>
    <row r="65" customFormat="false" ht="15.75" hidden="false" customHeight="false" outlineLevel="0" collapsed="false">
      <c r="A65" s="541" t="str">
        <f aca="false">IF(CALIBRACION!H71="","",+CALIBRACION!A71)</f>
        <v/>
      </c>
      <c r="B65" s="542" t="e">
        <f aca="false">CALIBRACION!I71</f>
        <v>#VALUE!</v>
      </c>
      <c r="C65" s="542" t="str">
        <f aca="false">IF(CALIBRACION!H71="","",CALIBRACION!H71)</f>
        <v/>
      </c>
      <c r="D65" s="542" t="str">
        <f aca="false">IF(CALIBRACION!H71="","",CALIBRACION!Q71*1000)</f>
        <v/>
      </c>
      <c r="E65" s="542" t="str">
        <f aca="false">IF(CALIBRACION!H71="","",CALIBRACION!T71)</f>
        <v/>
      </c>
      <c r="F65" s="542" t="str">
        <f aca="false">IF(INCERTIDUMBRE!B88="","",INCERTIDUMBRE!AS88)</f>
        <v/>
      </c>
      <c r="G65" s="543" t="str">
        <f aca="false">IF(CALIBRACION!H71="","",CALIBRACION!L71)</f>
        <v/>
      </c>
      <c r="H65" s="543" t="str">
        <f aca="false">IF(CALIBRACION!H71="","",CALIBRACION!M71)</f>
        <v/>
      </c>
      <c r="I65" s="544" t="str">
        <f aca="false">IF(CALIBRACION!H71="","",IF(CALIBRACION!K71="","sí","no"))</f>
        <v/>
      </c>
      <c r="J65" s="544" t="str">
        <f aca="false">IF(CALIBRACION!H71="","",IF(CALIBRACION!K71="","sí","no"))</f>
        <v/>
      </c>
      <c r="K65" s="545" t="str">
        <f aca="false">IF(CALIBRACION!L71="","",CALIBRACION!N71)</f>
        <v/>
      </c>
      <c r="M65" s="541" t="str">
        <f aca="false">A65</f>
        <v/>
      </c>
      <c r="N65" s="546" t="e">
        <f aca="false">B65</f>
        <v>#VALUE!</v>
      </c>
      <c r="O65" s="547" t="str">
        <f aca="false">CALIBRACION!J71</f>
        <v/>
      </c>
      <c r="P65" s="542" t="str">
        <f aca="false">IF(D65="","",((D65*0.00003937008*1000000)))</f>
        <v/>
      </c>
      <c r="Q65" s="542" t="str">
        <f aca="false">IF(E65="","",((E65/25.4)))</f>
        <v/>
      </c>
      <c r="R65" s="542" t="str">
        <f aca="false">IF(F65="","",(F65*0.00003937008*1000000))</f>
        <v/>
      </c>
      <c r="S65" s="543" t="str">
        <f aca="false">IF(G65="","",((G65*0.00003937*1000000)))</f>
        <v/>
      </c>
      <c r="T65" s="543" t="str">
        <f aca="false">IF(H65="","",((H65*0.00003937*1000000)))</f>
        <v/>
      </c>
    </row>
    <row r="66" customFormat="false" ht="15.75" hidden="false" customHeight="false" outlineLevel="0" collapsed="false">
      <c r="A66" s="541" t="str">
        <f aca="false">IF(CALIBRACION!H72="","",+CALIBRACION!A72)</f>
        <v/>
      </c>
      <c r="B66" s="542" t="e">
        <f aca="false">CALIBRACION!I72</f>
        <v>#VALUE!</v>
      </c>
      <c r="C66" s="542" t="str">
        <f aca="false">IF(CALIBRACION!H72="","",CALIBRACION!H72)</f>
        <v/>
      </c>
      <c r="D66" s="542" t="str">
        <f aca="false">IF(CALIBRACION!H72="","",CALIBRACION!Q72*1000)</f>
        <v/>
      </c>
      <c r="E66" s="542" t="str">
        <f aca="false">IF(CALIBRACION!H72="","",CALIBRACION!T72)</f>
        <v/>
      </c>
      <c r="F66" s="542" t="str">
        <f aca="false">IF(INCERTIDUMBRE!B89="","",INCERTIDUMBRE!AS89)</f>
        <v/>
      </c>
      <c r="G66" s="543" t="str">
        <f aca="false">IF(CALIBRACION!H72="","",CALIBRACION!L72)</f>
        <v/>
      </c>
      <c r="H66" s="543" t="str">
        <f aca="false">IF(CALIBRACION!H72="","",CALIBRACION!M72)</f>
        <v/>
      </c>
      <c r="I66" s="544" t="str">
        <f aca="false">IF(CALIBRACION!H72="","",IF(CALIBRACION!K72="","sí","no"))</f>
        <v/>
      </c>
      <c r="J66" s="544" t="str">
        <f aca="false">IF(CALIBRACION!H72="","",IF(CALIBRACION!K72="","sí","no"))</f>
        <v/>
      </c>
      <c r="K66" s="545" t="str">
        <f aca="false">IF(CALIBRACION!L72="","",CALIBRACION!N72)</f>
        <v/>
      </c>
      <c r="M66" s="541" t="str">
        <f aca="false">A66</f>
        <v/>
      </c>
      <c r="N66" s="546" t="e">
        <f aca="false">B66</f>
        <v>#VALUE!</v>
      </c>
      <c r="O66" s="547" t="str">
        <f aca="false">CALIBRACION!J72</f>
        <v/>
      </c>
      <c r="P66" s="542" t="str">
        <f aca="false">IF(D66="","",((D66*0.00003937008*1000000)))</f>
        <v/>
      </c>
      <c r="Q66" s="542" t="str">
        <f aca="false">IF(E66="","",((E66/25.4)))</f>
        <v/>
      </c>
      <c r="R66" s="542" t="str">
        <f aca="false">IF(F66="","",(F66*0.00003937008*1000000))</f>
        <v/>
      </c>
      <c r="S66" s="543" t="str">
        <f aca="false">IF(G66="","",((G66*0.00003937*1000000)))</f>
        <v/>
      </c>
      <c r="T66" s="543" t="str">
        <f aca="false">IF(H66="","",((H66*0.00003937*1000000)))</f>
        <v/>
      </c>
    </row>
    <row r="67" customFormat="false" ht="15.75" hidden="false" customHeight="false" outlineLevel="0" collapsed="false">
      <c r="A67" s="541" t="str">
        <f aca="false">IF(CALIBRACION!H73="","",+CALIBRACION!A73)</f>
        <v/>
      </c>
      <c r="B67" s="542" t="e">
        <f aca="false">CALIBRACION!I73</f>
        <v>#VALUE!</v>
      </c>
      <c r="C67" s="542" t="str">
        <f aca="false">IF(CALIBRACION!H73="","",CALIBRACION!H73)</f>
        <v/>
      </c>
      <c r="D67" s="542" t="str">
        <f aca="false">IF(CALIBRACION!H73="","",CALIBRACION!Q73*1000)</f>
        <v/>
      </c>
      <c r="E67" s="542" t="str">
        <f aca="false">IF(CALIBRACION!H73="","",CALIBRACION!T73)</f>
        <v/>
      </c>
      <c r="F67" s="542" t="str">
        <f aca="false">IF(INCERTIDUMBRE!B90="","",INCERTIDUMBRE!AS90)</f>
        <v/>
      </c>
      <c r="G67" s="543" t="str">
        <f aca="false">IF(CALIBRACION!H73="","",CALIBRACION!L73)</f>
        <v/>
      </c>
      <c r="H67" s="543" t="str">
        <f aca="false">IF(CALIBRACION!H73="","",CALIBRACION!M73)</f>
        <v/>
      </c>
      <c r="I67" s="544" t="str">
        <f aca="false">IF(CALIBRACION!H73="","",IF(CALIBRACION!K73="","sí","no"))</f>
        <v/>
      </c>
      <c r="J67" s="544" t="str">
        <f aca="false">IF(CALIBRACION!H73="","",IF(CALIBRACION!K73="","sí","no"))</f>
        <v/>
      </c>
      <c r="K67" s="545" t="str">
        <f aca="false">IF(CALIBRACION!L73="","",CALIBRACION!N73)</f>
        <v/>
      </c>
      <c r="M67" s="541" t="str">
        <f aca="false">A67</f>
        <v/>
      </c>
      <c r="N67" s="546" t="e">
        <f aca="false">B67</f>
        <v>#VALUE!</v>
      </c>
      <c r="O67" s="547" t="str">
        <f aca="false">CALIBRACION!J73</f>
        <v/>
      </c>
      <c r="P67" s="542" t="str">
        <f aca="false">IF(D67="","",((D67*0.00003937008*1000000)))</f>
        <v/>
      </c>
      <c r="Q67" s="542" t="str">
        <f aca="false">IF(E67="","",((E67/25.4)))</f>
        <v/>
      </c>
      <c r="R67" s="542" t="str">
        <f aca="false">IF(F67="","",(F67*0.00003937008*1000000))</f>
        <v/>
      </c>
      <c r="S67" s="543" t="str">
        <f aca="false">IF(G67="","",((G67*0.00003937*1000000)))</f>
        <v/>
      </c>
      <c r="T67" s="543" t="str">
        <f aca="false">IF(H67="","",((H67*0.00003937*1000000)))</f>
        <v/>
      </c>
    </row>
    <row r="68" customFormat="false" ht="15.75" hidden="false" customHeight="false" outlineLevel="0" collapsed="false">
      <c r="A68" s="541" t="str">
        <f aca="false">IF(CALIBRACION!H74="","",+CALIBRACION!A74)</f>
        <v/>
      </c>
      <c r="B68" s="542" t="e">
        <f aca="false">CALIBRACION!I74</f>
        <v>#VALUE!</v>
      </c>
      <c r="C68" s="542" t="str">
        <f aca="false">IF(CALIBRACION!H74="","",CALIBRACION!H74)</f>
        <v/>
      </c>
      <c r="D68" s="542" t="str">
        <f aca="false">IF(CALIBRACION!H74="","",CALIBRACION!Q74*1000)</f>
        <v/>
      </c>
      <c r="E68" s="542" t="str">
        <f aca="false">IF(CALIBRACION!H74="","",CALIBRACION!T74)</f>
        <v/>
      </c>
      <c r="F68" s="542" t="str">
        <f aca="false">IF(INCERTIDUMBRE!B91="","",INCERTIDUMBRE!AS91)</f>
        <v/>
      </c>
      <c r="G68" s="543" t="str">
        <f aca="false">IF(CALIBRACION!H74="","",CALIBRACION!L74)</f>
        <v/>
      </c>
      <c r="H68" s="543" t="str">
        <f aca="false">IF(CALIBRACION!H74="","",CALIBRACION!M74)</f>
        <v/>
      </c>
      <c r="I68" s="544" t="str">
        <f aca="false">IF(CALIBRACION!H74="","",IF(CALIBRACION!K74="","sí","no"))</f>
        <v/>
      </c>
      <c r="J68" s="544" t="str">
        <f aca="false">IF(CALIBRACION!H74="","",IF(CALIBRACION!K74="","sí","no"))</f>
        <v/>
      </c>
      <c r="K68" s="545" t="str">
        <f aca="false">IF(CALIBRACION!L74="","",CALIBRACION!N74)</f>
        <v/>
      </c>
      <c r="M68" s="541" t="str">
        <f aca="false">A68</f>
        <v/>
      </c>
      <c r="N68" s="546" t="e">
        <f aca="false">B68</f>
        <v>#VALUE!</v>
      </c>
      <c r="O68" s="547" t="str">
        <f aca="false">CALIBRACION!J74</f>
        <v/>
      </c>
      <c r="P68" s="542" t="str">
        <f aca="false">IF(D68="","",((D68*0.00003937008*1000000)))</f>
        <v/>
      </c>
      <c r="Q68" s="542" t="str">
        <f aca="false">IF(E68="","",((E68/25.4)))</f>
        <v/>
      </c>
      <c r="R68" s="542" t="str">
        <f aca="false">IF(F68="","",(F68*0.00003937008*1000000))</f>
        <v/>
      </c>
      <c r="S68" s="543" t="str">
        <f aca="false">IF(G68="","",((G68*0.00003937*1000000)))</f>
        <v/>
      </c>
      <c r="T68" s="543" t="str">
        <f aca="false">IF(H68="","",((H68*0.00003937*1000000)))</f>
        <v/>
      </c>
    </row>
    <row r="69" customFormat="false" ht="15.75" hidden="false" customHeight="false" outlineLevel="0" collapsed="false">
      <c r="A69" s="541" t="str">
        <f aca="false">IF(CALIBRACION!H75="","",+CALIBRACION!A75)</f>
        <v/>
      </c>
      <c r="B69" s="542" t="e">
        <f aca="false">CALIBRACION!I75</f>
        <v>#VALUE!</v>
      </c>
      <c r="C69" s="542" t="str">
        <f aca="false">IF(CALIBRACION!H75="","",CALIBRACION!H75)</f>
        <v/>
      </c>
      <c r="D69" s="542" t="str">
        <f aca="false">IF(CALIBRACION!H75="","",CALIBRACION!Q75*1000)</f>
        <v/>
      </c>
      <c r="E69" s="542" t="str">
        <f aca="false">IF(CALIBRACION!H75="","",CALIBRACION!T75)</f>
        <v/>
      </c>
      <c r="F69" s="542" t="str">
        <f aca="false">IF(INCERTIDUMBRE!B92="","",INCERTIDUMBRE!AS92)</f>
        <v/>
      </c>
      <c r="G69" s="543" t="str">
        <f aca="false">IF(CALIBRACION!H75="","",CALIBRACION!L75)</f>
        <v/>
      </c>
      <c r="H69" s="543" t="str">
        <f aca="false">IF(CALIBRACION!H75="","",CALIBRACION!M75)</f>
        <v/>
      </c>
      <c r="I69" s="544" t="str">
        <f aca="false">IF(CALIBRACION!H75="","",IF(CALIBRACION!K75="","sí","no"))</f>
        <v/>
      </c>
      <c r="J69" s="544" t="str">
        <f aca="false">IF(CALIBRACION!H75="","",IF(CALIBRACION!K75="","sí","no"))</f>
        <v/>
      </c>
      <c r="K69" s="545" t="str">
        <f aca="false">IF(CALIBRACION!L75="","",CALIBRACION!N75)</f>
        <v/>
      </c>
      <c r="M69" s="541" t="str">
        <f aca="false">A69</f>
        <v/>
      </c>
      <c r="N69" s="546" t="e">
        <f aca="false">B69</f>
        <v>#VALUE!</v>
      </c>
      <c r="O69" s="547" t="str">
        <f aca="false">CALIBRACION!J75</f>
        <v/>
      </c>
      <c r="P69" s="542" t="str">
        <f aca="false">IF(D69="","",((D69*0.00003937008*1000000)))</f>
        <v/>
      </c>
      <c r="Q69" s="542" t="str">
        <f aca="false">IF(E69="","",((E69/25.4)))</f>
        <v/>
      </c>
      <c r="R69" s="542" t="str">
        <f aca="false">IF(F69="","",(F69*0.00003937008*1000000))</f>
        <v/>
      </c>
      <c r="S69" s="543" t="str">
        <f aca="false">IF(G69="","",((G69*0.00003937*1000000)))</f>
        <v/>
      </c>
      <c r="T69" s="543" t="str">
        <f aca="false">IF(H69="","",((H69*0.00003937*1000000)))</f>
        <v/>
      </c>
    </row>
    <row r="70" customFormat="false" ht="15.75" hidden="false" customHeight="false" outlineLevel="0" collapsed="false">
      <c r="A70" s="541" t="str">
        <f aca="false">IF(CALIBRACION!H76="","",+CALIBRACION!A76)</f>
        <v/>
      </c>
      <c r="B70" s="542" t="e">
        <f aca="false">CALIBRACION!I76</f>
        <v>#VALUE!</v>
      </c>
      <c r="C70" s="542" t="str">
        <f aca="false">IF(CALIBRACION!H76="","",CALIBRACION!H76)</f>
        <v/>
      </c>
      <c r="D70" s="542" t="str">
        <f aca="false">IF(CALIBRACION!H76="","",CALIBRACION!Q76*1000)</f>
        <v/>
      </c>
      <c r="E70" s="542" t="str">
        <f aca="false">IF(CALIBRACION!H76="","",CALIBRACION!T76)</f>
        <v/>
      </c>
      <c r="F70" s="542" t="str">
        <f aca="false">IF(INCERTIDUMBRE!B93="","",INCERTIDUMBRE!AS93)</f>
        <v/>
      </c>
      <c r="G70" s="543" t="str">
        <f aca="false">IF(CALIBRACION!H76="","",CALIBRACION!L76)</f>
        <v/>
      </c>
      <c r="H70" s="543" t="str">
        <f aca="false">IF(CALIBRACION!H76="","",CALIBRACION!M76)</f>
        <v/>
      </c>
      <c r="I70" s="544" t="str">
        <f aca="false">IF(CALIBRACION!H76="","",IF(CALIBRACION!K76="","sí","no"))</f>
        <v/>
      </c>
      <c r="J70" s="544" t="str">
        <f aca="false">IF(CALIBRACION!H76="","",IF(CALIBRACION!K76="","sí","no"))</f>
        <v/>
      </c>
      <c r="K70" s="545" t="str">
        <f aca="false">IF(CALIBRACION!L76="","",CALIBRACION!N76)</f>
        <v/>
      </c>
      <c r="M70" s="541" t="str">
        <f aca="false">A70</f>
        <v/>
      </c>
      <c r="N70" s="546" t="e">
        <f aca="false">B70</f>
        <v>#VALUE!</v>
      </c>
      <c r="O70" s="547" t="str">
        <f aca="false">CALIBRACION!J76</f>
        <v/>
      </c>
      <c r="P70" s="542" t="str">
        <f aca="false">IF(D70="","",((D70*0.00003937008*1000000)))</f>
        <v/>
      </c>
      <c r="Q70" s="542" t="str">
        <f aca="false">IF(E70="","",((E70/25.4)))</f>
        <v/>
      </c>
      <c r="R70" s="542" t="str">
        <f aca="false">IF(F70="","",(F70*0.00003937008*1000000))</f>
        <v/>
      </c>
      <c r="S70" s="543" t="str">
        <f aca="false">IF(G70="","",((G70*0.00003937*1000000)))</f>
        <v/>
      </c>
      <c r="T70" s="543" t="str">
        <f aca="false">IF(H70="","",((H70*0.00003937*1000000)))</f>
        <v/>
      </c>
    </row>
    <row r="71" customFormat="false" ht="15.75" hidden="false" customHeight="false" outlineLevel="0" collapsed="false">
      <c r="A71" s="541" t="str">
        <f aca="false">IF(CALIBRACION!H77="","",+CALIBRACION!A77)</f>
        <v/>
      </c>
      <c r="B71" s="542" t="e">
        <f aca="false">CALIBRACION!I77</f>
        <v>#VALUE!</v>
      </c>
      <c r="C71" s="542" t="str">
        <f aca="false">IF(CALIBRACION!H77="","",CALIBRACION!H77)</f>
        <v/>
      </c>
      <c r="D71" s="542" t="str">
        <f aca="false">IF(CALIBRACION!H77="","",CALIBRACION!Q77*1000)</f>
        <v/>
      </c>
      <c r="E71" s="542" t="str">
        <f aca="false">IF(CALIBRACION!H77="","",CALIBRACION!T77)</f>
        <v/>
      </c>
      <c r="F71" s="542" t="str">
        <f aca="false">IF(INCERTIDUMBRE!B94="","",INCERTIDUMBRE!AS94)</f>
        <v/>
      </c>
      <c r="G71" s="543" t="str">
        <f aca="false">IF(CALIBRACION!H77="","",CALIBRACION!L77)</f>
        <v/>
      </c>
      <c r="H71" s="543" t="str">
        <f aca="false">IF(CALIBRACION!H77="","",CALIBRACION!M77)</f>
        <v/>
      </c>
      <c r="I71" s="544" t="str">
        <f aca="false">IF(CALIBRACION!H77="","",IF(CALIBRACION!K77="","sí","no"))</f>
        <v/>
      </c>
      <c r="J71" s="544" t="str">
        <f aca="false">IF(CALIBRACION!H77="","",IF(CALIBRACION!K77="","sí","no"))</f>
        <v/>
      </c>
      <c r="K71" s="545" t="str">
        <f aca="false">IF(CALIBRACION!L77="","",CALIBRACION!N77)</f>
        <v/>
      </c>
      <c r="M71" s="541" t="str">
        <f aca="false">A71</f>
        <v/>
      </c>
      <c r="N71" s="546" t="e">
        <f aca="false">B71</f>
        <v>#VALUE!</v>
      </c>
      <c r="O71" s="547" t="str">
        <f aca="false">CALIBRACION!J77</f>
        <v/>
      </c>
      <c r="P71" s="542" t="str">
        <f aca="false">IF(D71="","",((D71*0.00003937008*1000000)))</f>
        <v/>
      </c>
      <c r="Q71" s="542" t="str">
        <f aca="false">IF(E71="","",((E71/25.4)))</f>
        <v/>
      </c>
      <c r="R71" s="542" t="str">
        <f aca="false">IF(F71="","",(F71*0.00003937008*1000000))</f>
        <v/>
      </c>
      <c r="S71" s="543" t="str">
        <f aca="false">IF(G71="","",((G71*0.00003937*1000000)))</f>
        <v/>
      </c>
      <c r="T71" s="543" t="str">
        <f aca="false">IF(H71="","",((H71*0.00003937*1000000)))</f>
        <v/>
      </c>
    </row>
    <row r="72" customFormat="false" ht="15.75" hidden="false" customHeight="false" outlineLevel="0" collapsed="false">
      <c r="A72" s="541" t="str">
        <f aca="false">IF(CALIBRACION!H78="","",+CALIBRACION!A78)</f>
        <v/>
      </c>
      <c r="B72" s="542" t="e">
        <f aca="false">CALIBRACION!I78</f>
        <v>#VALUE!</v>
      </c>
      <c r="C72" s="542" t="str">
        <f aca="false">IF(CALIBRACION!H78="","",CALIBRACION!H78)</f>
        <v/>
      </c>
      <c r="D72" s="542" t="str">
        <f aca="false">IF(CALIBRACION!H78="","",CALIBRACION!Q78*1000)</f>
        <v/>
      </c>
      <c r="E72" s="542" t="str">
        <f aca="false">IF(CALIBRACION!H78="","",CALIBRACION!T78)</f>
        <v/>
      </c>
      <c r="F72" s="542" t="str">
        <f aca="false">IF(INCERTIDUMBRE!B95="","",INCERTIDUMBRE!AS95)</f>
        <v/>
      </c>
      <c r="G72" s="543" t="str">
        <f aca="false">IF(CALIBRACION!H78="","",CALIBRACION!L78)</f>
        <v/>
      </c>
      <c r="H72" s="543" t="str">
        <f aca="false">IF(CALIBRACION!H78="","",CALIBRACION!M78)</f>
        <v/>
      </c>
      <c r="I72" s="544" t="str">
        <f aca="false">IF(CALIBRACION!H78="","",IF(CALIBRACION!K78="","sí","no"))</f>
        <v/>
      </c>
      <c r="J72" s="544" t="str">
        <f aca="false">IF(CALIBRACION!H78="","",IF(CALIBRACION!K78="","sí","no"))</f>
        <v/>
      </c>
      <c r="K72" s="545" t="str">
        <f aca="false">IF(CALIBRACION!L78="","",CALIBRACION!N78)</f>
        <v/>
      </c>
      <c r="M72" s="541" t="str">
        <f aca="false">A72</f>
        <v/>
      </c>
      <c r="N72" s="546" t="e">
        <f aca="false">B72</f>
        <v>#VALUE!</v>
      </c>
      <c r="O72" s="547" t="str">
        <f aca="false">CALIBRACION!J78</f>
        <v/>
      </c>
      <c r="P72" s="542" t="str">
        <f aca="false">IF(D72="","",((D72*0.00003937008*1000000)))</f>
        <v/>
      </c>
      <c r="Q72" s="542" t="str">
        <f aca="false">IF(E72="","",((E72/25.4)))</f>
        <v/>
      </c>
      <c r="R72" s="542" t="str">
        <f aca="false">IF(F72="","",(F72*0.00003937008*1000000))</f>
        <v/>
      </c>
      <c r="S72" s="543" t="str">
        <f aca="false">IF(G72="","",((G72*0.00003937*1000000)))</f>
        <v/>
      </c>
      <c r="T72" s="543" t="str">
        <f aca="false">IF(H72="","",((H72*0.00003937*1000000)))</f>
        <v/>
      </c>
    </row>
    <row r="73" customFormat="false" ht="15.75" hidden="false" customHeight="false" outlineLevel="0" collapsed="false">
      <c r="A73" s="541" t="str">
        <f aca="false">IF(CALIBRACION!H79="","",+CALIBRACION!A79)</f>
        <v/>
      </c>
      <c r="B73" s="542" t="e">
        <f aca="false">CALIBRACION!I79</f>
        <v>#VALUE!</v>
      </c>
      <c r="C73" s="542" t="str">
        <f aca="false">IF(CALIBRACION!H79="","",CALIBRACION!H79)</f>
        <v/>
      </c>
      <c r="D73" s="542" t="str">
        <f aca="false">IF(CALIBRACION!H79="","",CALIBRACION!Q79*1000)</f>
        <v/>
      </c>
      <c r="E73" s="542" t="str">
        <f aca="false">IF(CALIBRACION!H79="","",CALIBRACION!T79)</f>
        <v/>
      </c>
      <c r="F73" s="542" t="str">
        <f aca="false">IF(INCERTIDUMBRE!B96="","",INCERTIDUMBRE!AS96)</f>
        <v/>
      </c>
      <c r="G73" s="543" t="str">
        <f aca="false">IF(CALIBRACION!H79="","",CALIBRACION!L79)</f>
        <v/>
      </c>
      <c r="H73" s="543" t="str">
        <f aca="false">IF(CALIBRACION!H79="","",CALIBRACION!M79)</f>
        <v/>
      </c>
      <c r="I73" s="544" t="str">
        <f aca="false">IF(CALIBRACION!H79="","",IF(CALIBRACION!K79="","sí","no"))</f>
        <v/>
      </c>
      <c r="J73" s="544" t="str">
        <f aca="false">IF(CALIBRACION!H79="","",IF(CALIBRACION!K79="","sí","no"))</f>
        <v/>
      </c>
      <c r="K73" s="545" t="str">
        <f aca="false">IF(CALIBRACION!L79="","",CALIBRACION!N79)</f>
        <v/>
      </c>
      <c r="M73" s="541" t="str">
        <f aca="false">A73</f>
        <v/>
      </c>
      <c r="N73" s="546" t="e">
        <f aca="false">B73</f>
        <v>#VALUE!</v>
      </c>
      <c r="O73" s="547" t="str">
        <f aca="false">CALIBRACION!J79</f>
        <v/>
      </c>
      <c r="P73" s="542" t="str">
        <f aca="false">IF(D73="","",((D73*0.00003937008*1000000)))</f>
        <v/>
      </c>
      <c r="Q73" s="542" t="str">
        <f aca="false">IF(E73="","",((E73/25.4)))</f>
        <v/>
      </c>
      <c r="R73" s="542" t="str">
        <f aca="false">IF(F73="","",(F73*0.00003937008*1000000))</f>
        <v/>
      </c>
      <c r="S73" s="543" t="str">
        <f aca="false">IF(G73="","",((G73*0.00003937*1000000)))</f>
        <v/>
      </c>
      <c r="T73" s="543" t="str">
        <f aca="false">IF(H73="","",((H73*0.00003937*1000000)))</f>
        <v/>
      </c>
    </row>
    <row r="74" customFormat="false" ht="15.75" hidden="false" customHeight="false" outlineLevel="0" collapsed="false">
      <c r="A74" s="541" t="str">
        <f aca="false">IF(CALIBRACION!H80="","",+CALIBRACION!A80)</f>
        <v/>
      </c>
      <c r="B74" s="542" t="e">
        <f aca="false">CALIBRACION!I80</f>
        <v>#VALUE!</v>
      </c>
      <c r="C74" s="542" t="str">
        <f aca="false">IF(CALIBRACION!H80="","",CALIBRACION!H80)</f>
        <v/>
      </c>
      <c r="D74" s="542" t="str">
        <f aca="false">IF(CALIBRACION!H80="","",CALIBRACION!Q80*1000)</f>
        <v/>
      </c>
      <c r="E74" s="542" t="str">
        <f aca="false">IF(CALIBRACION!H80="","",CALIBRACION!T80)</f>
        <v/>
      </c>
      <c r="F74" s="542" t="str">
        <f aca="false">IF(INCERTIDUMBRE!B97="","",INCERTIDUMBRE!AS97)</f>
        <v/>
      </c>
      <c r="G74" s="543" t="str">
        <f aca="false">IF(CALIBRACION!H80="","",CALIBRACION!L80)</f>
        <v/>
      </c>
      <c r="H74" s="543" t="str">
        <f aca="false">IF(CALIBRACION!H80="","",CALIBRACION!M80)</f>
        <v/>
      </c>
      <c r="I74" s="544" t="str">
        <f aca="false">IF(CALIBRACION!H80="","",IF(CALIBRACION!K80="","sí","no"))</f>
        <v/>
      </c>
      <c r="J74" s="544" t="str">
        <f aca="false">IF(CALIBRACION!H80="","",IF(CALIBRACION!K80="","sí","no"))</f>
        <v/>
      </c>
      <c r="K74" s="545" t="str">
        <f aca="false">IF(CALIBRACION!L80="","",CALIBRACION!N80)</f>
        <v/>
      </c>
      <c r="M74" s="541" t="str">
        <f aca="false">A74</f>
        <v/>
      </c>
      <c r="N74" s="546" t="e">
        <f aca="false">B74</f>
        <v>#VALUE!</v>
      </c>
      <c r="O74" s="547" t="str">
        <f aca="false">CALIBRACION!J80</f>
        <v/>
      </c>
      <c r="P74" s="542" t="str">
        <f aca="false">IF(D74="","",((D74*0.00003937008*1000000)))</f>
        <v/>
      </c>
      <c r="Q74" s="542" t="str">
        <f aca="false">IF(E74="","",((E74/25.4)))</f>
        <v/>
      </c>
      <c r="R74" s="542" t="str">
        <f aca="false">IF(F74="","",(F74*0.00003937008*1000000))</f>
        <v/>
      </c>
      <c r="S74" s="543" t="str">
        <f aca="false">IF(G74="","",((G74*0.00003937*1000000)))</f>
        <v/>
      </c>
      <c r="T74" s="543" t="str">
        <f aca="false">IF(H74="","",((H74*0.00003937*1000000)))</f>
        <v/>
      </c>
    </row>
    <row r="75" customFormat="false" ht="15.75" hidden="false" customHeight="false" outlineLevel="0" collapsed="false">
      <c r="A75" s="541" t="str">
        <f aca="false">IF(CALIBRACION!H81="","",+CALIBRACION!A81)</f>
        <v/>
      </c>
      <c r="B75" s="542" t="e">
        <f aca="false">CALIBRACION!I81</f>
        <v>#VALUE!</v>
      </c>
      <c r="C75" s="542" t="str">
        <f aca="false">IF(CALIBRACION!H81="","",CALIBRACION!H81)</f>
        <v/>
      </c>
      <c r="D75" s="542" t="str">
        <f aca="false">IF(CALIBRACION!H81="","",CALIBRACION!Q81*1000)</f>
        <v/>
      </c>
      <c r="E75" s="542" t="str">
        <f aca="false">IF(CALIBRACION!H81="","",CALIBRACION!T81)</f>
        <v/>
      </c>
      <c r="F75" s="542" t="str">
        <f aca="false">IF(INCERTIDUMBRE!B98="","",INCERTIDUMBRE!AS98)</f>
        <v/>
      </c>
      <c r="G75" s="543" t="str">
        <f aca="false">IF(CALIBRACION!H81="","",CALIBRACION!L81)</f>
        <v/>
      </c>
      <c r="H75" s="543" t="str">
        <f aca="false">IF(CALIBRACION!H81="","",CALIBRACION!M81)</f>
        <v/>
      </c>
      <c r="I75" s="544" t="str">
        <f aca="false">IF(CALIBRACION!H81="","",IF(CALIBRACION!K81="","sí","no"))</f>
        <v/>
      </c>
      <c r="J75" s="544" t="str">
        <f aca="false">IF(CALIBRACION!H81="","",IF(CALIBRACION!K81="","sí","no"))</f>
        <v/>
      </c>
      <c r="K75" s="545" t="str">
        <f aca="false">IF(CALIBRACION!L81="","",CALIBRACION!N81)</f>
        <v/>
      </c>
      <c r="M75" s="541" t="str">
        <f aca="false">A75</f>
        <v/>
      </c>
      <c r="N75" s="546" t="e">
        <f aca="false">B75</f>
        <v>#VALUE!</v>
      </c>
      <c r="O75" s="547" t="str">
        <f aca="false">CALIBRACION!J81</f>
        <v/>
      </c>
      <c r="P75" s="542" t="str">
        <f aca="false">IF(D75="","",((D75*0.00003937008*1000000)))</f>
        <v/>
      </c>
      <c r="Q75" s="542" t="str">
        <f aca="false">IF(E75="","",((E75/25.4)))</f>
        <v/>
      </c>
      <c r="R75" s="542" t="str">
        <f aca="false">IF(F75="","",(F75*0.00003937008*1000000))</f>
        <v/>
      </c>
      <c r="S75" s="543" t="str">
        <f aca="false">IF(G75="","",((G75*0.00003937*1000000)))</f>
        <v/>
      </c>
      <c r="T75" s="543" t="str">
        <f aca="false">IF(H75="","",((H75*0.00003937*1000000)))</f>
        <v/>
      </c>
    </row>
    <row r="76" customFormat="false" ht="15.75" hidden="false" customHeight="false" outlineLevel="0" collapsed="false">
      <c r="A76" s="541" t="str">
        <f aca="false">IF(CALIBRACION!H82="","",+CALIBRACION!A82)</f>
        <v/>
      </c>
      <c r="B76" s="542" t="e">
        <f aca="false">CALIBRACION!I82</f>
        <v>#VALUE!</v>
      </c>
      <c r="C76" s="542" t="str">
        <f aca="false">IF(CALIBRACION!H82="","",CALIBRACION!H82)</f>
        <v/>
      </c>
      <c r="D76" s="542" t="str">
        <f aca="false">IF(CALIBRACION!H82="","",CALIBRACION!Q82*1000)</f>
        <v/>
      </c>
      <c r="E76" s="542" t="str">
        <f aca="false">IF(CALIBRACION!H82="","",CALIBRACION!T82)</f>
        <v/>
      </c>
      <c r="F76" s="542" t="str">
        <f aca="false">IF(INCERTIDUMBRE!B99="","",INCERTIDUMBRE!AS99)</f>
        <v/>
      </c>
      <c r="G76" s="543" t="str">
        <f aca="false">IF(CALIBRACION!H82="","",CALIBRACION!L82)</f>
        <v/>
      </c>
      <c r="H76" s="543" t="str">
        <f aca="false">IF(CALIBRACION!H82="","",CALIBRACION!M82)</f>
        <v/>
      </c>
      <c r="I76" s="544" t="str">
        <f aca="false">IF(CALIBRACION!H82="","",IF(CALIBRACION!K82="","sí","no"))</f>
        <v/>
      </c>
      <c r="J76" s="544" t="str">
        <f aca="false">IF(CALIBRACION!H82="","",IF(CALIBRACION!K82="","sí","no"))</f>
        <v/>
      </c>
      <c r="K76" s="545" t="str">
        <f aca="false">IF(CALIBRACION!L82="","",CALIBRACION!N82)</f>
        <v/>
      </c>
      <c r="M76" s="541" t="str">
        <f aca="false">A76</f>
        <v/>
      </c>
      <c r="N76" s="546" t="e">
        <f aca="false">B76</f>
        <v>#VALUE!</v>
      </c>
      <c r="O76" s="547" t="str">
        <f aca="false">CALIBRACION!J82</f>
        <v/>
      </c>
      <c r="P76" s="542" t="str">
        <f aca="false">IF(D76="","",((D76*0.00003937008*1000000)))</f>
        <v/>
      </c>
      <c r="Q76" s="542" t="str">
        <f aca="false">IF(E76="","",((E76/25.4)))</f>
        <v/>
      </c>
      <c r="R76" s="542" t="str">
        <f aca="false">IF(F76="","",(F76*0.00003937008*1000000))</f>
        <v/>
      </c>
      <c r="S76" s="543" t="str">
        <f aca="false">IF(G76="","",((G76*0.00003937*1000000)))</f>
        <v/>
      </c>
      <c r="T76" s="543" t="str">
        <f aca="false">IF(H76="","",((H76*0.00003937*1000000)))</f>
        <v/>
      </c>
    </row>
    <row r="77" customFormat="false" ht="15.75" hidden="false" customHeight="false" outlineLevel="0" collapsed="false">
      <c r="A77" s="541" t="str">
        <f aca="false">IF(CALIBRACION!H83="","",+CALIBRACION!A83)</f>
        <v/>
      </c>
      <c r="B77" s="542" t="e">
        <f aca="false">CALIBRACION!I83</f>
        <v>#VALUE!</v>
      </c>
      <c r="C77" s="542" t="str">
        <f aca="false">IF(CALIBRACION!H83="","",CALIBRACION!H83)</f>
        <v/>
      </c>
      <c r="D77" s="542" t="str">
        <f aca="false">IF(CALIBRACION!H83="","",CALIBRACION!Q83*1000)</f>
        <v/>
      </c>
      <c r="E77" s="542" t="str">
        <f aca="false">IF(CALIBRACION!H83="","",CALIBRACION!T83)</f>
        <v/>
      </c>
      <c r="F77" s="542" t="str">
        <f aca="false">IF(INCERTIDUMBRE!B100="","",INCERTIDUMBRE!AS100)</f>
        <v/>
      </c>
      <c r="G77" s="543" t="str">
        <f aca="false">IF(CALIBRACION!H83="","",CALIBRACION!L83)</f>
        <v/>
      </c>
      <c r="H77" s="543" t="str">
        <f aca="false">IF(CALIBRACION!H83="","",CALIBRACION!M83)</f>
        <v/>
      </c>
      <c r="I77" s="544" t="str">
        <f aca="false">IF(CALIBRACION!H83="","",IF(CALIBRACION!K83="","sí","no"))</f>
        <v/>
      </c>
      <c r="J77" s="544" t="str">
        <f aca="false">IF(CALIBRACION!H83="","",IF(CALIBRACION!K83="","sí","no"))</f>
        <v/>
      </c>
      <c r="K77" s="545" t="str">
        <f aca="false">IF(CALIBRACION!L83="","",CALIBRACION!N83)</f>
        <v/>
      </c>
      <c r="M77" s="541" t="str">
        <f aca="false">A77</f>
        <v/>
      </c>
      <c r="N77" s="546" t="e">
        <f aca="false">B77</f>
        <v>#VALUE!</v>
      </c>
      <c r="O77" s="547" t="str">
        <f aca="false">CALIBRACION!J83</f>
        <v/>
      </c>
      <c r="P77" s="542" t="str">
        <f aca="false">IF(D77="","",((D77*0.00003937008*1000000)))</f>
        <v/>
      </c>
      <c r="Q77" s="542" t="str">
        <f aca="false">IF(E77="","",((E77/25.4)))</f>
        <v/>
      </c>
      <c r="R77" s="542" t="str">
        <f aca="false">IF(F77="","",(F77*0.00003937008*1000000))</f>
        <v/>
      </c>
      <c r="S77" s="543" t="str">
        <f aca="false">IF(G77="","",((G77*0.00003937*1000000)))</f>
        <v/>
      </c>
      <c r="T77" s="543" t="str">
        <f aca="false">IF(H77="","",((H77*0.00003937*1000000)))</f>
        <v/>
      </c>
    </row>
    <row r="78" customFormat="false" ht="15.75" hidden="false" customHeight="false" outlineLevel="0" collapsed="false">
      <c r="A78" s="541" t="str">
        <f aca="false">IF(CALIBRACION!H84="","",+CALIBRACION!A84)</f>
        <v/>
      </c>
      <c r="B78" s="542" t="e">
        <f aca="false">CALIBRACION!I84</f>
        <v>#VALUE!</v>
      </c>
      <c r="C78" s="542" t="str">
        <f aca="false">IF(CALIBRACION!H84="","",CALIBRACION!H84)</f>
        <v/>
      </c>
      <c r="D78" s="542" t="str">
        <f aca="false">IF(CALIBRACION!H84="","",CALIBRACION!Q84*1000)</f>
        <v/>
      </c>
      <c r="E78" s="542" t="str">
        <f aca="false">IF(CALIBRACION!H84="","",CALIBRACION!T84)</f>
        <v/>
      </c>
      <c r="F78" s="542" t="str">
        <f aca="false">IF(INCERTIDUMBRE!B101="","",INCERTIDUMBRE!AS101)</f>
        <v/>
      </c>
      <c r="G78" s="543" t="str">
        <f aca="false">IF(CALIBRACION!H84="","",CALIBRACION!L84)</f>
        <v/>
      </c>
      <c r="H78" s="543" t="str">
        <f aca="false">IF(CALIBRACION!H84="","",CALIBRACION!M84)</f>
        <v/>
      </c>
      <c r="I78" s="544" t="str">
        <f aca="false">IF(CALIBRACION!H84="","",IF(CALIBRACION!K84="","sí","no"))</f>
        <v/>
      </c>
      <c r="J78" s="544" t="str">
        <f aca="false">IF(CALIBRACION!H84="","",IF(CALIBRACION!K84="","sí","no"))</f>
        <v/>
      </c>
      <c r="K78" s="545" t="str">
        <f aca="false">IF(CALIBRACION!L84="","",CALIBRACION!N84)</f>
        <v/>
      </c>
      <c r="M78" s="541" t="str">
        <f aca="false">A78</f>
        <v/>
      </c>
      <c r="N78" s="546" t="e">
        <f aca="false">B78</f>
        <v>#VALUE!</v>
      </c>
      <c r="O78" s="547" t="str">
        <f aca="false">CALIBRACION!J84</f>
        <v/>
      </c>
      <c r="P78" s="542" t="str">
        <f aca="false">IF(D78="","",((D78*0.00003937008*1000000)))</f>
        <v/>
      </c>
      <c r="Q78" s="542" t="str">
        <f aca="false">IF(E78="","",((E78/25.4)))</f>
        <v/>
      </c>
      <c r="R78" s="542" t="str">
        <f aca="false">IF(F78="","",(F78*0.00003937008*1000000))</f>
        <v/>
      </c>
      <c r="S78" s="543" t="str">
        <f aca="false">IF(G78="","",((G78*0.00003937*1000000)))</f>
        <v/>
      </c>
      <c r="T78" s="543" t="str">
        <f aca="false">IF(H78="","",((H78*0.00003937*1000000)))</f>
        <v/>
      </c>
    </row>
    <row r="79" customFormat="false" ht="15.75" hidden="false" customHeight="false" outlineLevel="0" collapsed="false">
      <c r="A79" s="541" t="str">
        <f aca="false">IF(CALIBRACION!H85="","",+CALIBRACION!A85)</f>
        <v/>
      </c>
      <c r="B79" s="542" t="e">
        <f aca="false">CALIBRACION!I85</f>
        <v>#VALUE!</v>
      </c>
      <c r="C79" s="542" t="str">
        <f aca="false">IF(CALIBRACION!H85="","",CALIBRACION!H85)</f>
        <v/>
      </c>
      <c r="D79" s="542" t="str">
        <f aca="false">IF(CALIBRACION!H85="","",CALIBRACION!Q85*1000)</f>
        <v/>
      </c>
      <c r="E79" s="542" t="str">
        <f aca="false">IF(CALIBRACION!H85="","",CALIBRACION!T85)</f>
        <v/>
      </c>
      <c r="F79" s="542" t="str">
        <f aca="false">IF(INCERTIDUMBRE!B102="","",INCERTIDUMBRE!AS102)</f>
        <v/>
      </c>
      <c r="G79" s="543" t="str">
        <f aca="false">IF(CALIBRACION!H85="","",CALIBRACION!L85)</f>
        <v/>
      </c>
      <c r="H79" s="543" t="str">
        <f aca="false">IF(CALIBRACION!H85="","",CALIBRACION!M85)</f>
        <v/>
      </c>
      <c r="I79" s="544" t="str">
        <f aca="false">IF(CALIBRACION!H85="","",IF(CALIBRACION!K85="","sí","no"))</f>
        <v/>
      </c>
      <c r="J79" s="544" t="str">
        <f aca="false">IF(CALIBRACION!H85="","",IF(CALIBRACION!K85="","sí","no"))</f>
        <v/>
      </c>
      <c r="K79" s="545" t="str">
        <f aca="false">IF(CALIBRACION!L85="","",CALIBRACION!N85)</f>
        <v/>
      </c>
      <c r="M79" s="541" t="str">
        <f aca="false">A79</f>
        <v/>
      </c>
      <c r="N79" s="546" t="e">
        <f aca="false">B79</f>
        <v>#VALUE!</v>
      </c>
      <c r="O79" s="547" t="str">
        <f aca="false">CALIBRACION!J85</f>
        <v/>
      </c>
      <c r="P79" s="542" t="str">
        <f aca="false">IF(D79="","",((D79*0.00003937008*1000000)))</f>
        <v/>
      </c>
      <c r="Q79" s="542" t="str">
        <f aca="false">IF(E79="","",((E79/25.4)))</f>
        <v/>
      </c>
      <c r="R79" s="542" t="str">
        <f aca="false">IF(F79="","",(F79*0.00003937008*1000000))</f>
        <v/>
      </c>
      <c r="S79" s="543" t="str">
        <f aca="false">IF(G79="","",((G79*0.00003937*1000000)))</f>
        <v/>
      </c>
      <c r="T79" s="543" t="str">
        <f aca="false">IF(H79="","",((H79*0.00003937*1000000)))</f>
        <v/>
      </c>
    </row>
    <row r="80" customFormat="false" ht="15.75" hidden="false" customHeight="false" outlineLevel="0" collapsed="false">
      <c r="A80" s="541" t="str">
        <f aca="false">IF(CALIBRACION!H86="","",+CALIBRACION!A86)</f>
        <v/>
      </c>
      <c r="B80" s="542" t="e">
        <f aca="false">CALIBRACION!I86</f>
        <v>#VALUE!</v>
      </c>
      <c r="C80" s="542" t="str">
        <f aca="false">IF(CALIBRACION!H86="","",CALIBRACION!H86)</f>
        <v/>
      </c>
      <c r="D80" s="542" t="str">
        <f aca="false">IF(CALIBRACION!H86="","",CALIBRACION!Q86*1000)</f>
        <v/>
      </c>
      <c r="E80" s="542" t="str">
        <f aca="false">IF(CALIBRACION!H86="","",CALIBRACION!T86)</f>
        <v/>
      </c>
      <c r="F80" s="542" t="str">
        <f aca="false">IF(INCERTIDUMBRE!B103="","",INCERTIDUMBRE!AS103)</f>
        <v/>
      </c>
      <c r="G80" s="543" t="str">
        <f aca="false">IF(CALIBRACION!H86="","",CALIBRACION!L86)</f>
        <v/>
      </c>
      <c r="H80" s="543" t="str">
        <f aca="false">IF(CALIBRACION!H86="","",CALIBRACION!M86)</f>
        <v/>
      </c>
      <c r="I80" s="544" t="str">
        <f aca="false">IF(CALIBRACION!H86="","",IF(CALIBRACION!K86="","sí","no"))</f>
        <v/>
      </c>
      <c r="J80" s="544" t="str">
        <f aca="false">IF(CALIBRACION!H86="","",IF(CALIBRACION!K86="","sí","no"))</f>
        <v/>
      </c>
      <c r="K80" s="545" t="str">
        <f aca="false">IF(CALIBRACION!L86="","",CALIBRACION!N86)</f>
        <v/>
      </c>
      <c r="M80" s="541" t="str">
        <f aca="false">A80</f>
        <v/>
      </c>
      <c r="N80" s="546" t="e">
        <f aca="false">B80</f>
        <v>#VALUE!</v>
      </c>
      <c r="O80" s="547" t="str">
        <f aca="false">CALIBRACION!J86</f>
        <v/>
      </c>
      <c r="P80" s="542" t="str">
        <f aca="false">IF(D80="","",((D80*0.00003937008*1000000)))</f>
        <v/>
      </c>
      <c r="Q80" s="542" t="str">
        <f aca="false">IF(E80="","",((E80/25.4)))</f>
        <v/>
      </c>
      <c r="R80" s="542" t="str">
        <f aca="false">IF(F80="","",(F80*0.00003937008*1000000))</f>
        <v/>
      </c>
      <c r="S80" s="543" t="str">
        <f aca="false">IF(G80="","",((G80*0.00003937*1000000)))</f>
        <v/>
      </c>
      <c r="T80" s="543" t="str">
        <f aca="false">IF(H80="","",((H80*0.00003937*1000000)))</f>
        <v/>
      </c>
    </row>
    <row r="81" customFormat="false" ht="15.75" hidden="false" customHeight="false" outlineLevel="0" collapsed="false">
      <c r="A81" s="541" t="str">
        <f aca="false">IF(CALIBRACION!H87="","",+CALIBRACION!A87)</f>
        <v/>
      </c>
      <c r="B81" s="542" t="e">
        <f aca="false">CALIBRACION!I87</f>
        <v>#VALUE!</v>
      </c>
      <c r="C81" s="542" t="str">
        <f aca="false">IF(CALIBRACION!H87="","",CALIBRACION!H87)</f>
        <v/>
      </c>
      <c r="D81" s="542" t="str">
        <f aca="false">IF(CALIBRACION!H87="","",CALIBRACION!Q87*1000)</f>
        <v/>
      </c>
      <c r="E81" s="542" t="str">
        <f aca="false">IF(CALIBRACION!H87="","",CALIBRACION!T87)</f>
        <v/>
      </c>
      <c r="F81" s="542" t="str">
        <f aca="false">IF(INCERTIDUMBRE!B104="","",INCERTIDUMBRE!AS104)</f>
        <v/>
      </c>
      <c r="G81" s="543" t="str">
        <f aca="false">IF(CALIBRACION!H87="","",CALIBRACION!L87)</f>
        <v/>
      </c>
      <c r="H81" s="543" t="str">
        <f aca="false">IF(CALIBRACION!H87="","",CALIBRACION!M87)</f>
        <v/>
      </c>
      <c r="I81" s="544" t="str">
        <f aca="false">IF(CALIBRACION!H87="","",IF(CALIBRACION!K87="","sí","no"))</f>
        <v/>
      </c>
      <c r="J81" s="544" t="str">
        <f aca="false">IF(CALIBRACION!H87="","",IF(CALIBRACION!K87="","sí","no"))</f>
        <v/>
      </c>
      <c r="K81" s="545" t="str">
        <f aca="false">IF(CALIBRACION!L87="","",CALIBRACION!N87)</f>
        <v/>
      </c>
      <c r="M81" s="541" t="str">
        <f aca="false">A81</f>
        <v/>
      </c>
      <c r="N81" s="546" t="e">
        <f aca="false">B81</f>
        <v>#VALUE!</v>
      </c>
      <c r="O81" s="547" t="str">
        <f aca="false">CALIBRACION!J87</f>
        <v/>
      </c>
      <c r="P81" s="542" t="str">
        <f aca="false">IF(D81="","",((D81*0.00003937008*1000000)))</f>
        <v/>
      </c>
      <c r="Q81" s="542" t="str">
        <f aca="false">IF(E81="","",((E81/25.4)))</f>
        <v/>
      </c>
      <c r="R81" s="542" t="str">
        <f aca="false">IF(F81="","",(F81*0.00003937008*1000000))</f>
        <v/>
      </c>
      <c r="S81" s="543" t="str">
        <f aca="false">IF(G81="","",((G81*0.00003937*1000000)))</f>
        <v/>
      </c>
      <c r="T81" s="543" t="str">
        <f aca="false">IF(H81="","",((H81*0.00003937*1000000)))</f>
        <v/>
      </c>
    </row>
    <row r="82" customFormat="false" ht="15.75" hidden="false" customHeight="false" outlineLevel="0" collapsed="false">
      <c r="A82" s="541" t="str">
        <f aca="false">IF(CALIBRACION!H88="","",+CALIBRACION!A88)</f>
        <v/>
      </c>
      <c r="B82" s="542" t="e">
        <f aca="false">CALIBRACION!I88</f>
        <v>#VALUE!</v>
      </c>
      <c r="C82" s="542" t="str">
        <f aca="false">IF(CALIBRACION!H88="","",CALIBRACION!H88)</f>
        <v/>
      </c>
      <c r="D82" s="542" t="str">
        <f aca="false">IF(CALIBRACION!H88="","",CALIBRACION!Q88*1000)</f>
        <v/>
      </c>
      <c r="E82" s="542" t="str">
        <f aca="false">IF(CALIBRACION!H88="","",CALIBRACION!T88)</f>
        <v/>
      </c>
      <c r="F82" s="542" t="str">
        <f aca="false">IF(INCERTIDUMBRE!B105="","",INCERTIDUMBRE!AS105)</f>
        <v/>
      </c>
      <c r="G82" s="543" t="str">
        <f aca="false">IF(CALIBRACION!H88="","",CALIBRACION!L88)</f>
        <v/>
      </c>
      <c r="H82" s="543" t="str">
        <f aca="false">IF(CALIBRACION!H88="","",CALIBRACION!M88)</f>
        <v/>
      </c>
      <c r="I82" s="544" t="str">
        <f aca="false">IF(CALIBRACION!H88="","",IF(CALIBRACION!K88="","sí","no"))</f>
        <v/>
      </c>
      <c r="J82" s="544" t="str">
        <f aca="false">IF(CALIBRACION!H88="","",IF(CALIBRACION!K88="","sí","no"))</f>
        <v/>
      </c>
      <c r="K82" s="545" t="str">
        <f aca="false">IF(CALIBRACION!L88="","",CALIBRACION!N88)</f>
        <v/>
      </c>
      <c r="M82" s="541" t="str">
        <f aca="false">A82</f>
        <v/>
      </c>
      <c r="N82" s="546" t="e">
        <f aca="false">B82</f>
        <v>#VALUE!</v>
      </c>
      <c r="O82" s="547" t="str">
        <f aca="false">CALIBRACION!J88</f>
        <v/>
      </c>
      <c r="P82" s="542" t="str">
        <f aca="false">IF(D82="","",((D82*0.00003937008*1000000)))</f>
        <v/>
      </c>
      <c r="Q82" s="542" t="str">
        <f aca="false">IF(E82="","",((E82/25.4)))</f>
        <v/>
      </c>
      <c r="R82" s="542" t="str">
        <f aca="false">IF(F82="","",(F82*0.00003937008*1000000))</f>
        <v/>
      </c>
      <c r="S82" s="543" t="str">
        <f aca="false">IF(G82="","",((G82*0.00003937*1000000)))</f>
        <v/>
      </c>
      <c r="T82" s="543" t="str">
        <f aca="false">IF(H82="","",((H82*0.00003937*1000000)))</f>
        <v/>
      </c>
    </row>
    <row r="83" customFormat="false" ht="15.75" hidden="false" customHeight="false" outlineLevel="0" collapsed="false">
      <c r="A83" s="541" t="str">
        <f aca="false">IF(CALIBRACION!H89="","",+CALIBRACION!A89)</f>
        <v/>
      </c>
      <c r="B83" s="542" t="e">
        <f aca="false">CALIBRACION!I89</f>
        <v>#VALUE!</v>
      </c>
      <c r="C83" s="542" t="str">
        <f aca="false">IF(CALIBRACION!H89="","",CALIBRACION!H89)</f>
        <v/>
      </c>
      <c r="D83" s="557" t="str">
        <f aca="false">IF(CALIBRACION!H89="","",CALIBRACION!Q89*1000)</f>
        <v/>
      </c>
      <c r="E83" s="558" t="str">
        <f aca="false">IF(CALIBRACION!H89="","",CALIBRACION!T89)</f>
        <v/>
      </c>
      <c r="F83" s="557" t="str">
        <f aca="false">IF(INCERTIDUMBRE!B106="","",INCERTIDUMBRE!AS106)</f>
        <v/>
      </c>
      <c r="G83" s="559" t="str">
        <f aca="false">IF(CALIBRACION!H89="","",CALIBRACION!L89)</f>
        <v/>
      </c>
      <c r="H83" s="559" t="str">
        <f aca="false">IF(CALIBRACION!H89="","",CALIBRACION!M89)</f>
        <v/>
      </c>
      <c r="I83" s="544" t="str">
        <f aca="false">IF(CALIBRACION!H89="","",IF(CALIBRACION!K89="","sí","no"))</f>
        <v/>
      </c>
      <c r="J83" s="544" t="str">
        <f aca="false">IF(CALIBRACION!H89="","",IF(CALIBRACION!K89="","sí","no"))</f>
        <v/>
      </c>
      <c r="K83" s="545" t="str">
        <f aca="false">IF(CALIBRACION!L89="","",CALIBRACION!N89)</f>
        <v/>
      </c>
      <c r="M83" s="541" t="str">
        <f aca="false">A83</f>
        <v/>
      </c>
      <c r="N83" s="546" t="e">
        <f aca="false">B83</f>
        <v>#VALUE!</v>
      </c>
      <c r="O83" s="547" t="str">
        <f aca="false">CALIBRACION!J89</f>
        <v/>
      </c>
      <c r="P83" s="542" t="str">
        <f aca="false">IF(D83="","",((D83*0.00003937008*1000000)))</f>
        <v/>
      </c>
      <c r="Q83" s="542" t="str">
        <f aca="false">IF(E83="","",((E83/25.4)))</f>
        <v/>
      </c>
      <c r="R83" s="542" t="str">
        <f aca="false">IF(F83="","",(F83*0.00003937008*1000000))</f>
        <v/>
      </c>
      <c r="S83" s="543" t="str">
        <f aca="false">IF(G83="","",((G83*0.00003937*1000000)))</f>
        <v/>
      </c>
      <c r="T83" s="543" t="str">
        <f aca="false">IF(H83="","",((H83*0.00003937*1000000)))</f>
        <v/>
      </c>
    </row>
    <row r="84" customFormat="false" ht="15.75" hidden="false" customHeight="false" outlineLevel="0" collapsed="false">
      <c r="A84" s="541" t="str">
        <f aca="false">IF(CALIBRACION!H90="","",+CALIBRACION!A90)</f>
        <v/>
      </c>
      <c r="B84" s="542" t="e">
        <f aca="false">CALIBRACION!I90</f>
        <v>#VALUE!</v>
      </c>
      <c r="C84" s="542" t="str">
        <f aca="false">IF(CALIBRACION!H90="","",CALIBRACION!H90)</f>
        <v/>
      </c>
      <c r="D84" s="557" t="str">
        <f aca="false">IF(CALIBRACION!H90="","",CALIBRACION!Q90*1000)</f>
        <v/>
      </c>
      <c r="E84" s="558" t="str">
        <f aca="false">IF(CALIBRACION!H90="","",CALIBRACION!T90)</f>
        <v/>
      </c>
      <c r="F84" s="557" t="str">
        <f aca="false">IF(INCERTIDUMBRE!B107="","",INCERTIDUMBRE!AS107)</f>
        <v/>
      </c>
      <c r="G84" s="559" t="str">
        <f aca="false">IF(CALIBRACION!H90="","",CALIBRACION!L90)</f>
        <v/>
      </c>
      <c r="H84" s="559" t="str">
        <f aca="false">IF(CALIBRACION!H90="","",CALIBRACION!M90)</f>
        <v/>
      </c>
      <c r="I84" s="544" t="str">
        <f aca="false">IF(CALIBRACION!H90="","",IF(CALIBRACION!K90="","sí","no"))</f>
        <v/>
      </c>
      <c r="J84" s="544" t="str">
        <f aca="false">IF(CALIBRACION!H90="","",IF(CALIBRACION!K90="","sí","no"))</f>
        <v/>
      </c>
      <c r="K84" s="545" t="str">
        <f aca="false">IF(CALIBRACION!L90="","",CALIBRACION!N90)</f>
        <v/>
      </c>
      <c r="M84" s="541" t="str">
        <f aca="false">A84</f>
        <v/>
      </c>
      <c r="N84" s="546" t="e">
        <f aca="false">B84</f>
        <v>#VALUE!</v>
      </c>
      <c r="O84" s="547" t="str">
        <f aca="false">CALIBRACION!J90</f>
        <v/>
      </c>
      <c r="P84" s="542" t="str">
        <f aca="false">IF(D84="","",((D84*0.00003937008*1000000)))</f>
        <v/>
      </c>
      <c r="Q84" s="542" t="str">
        <f aca="false">IF(E84="","",((E84/25.4)))</f>
        <v/>
      </c>
      <c r="R84" s="542" t="str">
        <f aca="false">IF(F84="","",(F84*0.00003937008*1000000))</f>
        <v/>
      </c>
      <c r="S84" s="543" t="str">
        <f aca="false">IF(G84="","",((G84*0.00003937*1000000)))</f>
        <v/>
      </c>
      <c r="T84" s="543" t="str">
        <f aca="false">IF(H84="","",((H84*0.00003937*1000000)))</f>
        <v/>
      </c>
    </row>
    <row r="85" customFormat="false" ht="15.75" hidden="false" customHeight="false" outlineLevel="0" collapsed="false">
      <c r="A85" s="541" t="str">
        <f aca="false">IF(CALIBRACION!H91="","",+CALIBRACION!A91)</f>
        <v/>
      </c>
      <c r="B85" s="542" t="e">
        <f aca="false">CALIBRACION!I91</f>
        <v>#VALUE!</v>
      </c>
      <c r="C85" s="542" t="str">
        <f aca="false">IF(CALIBRACION!H91="","",CALIBRACION!H91)</f>
        <v/>
      </c>
      <c r="D85" s="557" t="str">
        <f aca="false">IF(CALIBRACION!H91="","",CALIBRACION!Q91*1000)</f>
        <v/>
      </c>
      <c r="E85" s="558" t="str">
        <f aca="false">IF(CALIBRACION!H91="","",CALIBRACION!T91)</f>
        <v/>
      </c>
      <c r="F85" s="557" t="str">
        <f aca="false">IF(INCERTIDUMBRE!B108="","",INCERTIDUMBRE!AS108)</f>
        <v/>
      </c>
      <c r="G85" s="559" t="str">
        <f aca="false">IF(CALIBRACION!H91="","",CALIBRACION!L91)</f>
        <v/>
      </c>
      <c r="H85" s="559" t="str">
        <f aca="false">IF(CALIBRACION!H91="","",CALIBRACION!M91)</f>
        <v/>
      </c>
      <c r="I85" s="544" t="str">
        <f aca="false">IF(CALIBRACION!H91="","",IF(CALIBRACION!K91="","sí","no"))</f>
        <v/>
      </c>
      <c r="J85" s="544" t="str">
        <f aca="false">IF(CALIBRACION!H91="","",IF(CALIBRACION!K91="","sí","no"))</f>
        <v/>
      </c>
      <c r="K85" s="545" t="str">
        <f aca="false">IF(CALIBRACION!L91="","",CALIBRACION!N91)</f>
        <v/>
      </c>
      <c r="M85" s="541" t="str">
        <f aca="false">A85</f>
        <v/>
      </c>
      <c r="N85" s="546" t="e">
        <f aca="false">B85</f>
        <v>#VALUE!</v>
      </c>
      <c r="O85" s="547" t="str">
        <f aca="false">CALIBRACION!J91</f>
        <v/>
      </c>
      <c r="P85" s="542" t="str">
        <f aca="false">IF(D85="","",((D85*0.00003937008*1000000)))</f>
        <v/>
      </c>
      <c r="Q85" s="542" t="str">
        <f aca="false">IF(E85="","",((E85/25.4)))</f>
        <v/>
      </c>
      <c r="R85" s="542" t="str">
        <f aca="false">IF(F85="","",(F85*0.00003937008*1000000))</f>
        <v/>
      </c>
      <c r="S85" s="543" t="str">
        <f aca="false">IF(G85="","",((G85*0.00003937*1000000)))</f>
        <v/>
      </c>
      <c r="T85" s="543" t="str">
        <f aca="false">IF(H85="","",((H85*0.00003937*1000000)))</f>
        <v/>
      </c>
    </row>
    <row r="86" customFormat="false" ht="15.75" hidden="false" customHeight="false" outlineLevel="0" collapsed="false">
      <c r="A86" s="541" t="str">
        <f aca="false">IF(CALIBRACION!H92="","",+CALIBRACION!A92)</f>
        <v/>
      </c>
      <c r="B86" s="542" t="e">
        <f aca="false">CALIBRACION!I92</f>
        <v>#VALUE!</v>
      </c>
      <c r="C86" s="542" t="str">
        <f aca="false">IF(CALIBRACION!H92="","",CALIBRACION!H92)</f>
        <v/>
      </c>
      <c r="D86" s="557" t="str">
        <f aca="false">IF(CALIBRACION!H92="","",CALIBRACION!Q92*1000)</f>
        <v/>
      </c>
      <c r="E86" s="558" t="str">
        <f aca="false">IF(CALIBRACION!H92="","",CALIBRACION!T92)</f>
        <v/>
      </c>
      <c r="F86" s="557" t="str">
        <f aca="false">IF(INCERTIDUMBRE!B109="","",INCERTIDUMBRE!AS109)</f>
        <v/>
      </c>
      <c r="G86" s="559" t="str">
        <f aca="false">IF(CALIBRACION!H92="","",CALIBRACION!L92)</f>
        <v/>
      </c>
      <c r="H86" s="559" t="str">
        <f aca="false">IF(CALIBRACION!H92="","",CALIBRACION!M92)</f>
        <v/>
      </c>
      <c r="I86" s="544" t="str">
        <f aca="false">IF(CALIBRACION!H92="","",IF(CALIBRACION!K92="","sí","no"))</f>
        <v/>
      </c>
      <c r="J86" s="544" t="str">
        <f aca="false">IF(CALIBRACION!H92="","",IF(CALIBRACION!K92="","sí","no"))</f>
        <v/>
      </c>
      <c r="K86" s="545" t="str">
        <f aca="false">IF(CALIBRACION!L92="","",CALIBRACION!N92)</f>
        <v/>
      </c>
      <c r="M86" s="541" t="str">
        <f aca="false">A86</f>
        <v/>
      </c>
      <c r="N86" s="546" t="e">
        <f aca="false">B86</f>
        <v>#VALUE!</v>
      </c>
      <c r="O86" s="547" t="str">
        <f aca="false">CALIBRACION!J92</f>
        <v/>
      </c>
      <c r="P86" s="542" t="str">
        <f aca="false">IF(D86="","",((D86*0.00003937008*1000000)))</f>
        <v/>
      </c>
      <c r="Q86" s="542" t="str">
        <f aca="false">IF(E86="","",((E86/25.4)))</f>
        <v/>
      </c>
      <c r="R86" s="542" t="str">
        <f aca="false">IF(F86="","",(F86*0.00003937008*1000000))</f>
        <v/>
      </c>
      <c r="S86" s="543" t="str">
        <f aca="false">IF(G86="","",((G86*0.00003937*1000000)))</f>
        <v/>
      </c>
      <c r="T86" s="543" t="str">
        <f aca="false">IF(H86="","",((H86*0.00003937*1000000)))</f>
        <v/>
      </c>
    </row>
    <row r="87" customFormat="false" ht="15.75" hidden="false" customHeight="false" outlineLevel="0" collapsed="false">
      <c r="A87" s="541" t="str">
        <f aca="false">IF(CALIBRACION!H93="","",+CALIBRACION!A93)</f>
        <v/>
      </c>
      <c r="B87" s="542" t="e">
        <f aca="false">CALIBRACION!I93</f>
        <v>#VALUE!</v>
      </c>
      <c r="C87" s="542" t="str">
        <f aca="false">IF(CALIBRACION!H93="","",CALIBRACION!H93)</f>
        <v/>
      </c>
      <c r="D87" s="557" t="str">
        <f aca="false">IF(CALIBRACION!H93="","",CALIBRACION!Q93*1000)</f>
        <v/>
      </c>
      <c r="E87" s="558" t="str">
        <f aca="false">IF(CALIBRACION!H93="","",CALIBRACION!T93)</f>
        <v/>
      </c>
      <c r="F87" s="557" t="str">
        <f aca="false">IF(INCERTIDUMBRE!B110="","",INCERTIDUMBRE!AS110)</f>
        <v/>
      </c>
      <c r="G87" s="559" t="str">
        <f aca="false">IF(CALIBRACION!H93="","",CALIBRACION!L93)</f>
        <v/>
      </c>
      <c r="H87" s="559" t="str">
        <f aca="false">IF(CALIBRACION!H93="","",CALIBRACION!M93)</f>
        <v/>
      </c>
      <c r="I87" s="544" t="str">
        <f aca="false">IF(CALIBRACION!H93="","",IF(CALIBRACION!K93="","sí","no"))</f>
        <v/>
      </c>
      <c r="J87" s="544" t="str">
        <f aca="false">IF(CALIBRACION!H93="","",IF(CALIBRACION!K93="","sí","no"))</f>
        <v/>
      </c>
      <c r="K87" s="545" t="str">
        <f aca="false">IF(CALIBRACION!L93="","",CALIBRACION!N93)</f>
        <v/>
      </c>
      <c r="M87" s="541" t="str">
        <f aca="false">A87</f>
        <v/>
      </c>
      <c r="N87" s="546" t="e">
        <f aca="false">B87</f>
        <v>#VALUE!</v>
      </c>
      <c r="O87" s="547" t="str">
        <f aca="false">CALIBRACION!J93</f>
        <v/>
      </c>
      <c r="P87" s="542" t="str">
        <f aca="false">IF(D87="","",((D87*0.00003937008*1000000)))</f>
        <v/>
      </c>
      <c r="Q87" s="542" t="str">
        <f aca="false">IF(E87="","",((E87/25.4)))</f>
        <v/>
      </c>
      <c r="R87" s="542" t="str">
        <f aca="false">IF(F87="","",(F87*0.00003937008*1000000))</f>
        <v/>
      </c>
      <c r="S87" s="543" t="str">
        <f aca="false">IF(G87="","",((G87*0.00003937*1000000)))</f>
        <v/>
      </c>
      <c r="T87" s="543" t="str">
        <f aca="false">IF(H87="","",((H87*0.00003937*1000000)))</f>
        <v/>
      </c>
    </row>
    <row r="88" customFormat="false" ht="15.75" hidden="false" customHeight="false" outlineLevel="0" collapsed="false">
      <c r="A88" s="541" t="str">
        <f aca="false">IF(CALIBRACION!H94="","",+CALIBRACION!A94)</f>
        <v/>
      </c>
      <c r="B88" s="542" t="e">
        <f aca="false">CALIBRACION!I94</f>
        <v>#VALUE!</v>
      </c>
      <c r="C88" s="542" t="str">
        <f aca="false">IF(CALIBRACION!H94="","",CALIBRACION!H94)</f>
        <v/>
      </c>
      <c r="D88" s="557" t="str">
        <f aca="false">IF(CALIBRACION!H94="","",CALIBRACION!Q94*1000)</f>
        <v/>
      </c>
      <c r="E88" s="560" t="str">
        <f aca="false">IF(CALIBRACION!H94="","",CALIBRACION!T94)</f>
        <v/>
      </c>
      <c r="F88" s="559" t="str">
        <f aca="false">IF(INCERTIDUMBRE!B111="","",INCERTIDUMBRE!AS111)</f>
        <v/>
      </c>
      <c r="G88" s="559" t="str">
        <f aca="false">IF(CALIBRACION!H94="","",CALIBRACION!L94)</f>
        <v/>
      </c>
      <c r="H88" s="559" t="e">
        <f aca="false">IF(CALIBRACION!I94="","",CALIBRACION!M94)</f>
        <v>#VALUE!</v>
      </c>
      <c r="I88" s="544" t="str">
        <f aca="false">IF(CALIBRACION!H94="","",IF(CALIBRACION!K94="","sí","no"))</f>
        <v/>
      </c>
      <c r="J88" s="544" t="str">
        <f aca="false">IF(CALIBRACION!H94="","",IF(CALIBRACION!K94="","sí","no"))</f>
        <v/>
      </c>
      <c r="K88" s="545" t="str">
        <f aca="false">IF(CALIBRACION!L94="","",CALIBRACION!N94)</f>
        <v/>
      </c>
      <c r="M88" s="541" t="str">
        <f aca="false">A88</f>
        <v/>
      </c>
      <c r="N88" s="546" t="e">
        <f aca="false">B88</f>
        <v>#VALUE!</v>
      </c>
      <c r="O88" s="547" t="str">
        <f aca="false">CALIBRACION!J94</f>
        <v/>
      </c>
      <c r="P88" s="542" t="str">
        <f aca="false">IF(D88="","",((D88*0.00003937008*1000000)))</f>
        <v/>
      </c>
      <c r="Q88" s="561" t="str">
        <f aca="false">IF(E88="","",((E88/25.4)))</f>
        <v/>
      </c>
      <c r="R88" s="542" t="str">
        <f aca="false">IF(F88="","",(F88*0.00003937008*1000000))</f>
        <v/>
      </c>
      <c r="S88" s="543" t="str">
        <f aca="false">IF(G88="","",((G88*0.00003937*1000000)))</f>
        <v/>
      </c>
      <c r="T88" s="543" t="e">
        <f aca="false">IF(H88="","",((H88*0.00003937*1000000)))</f>
        <v>#VALUE!</v>
      </c>
    </row>
    <row r="89" customFormat="false" ht="15.75" hidden="false" customHeight="false" outlineLevel="0" collapsed="false">
      <c r="A89" s="541" t="str">
        <f aca="false">IF(CALIBRACION!H95="","",+CALIBRACION!A95)</f>
        <v/>
      </c>
      <c r="B89" s="542" t="e">
        <f aca="false">CALIBRACION!I95</f>
        <v>#VALUE!</v>
      </c>
      <c r="C89" s="542" t="str">
        <f aca="false">IF(CALIBRACION!H95="","",CALIBRACION!H95)</f>
        <v/>
      </c>
      <c r="D89" s="557" t="str">
        <f aca="false">IF(CALIBRACION!H95="","",CALIBRACION!Q95*1000)</f>
        <v/>
      </c>
      <c r="E89" s="560" t="str">
        <f aca="false">IF(CALIBRACION!H95="","",CALIBRACION!T95)</f>
        <v/>
      </c>
      <c r="F89" s="559" t="str">
        <f aca="false">IF(INCERTIDUMBRE!B112="","",INCERTIDUMBRE!AS112)</f>
        <v/>
      </c>
      <c r="G89" s="559" t="str">
        <f aca="false">IF(CALIBRACION!H95="","",CALIBRACION!L95)</f>
        <v/>
      </c>
      <c r="H89" s="559" t="e">
        <f aca="false">IF(CALIBRACION!I95="","",CALIBRACION!M95)</f>
        <v>#VALUE!</v>
      </c>
      <c r="I89" s="544" t="str">
        <f aca="false">IF(CALIBRACION!H95="","",IF(CALIBRACION!K95="","sí","no"))</f>
        <v/>
      </c>
      <c r="J89" s="544" t="str">
        <f aca="false">IF(CALIBRACION!H95="","",IF(CALIBRACION!K95="","sí","no"))</f>
        <v/>
      </c>
      <c r="K89" s="545" t="str">
        <f aca="false">IF(CALIBRACION!L95="","",CALIBRACION!N95)</f>
        <v/>
      </c>
      <c r="M89" s="541" t="str">
        <f aca="false">A89</f>
        <v/>
      </c>
      <c r="N89" s="546" t="e">
        <f aca="false">B89</f>
        <v>#VALUE!</v>
      </c>
      <c r="O89" s="547" t="str">
        <f aca="false">CALIBRACION!J95</f>
        <v/>
      </c>
      <c r="P89" s="542" t="str">
        <f aca="false">IF(D89="","",((D89*0.00003937008*1000000)))</f>
        <v/>
      </c>
      <c r="Q89" s="561" t="str">
        <f aca="false">IF(E89="","",((E89/25.4)))</f>
        <v/>
      </c>
      <c r="R89" s="542" t="str">
        <f aca="false">IF(F89="","",(F89*0.00003937008*1000000))</f>
        <v/>
      </c>
      <c r="S89" s="543" t="str">
        <f aca="false">IF(G89="","",((G89*0.00003937*1000000)))</f>
        <v/>
      </c>
      <c r="T89" s="543" t="e">
        <f aca="false">IF(H89="","",((H89*0.00003937*1000000)))</f>
        <v>#VALUE!</v>
      </c>
    </row>
    <row r="90" customFormat="false" ht="15.75" hidden="false" customHeight="false" outlineLevel="0" collapsed="false">
      <c r="A90" s="541" t="str">
        <f aca="false">IF(CALIBRACION!H96="","",+CALIBRACION!A96)</f>
        <v/>
      </c>
      <c r="B90" s="542" t="e">
        <f aca="false">CALIBRACION!I96</f>
        <v>#VALUE!</v>
      </c>
      <c r="C90" s="542" t="str">
        <f aca="false">IF(CALIBRACION!H96="","",CALIBRACION!H96)</f>
        <v/>
      </c>
      <c r="D90" s="557" t="str">
        <f aca="false">IF(CALIBRACION!H96="","",CALIBRACION!Q96*1000)</f>
        <v/>
      </c>
      <c r="E90" s="560" t="str">
        <f aca="false">IF(CALIBRACION!H96="","",CALIBRACION!T96)</f>
        <v/>
      </c>
      <c r="F90" s="559" t="str">
        <f aca="false">IF(INCERTIDUMBRE!B113="","",INCERTIDUMBRE!AS113)</f>
        <v/>
      </c>
      <c r="G90" s="559" t="str">
        <f aca="false">IF(CALIBRACION!H96="","",CALIBRACION!L96)</f>
        <v/>
      </c>
      <c r="H90" s="559" t="e">
        <f aca="false">IF(CALIBRACION!I96="","",CALIBRACION!M96)</f>
        <v>#VALUE!</v>
      </c>
      <c r="I90" s="544" t="str">
        <f aca="false">IF(CALIBRACION!H96="","",IF(CALIBRACION!K96="","sí","no"))</f>
        <v/>
      </c>
      <c r="J90" s="544" t="str">
        <f aca="false">IF(CALIBRACION!H96="","",IF(CALIBRACION!K96="","sí","no"))</f>
        <v/>
      </c>
      <c r="K90" s="545" t="str">
        <f aca="false">IF(CALIBRACION!L96="","",CALIBRACION!N96)</f>
        <v/>
      </c>
      <c r="M90" s="541" t="str">
        <f aca="false">A90</f>
        <v/>
      </c>
      <c r="N90" s="546" t="e">
        <f aca="false">B90</f>
        <v>#VALUE!</v>
      </c>
      <c r="O90" s="547" t="str">
        <f aca="false">CALIBRACION!J96</f>
        <v/>
      </c>
      <c r="P90" s="542" t="str">
        <f aca="false">IF(D90="","",((D90*0.00003937008*1000000)))</f>
        <v/>
      </c>
      <c r="Q90" s="561" t="str">
        <f aca="false">IF(E90="","",((E90/25.4)))</f>
        <v/>
      </c>
      <c r="R90" s="542" t="str">
        <f aca="false">IF(F90="","",(F90*0.00003937008*1000000))</f>
        <v/>
      </c>
      <c r="S90" s="543" t="str">
        <f aca="false">IF(G90="","",((G90*0.00003937*1000000)))</f>
        <v/>
      </c>
      <c r="T90" s="543" t="e">
        <f aca="false">IF(H90="","",((H90*0.00003937*1000000)))</f>
        <v>#VALUE!</v>
      </c>
    </row>
    <row r="91" customFormat="false" ht="15.75" hidden="false" customHeight="false" outlineLevel="0" collapsed="false">
      <c r="A91" s="541" t="str">
        <f aca="false">IF(CALIBRACION!H97="","",+CALIBRACION!A97)</f>
        <v/>
      </c>
      <c r="B91" s="542" t="e">
        <f aca="false">CALIBRACION!I97</f>
        <v>#VALUE!</v>
      </c>
      <c r="C91" s="542" t="str">
        <f aca="false">IF(CALIBRACION!H97="","",CALIBRACION!H97)</f>
        <v/>
      </c>
      <c r="D91" s="557" t="str">
        <f aca="false">IF(CALIBRACION!H97="","",CALIBRACION!Q97*1000)</f>
        <v/>
      </c>
      <c r="E91" s="560" t="str">
        <f aca="false">IF(CALIBRACION!H97="","",CALIBRACION!T97)</f>
        <v/>
      </c>
      <c r="F91" s="559" t="str">
        <f aca="false">IF(INCERTIDUMBRE!B114="","",INCERTIDUMBRE!AS114)</f>
        <v/>
      </c>
      <c r="G91" s="559" t="str">
        <f aca="false">IF(CALIBRACION!H97="","",CALIBRACION!L97)</f>
        <v/>
      </c>
      <c r="H91" s="559" t="e">
        <f aca="false">IF(CALIBRACION!I97="","",CALIBRACION!M97)</f>
        <v>#VALUE!</v>
      </c>
      <c r="I91" s="544" t="str">
        <f aca="false">IF(CALIBRACION!H97="","",IF(CALIBRACION!K97="","sí","no"))</f>
        <v/>
      </c>
      <c r="J91" s="544" t="str">
        <f aca="false">IF(CALIBRACION!H97="","",IF(CALIBRACION!K97="","sí","no"))</f>
        <v/>
      </c>
      <c r="K91" s="545" t="str">
        <f aca="false">IF(CALIBRACION!L97="","",CALIBRACION!N97)</f>
        <v/>
      </c>
      <c r="M91" s="541" t="str">
        <f aca="false">A91</f>
        <v/>
      </c>
      <c r="N91" s="546" t="e">
        <f aca="false">B91</f>
        <v>#VALUE!</v>
      </c>
      <c r="O91" s="547" t="str">
        <f aca="false">CALIBRACION!J97</f>
        <v/>
      </c>
      <c r="P91" s="542" t="str">
        <f aca="false">IF(D91="","",((D91*0.00003937008*1000000)))</f>
        <v/>
      </c>
      <c r="Q91" s="561" t="str">
        <f aca="false">IF(E91="","",((E91/25.4)))</f>
        <v/>
      </c>
      <c r="R91" s="542" t="str">
        <f aca="false">IF(F91="","",(F91*0.00003937008*1000000))</f>
        <v/>
      </c>
      <c r="S91" s="543" t="str">
        <f aca="false">IF(G91="","",((G91*0.00003937*1000000)))</f>
        <v/>
      </c>
      <c r="T91" s="543" t="e">
        <f aca="false">IF(H91="","",((H91*0.00003937*1000000)))</f>
        <v>#VALUE!</v>
      </c>
    </row>
    <row r="92" customFormat="false" ht="15.75" hidden="false" customHeight="false" outlineLevel="0" collapsed="false">
      <c r="A92" s="541" t="n">
        <f aca="false">IF(CALIBRACION!A98="","",+CALIBRACION!A98)</f>
        <v>87</v>
      </c>
      <c r="B92" s="542" t="e">
        <f aca="false">CALIBRACION!I98</f>
        <v>#VALUE!</v>
      </c>
      <c r="C92" s="542" t="str">
        <f aca="false">IF(CALIBRACION!H98="","",CALIBRACION!H98)</f>
        <v/>
      </c>
      <c r="D92" s="557" t="str">
        <f aca="false">IF(CALIBRACION!H98="","",CALIBRACION!Q98*1000)</f>
        <v/>
      </c>
      <c r="E92" s="560" t="str">
        <f aca="false">IF(CALIBRACION!H98="","",CALIBRACION!T98)</f>
        <v/>
      </c>
      <c r="F92" s="559" t="str">
        <f aca="false">IF(INCERTIDUMBRE!B115="","",INCERTIDUMBRE!AS115)</f>
        <v/>
      </c>
      <c r="G92" s="559" t="str">
        <f aca="false">IF(CALIBRACION!H98="","",CALIBRACION!L98)</f>
        <v/>
      </c>
      <c r="H92" s="559" t="e">
        <f aca="false">IF(CALIBRACION!I98="","",CALIBRACION!M98)</f>
        <v>#VALUE!</v>
      </c>
      <c r="I92" s="544" t="str">
        <f aca="false">IF(CALIBRACION!H98="","",IF(CALIBRACION!K98="","sí","no"))</f>
        <v/>
      </c>
      <c r="J92" s="544" t="str">
        <f aca="false">IF(CALIBRACION!H98="","",IF(CALIBRACION!K98="","sí","no"))</f>
        <v/>
      </c>
      <c r="K92" s="545" t="str">
        <f aca="false">IF(CALIBRACION!L98="","",CALIBRACION!N98)</f>
        <v/>
      </c>
      <c r="M92" s="541" t="n">
        <f aca="false">A92</f>
        <v>87</v>
      </c>
      <c r="N92" s="546" t="e">
        <f aca="false">B92</f>
        <v>#VALUE!</v>
      </c>
      <c r="O92" s="547" t="str">
        <f aca="false">CALIBRACION!J98</f>
        <v/>
      </c>
      <c r="P92" s="542" t="str">
        <f aca="false">IF(D92="","",((D92*0.00003937008*1000000)))</f>
        <v/>
      </c>
      <c r="Q92" s="561" t="str">
        <f aca="false">IF(E92="","",((E92/25.4)))</f>
        <v/>
      </c>
      <c r="R92" s="542" t="str">
        <f aca="false">IF(F92="","",(F92*0.00003937008*1000000))</f>
        <v/>
      </c>
      <c r="S92" s="543" t="str">
        <f aca="false">IF(G92="","",((G92*0.00003937*1000000)))</f>
        <v/>
      </c>
      <c r="T92" s="543" t="e">
        <f aca="false">IF(H92="","",((H92*0.00003937*1000000)))</f>
        <v>#VALUE!</v>
      </c>
    </row>
    <row r="93" customFormat="false" ht="15.75" hidden="false" customHeight="false" outlineLevel="0" collapsed="false">
      <c r="A93" s="541" t="n">
        <f aca="false">IF(CALIBRACION!A99="","",+CALIBRACION!A99)</f>
        <v>88</v>
      </c>
      <c r="B93" s="542" t="e">
        <f aca="false">CALIBRACION!I99</f>
        <v>#VALUE!</v>
      </c>
      <c r="C93" s="542" t="str">
        <f aca="false">IF(CALIBRACION!H99="","",CALIBRACION!H99)</f>
        <v/>
      </c>
      <c r="D93" s="557" t="str">
        <f aca="false">IF(CALIBRACION!H99="","",CALIBRACION!Q99*1000)</f>
        <v/>
      </c>
      <c r="E93" s="560" t="str">
        <f aca="false">IF(CALIBRACION!H99="","",CALIBRACION!T99)</f>
        <v/>
      </c>
      <c r="F93" s="559" t="str">
        <f aca="false">IF(INCERTIDUMBRE!B116="","",INCERTIDUMBRE!AS116)</f>
        <v/>
      </c>
      <c r="G93" s="559" t="str">
        <f aca="false">IF(CALIBRACION!H99="","",CALIBRACION!L99)</f>
        <v/>
      </c>
      <c r="H93" s="559" t="e">
        <f aca="false">IF(CALIBRACION!I99="","",CALIBRACION!M99)</f>
        <v>#VALUE!</v>
      </c>
      <c r="I93" s="544" t="str">
        <f aca="false">IF(CALIBRACION!H99="","",IF(CALIBRACION!K99="","sí","no"))</f>
        <v/>
      </c>
      <c r="J93" s="544" t="str">
        <f aca="false">IF(CALIBRACION!H99="","",IF(CALIBRACION!K99="","sí","no"))</f>
        <v/>
      </c>
      <c r="K93" s="545" t="str">
        <f aca="false">IF(CALIBRACION!L99="","",CALIBRACION!N99)</f>
        <v/>
      </c>
      <c r="M93" s="541" t="n">
        <f aca="false">A93</f>
        <v>88</v>
      </c>
      <c r="N93" s="546" t="e">
        <f aca="false">B93</f>
        <v>#VALUE!</v>
      </c>
      <c r="O93" s="547" t="str">
        <f aca="false">CALIBRACION!J99</f>
        <v/>
      </c>
      <c r="P93" s="542" t="str">
        <f aca="false">IF(D93="","",((D93*0.00003937008*1000000)))</f>
        <v/>
      </c>
      <c r="Q93" s="561" t="str">
        <f aca="false">IF(E93="","",((E93/25.4)))</f>
        <v/>
      </c>
      <c r="R93" s="542" t="str">
        <f aca="false">IF(F93="","",(F93*0.00003937008*1000000))</f>
        <v/>
      </c>
      <c r="S93" s="543" t="str">
        <f aca="false">IF(G93="","",((G93*0.00003937*1000000)))</f>
        <v/>
      </c>
      <c r="T93" s="543" t="e">
        <f aca="false">IF(H93="","",((H93*0.00003937*1000000)))</f>
        <v>#VALUE!</v>
      </c>
    </row>
    <row r="94" customFormat="false" ht="15.75" hidden="false" customHeight="false" outlineLevel="0" collapsed="false">
      <c r="A94" s="541" t="n">
        <f aca="false">IF(CALIBRACION!A100="","",+CALIBRACION!A100)</f>
        <v>89</v>
      </c>
      <c r="B94" s="542" t="e">
        <f aca="false">CALIBRACION!I100</f>
        <v>#VALUE!</v>
      </c>
      <c r="C94" s="542" t="str">
        <f aca="false">IF(CALIBRACION!H100="","",CALIBRACION!H100)</f>
        <v/>
      </c>
      <c r="D94" s="557" t="str">
        <f aca="false">IF(CALIBRACION!H100="","",CALIBRACION!Q100*1000)</f>
        <v/>
      </c>
      <c r="E94" s="560" t="str">
        <f aca="false">IF(CALIBRACION!H100="","",CALIBRACION!T100)</f>
        <v/>
      </c>
      <c r="F94" s="559" t="str">
        <f aca="false">IF(INCERTIDUMBRE!B117="","",INCERTIDUMBRE!AS117)</f>
        <v/>
      </c>
      <c r="G94" s="559" t="str">
        <f aca="false">IF(CALIBRACION!H100="","",CALIBRACION!L100)</f>
        <v/>
      </c>
      <c r="H94" s="559" t="e">
        <f aca="false">IF(CALIBRACION!I100="","",CALIBRACION!M100)</f>
        <v>#VALUE!</v>
      </c>
      <c r="I94" s="544" t="str">
        <f aca="false">IF(CALIBRACION!H100="","",IF(CALIBRACION!K100="","sí","no"))</f>
        <v/>
      </c>
      <c r="J94" s="544" t="str">
        <f aca="false">IF(CALIBRACION!H100="","",IF(CALIBRACION!K100="","sí","no"))</f>
        <v/>
      </c>
      <c r="K94" s="545" t="str">
        <f aca="false">IF(CALIBRACION!L100="","",CALIBRACION!N100)</f>
        <v/>
      </c>
      <c r="M94" s="541" t="n">
        <f aca="false">A94</f>
        <v>89</v>
      </c>
      <c r="N94" s="546" t="e">
        <f aca="false">B94</f>
        <v>#VALUE!</v>
      </c>
      <c r="O94" s="547" t="str">
        <f aca="false">CALIBRACION!J100</f>
        <v/>
      </c>
      <c r="P94" s="542" t="str">
        <f aca="false">IF(D94="","",((D94*0.00003937008*1000000)))</f>
        <v/>
      </c>
      <c r="Q94" s="561" t="str">
        <f aca="false">IF(E94="","",((E94/25.4)))</f>
        <v/>
      </c>
      <c r="R94" s="542" t="str">
        <f aca="false">IF(F94="","",(F94*0.00003937008*1000000))</f>
        <v/>
      </c>
      <c r="S94" s="543" t="str">
        <f aca="false">IF(G94="","",((G94*0.00003937*1000000)))</f>
        <v/>
      </c>
      <c r="T94" s="543" t="e">
        <f aca="false">IF(H94="","",((H94*0.00003937*1000000)))</f>
        <v>#VALUE!</v>
      </c>
    </row>
    <row r="95" customFormat="false" ht="15.75" hidden="false" customHeight="false" outlineLevel="0" collapsed="false">
      <c r="A95" s="541" t="n">
        <f aca="false">IF(CALIBRACION!A101="","",+CALIBRACION!A101)</f>
        <v>90</v>
      </c>
      <c r="B95" s="542" t="e">
        <f aca="false">CALIBRACION!I101</f>
        <v>#VALUE!</v>
      </c>
      <c r="C95" s="542" t="str">
        <f aca="false">IF(CALIBRACION!H101="","",CALIBRACION!H101)</f>
        <v/>
      </c>
      <c r="D95" s="557" t="str">
        <f aca="false">IF(CALIBRACION!H101="","",CALIBRACION!Q101*1000)</f>
        <v/>
      </c>
      <c r="E95" s="560" t="str">
        <f aca="false">IF(CALIBRACION!H101="","",CALIBRACION!T101)</f>
        <v/>
      </c>
      <c r="F95" s="559" t="str">
        <f aca="false">IF(INCERTIDUMBRE!B118="","",INCERTIDUMBRE!AS118)</f>
        <v/>
      </c>
      <c r="G95" s="559" t="str">
        <f aca="false">IF(CALIBRACION!H101="","",CALIBRACION!L101)</f>
        <v/>
      </c>
      <c r="H95" s="559" t="e">
        <f aca="false">IF(CALIBRACION!I101="","",CALIBRACION!M101)</f>
        <v>#VALUE!</v>
      </c>
      <c r="I95" s="544" t="str">
        <f aca="false">IF(CALIBRACION!H101="","",IF(CALIBRACION!K101="","sí","no"))</f>
        <v/>
      </c>
      <c r="J95" s="544" t="str">
        <f aca="false">IF(CALIBRACION!H101="","",IF(CALIBRACION!K101="","sí","no"))</f>
        <v/>
      </c>
      <c r="K95" s="545" t="str">
        <f aca="false">IF(CALIBRACION!L101="","",CALIBRACION!N101)</f>
        <v/>
      </c>
      <c r="M95" s="541" t="n">
        <f aca="false">A95</f>
        <v>90</v>
      </c>
      <c r="N95" s="546" t="e">
        <f aca="false">B95</f>
        <v>#VALUE!</v>
      </c>
      <c r="O95" s="547" t="str">
        <f aca="false">CALIBRACION!J101</f>
        <v/>
      </c>
      <c r="P95" s="542" t="str">
        <f aca="false">IF(D95="","",((D95*0.00003937008*1000000)))</f>
        <v/>
      </c>
      <c r="Q95" s="561" t="str">
        <f aca="false">IF(E95="","",((E95/25.4)))</f>
        <v/>
      </c>
      <c r="R95" s="542" t="str">
        <f aca="false">IF(F95="","",(F95*0.00003937008*1000000))</f>
        <v/>
      </c>
      <c r="S95" s="543" t="str">
        <f aca="false">IF(G95="","",((G95*0.00003937*1000000)))</f>
        <v/>
      </c>
      <c r="T95" s="543" t="e">
        <f aca="false">IF(H95="","",((H95*0.00003937*1000000)))</f>
        <v>#VALUE!</v>
      </c>
    </row>
    <row r="96" customFormat="false" ht="15.75" hidden="false" customHeight="false" outlineLevel="0" collapsed="false">
      <c r="A96" s="541" t="n">
        <f aca="false">IF(CALIBRACION!A102="","",+CALIBRACION!A102)</f>
        <v>91</v>
      </c>
      <c r="B96" s="542" t="e">
        <f aca="false">CALIBRACION!I102</f>
        <v>#VALUE!</v>
      </c>
      <c r="C96" s="542" t="str">
        <f aca="false">IF(CALIBRACION!H102="","",CALIBRACION!H102)</f>
        <v/>
      </c>
      <c r="D96" s="557" t="str">
        <f aca="false">IF(CALIBRACION!H102="","",CALIBRACION!Q102*1000)</f>
        <v/>
      </c>
      <c r="E96" s="560" t="str">
        <f aca="false">IF(CALIBRACION!H102="","",CALIBRACION!T102)</f>
        <v/>
      </c>
      <c r="F96" s="559" t="str">
        <f aca="false">IF(INCERTIDUMBRE!B119="","",INCERTIDUMBRE!AS119)</f>
        <v/>
      </c>
      <c r="G96" s="559" t="str">
        <f aca="false">IF(CALIBRACION!H102="","",CALIBRACION!L102)</f>
        <v/>
      </c>
      <c r="H96" s="559" t="e">
        <f aca="false">IF(CALIBRACION!I102="","",CALIBRACION!M102)</f>
        <v>#VALUE!</v>
      </c>
      <c r="I96" s="544" t="str">
        <f aca="false">IF(CALIBRACION!H102="","",IF(CALIBRACION!K102="","sí","no"))</f>
        <v/>
      </c>
      <c r="J96" s="544" t="str">
        <f aca="false">IF(CALIBRACION!H102="","",IF(CALIBRACION!K102="","sí","no"))</f>
        <v/>
      </c>
      <c r="K96" s="545" t="str">
        <f aca="false">IF(CALIBRACION!L102="","",CALIBRACION!N102)</f>
        <v/>
      </c>
      <c r="M96" s="541" t="n">
        <f aca="false">A96</f>
        <v>91</v>
      </c>
      <c r="N96" s="546" t="e">
        <f aca="false">B96</f>
        <v>#VALUE!</v>
      </c>
      <c r="O96" s="547" t="str">
        <f aca="false">CALIBRACION!J102</f>
        <v/>
      </c>
      <c r="P96" s="542" t="str">
        <f aca="false">IF(D96="","",((D96*0.00003937008*1000000)))</f>
        <v/>
      </c>
      <c r="Q96" s="561" t="str">
        <f aca="false">IF(E96="","",((E96/25.4)))</f>
        <v/>
      </c>
      <c r="R96" s="542" t="str">
        <f aca="false">IF(F96="","",(F96*0.00003937008*1000000))</f>
        <v/>
      </c>
      <c r="S96" s="543" t="str">
        <f aca="false">IF(G96="","",((G96*0.00003937*1000000)))</f>
        <v/>
      </c>
      <c r="T96" s="543" t="e">
        <f aca="false">IF(H96="","",((H96*0.00003937*1000000)))</f>
        <v>#VALUE!</v>
      </c>
    </row>
    <row r="97" customFormat="false" ht="15.75" hidden="false" customHeight="false" outlineLevel="0" collapsed="false">
      <c r="A97" s="541" t="n">
        <f aca="false">IF(CALIBRACION!A103="","",+CALIBRACION!A103)</f>
        <v>92</v>
      </c>
      <c r="B97" s="542" t="e">
        <f aca="false">CALIBRACION!I103</f>
        <v>#VALUE!</v>
      </c>
      <c r="C97" s="542" t="str">
        <f aca="false">IF(CALIBRACION!H103="","",CALIBRACION!H103)</f>
        <v/>
      </c>
      <c r="D97" s="557" t="str">
        <f aca="false">IF(CALIBRACION!H103="","",CALIBRACION!Q103*1000)</f>
        <v/>
      </c>
      <c r="E97" s="560" t="str">
        <f aca="false">IF(CALIBRACION!H103="","",CALIBRACION!T103)</f>
        <v/>
      </c>
      <c r="F97" s="559" t="str">
        <f aca="false">IF(INCERTIDUMBRE!B120="","",INCERTIDUMBRE!AS120)</f>
        <v/>
      </c>
      <c r="G97" s="559" t="str">
        <f aca="false">IF(CALIBRACION!H103="","",CALIBRACION!L103)</f>
        <v/>
      </c>
      <c r="H97" s="559" t="e">
        <f aca="false">IF(CALIBRACION!I103="","",CALIBRACION!M103)</f>
        <v>#VALUE!</v>
      </c>
      <c r="I97" s="544" t="str">
        <f aca="false">IF(CALIBRACION!H103="","",IF(CALIBRACION!K103="","sí","no"))</f>
        <v/>
      </c>
      <c r="J97" s="544" t="str">
        <f aca="false">IF(CALIBRACION!H103="","",IF(CALIBRACION!K103="","sí","no"))</f>
        <v/>
      </c>
      <c r="K97" s="545" t="str">
        <f aca="false">IF(CALIBRACION!L103="","",CALIBRACION!N103)</f>
        <v/>
      </c>
      <c r="M97" s="541" t="n">
        <f aca="false">A97</f>
        <v>92</v>
      </c>
      <c r="N97" s="546" t="e">
        <f aca="false">B97</f>
        <v>#VALUE!</v>
      </c>
      <c r="O97" s="547" t="str">
        <f aca="false">CALIBRACION!J103</f>
        <v/>
      </c>
      <c r="P97" s="542" t="str">
        <f aca="false">IF(D97="","",((D97*0.00003937008*1000000)))</f>
        <v/>
      </c>
      <c r="Q97" s="561" t="str">
        <f aca="false">IF(E97="","",((E97/25.4)))</f>
        <v/>
      </c>
      <c r="R97" s="542" t="str">
        <f aca="false">IF(F97="","",(F97*0.00003937008*1000000))</f>
        <v/>
      </c>
      <c r="S97" s="543" t="str">
        <f aca="false">IF(G97="","",((G97*0.00003937*1000000)))</f>
        <v/>
      </c>
      <c r="T97" s="543" t="e">
        <f aca="false">IF(H97="","",((H97*0.00003937*1000000)))</f>
        <v>#VALUE!</v>
      </c>
    </row>
    <row r="98" customFormat="false" ht="15.75" hidden="false" customHeight="false" outlineLevel="0" collapsed="false">
      <c r="A98" s="541" t="n">
        <f aca="false">IF(CALIBRACION!A104="","",+CALIBRACION!A104)</f>
        <v>93</v>
      </c>
      <c r="B98" s="542" t="e">
        <f aca="false">CALIBRACION!I104</f>
        <v>#VALUE!</v>
      </c>
      <c r="C98" s="542" t="str">
        <f aca="false">IF(CALIBRACION!H104="","",CALIBRACION!H104)</f>
        <v/>
      </c>
      <c r="D98" s="557" t="str">
        <f aca="false">IF(CALIBRACION!H104="","",CALIBRACION!Q104*1000)</f>
        <v/>
      </c>
      <c r="E98" s="560" t="str">
        <f aca="false">IF(CALIBRACION!H104="","",CALIBRACION!T104)</f>
        <v/>
      </c>
      <c r="F98" s="559" t="str">
        <f aca="false">IF(INCERTIDUMBRE!B121="","",INCERTIDUMBRE!AS121)</f>
        <v/>
      </c>
      <c r="G98" s="559" t="str">
        <f aca="false">IF(CALIBRACION!H104="","",CALIBRACION!L104)</f>
        <v/>
      </c>
      <c r="H98" s="559" t="e">
        <f aca="false">IF(CALIBRACION!I104="","",CALIBRACION!M104)</f>
        <v>#VALUE!</v>
      </c>
      <c r="I98" s="544" t="str">
        <f aca="false">IF(CALIBRACION!H104="","",IF(CALIBRACION!K104="","sí","no"))</f>
        <v/>
      </c>
      <c r="J98" s="544" t="str">
        <f aca="false">IF(CALIBRACION!H104="","",IF(CALIBRACION!K104="","sí","no"))</f>
        <v/>
      </c>
      <c r="K98" s="545" t="str">
        <f aca="false">IF(CALIBRACION!L104="","",CALIBRACION!N104)</f>
        <v/>
      </c>
      <c r="M98" s="541" t="n">
        <f aca="false">A98</f>
        <v>93</v>
      </c>
      <c r="N98" s="546" t="e">
        <f aca="false">B98</f>
        <v>#VALUE!</v>
      </c>
      <c r="O98" s="547" t="str">
        <f aca="false">CALIBRACION!J104</f>
        <v/>
      </c>
      <c r="P98" s="542" t="str">
        <f aca="false">IF(D98="","",((D98*0.00003937008*1000000)))</f>
        <v/>
      </c>
      <c r="Q98" s="561" t="str">
        <f aca="false">IF(E98="","",((E98/25.4)))</f>
        <v/>
      </c>
      <c r="R98" s="542" t="str">
        <f aca="false">IF(F98="","",(F98*0.00003937008*1000000))</f>
        <v/>
      </c>
      <c r="S98" s="543" t="str">
        <f aca="false">IF(G98="","",((G98*0.00003937*1000000)))</f>
        <v/>
      </c>
      <c r="T98" s="543" t="e">
        <f aca="false">IF(H98="","",((H98*0.00003937*1000000)))</f>
        <v>#VALUE!</v>
      </c>
    </row>
    <row r="99" customFormat="false" ht="15.75" hidden="false" customHeight="false" outlineLevel="0" collapsed="false">
      <c r="A99" s="541" t="n">
        <f aca="false">IF(CALIBRACION!A105="","",+CALIBRACION!A105)</f>
        <v>94</v>
      </c>
      <c r="B99" s="542" t="e">
        <f aca="false">CALIBRACION!I105</f>
        <v>#VALUE!</v>
      </c>
      <c r="C99" s="542" t="str">
        <f aca="false">IF(CALIBRACION!H105="","",CALIBRACION!H105)</f>
        <v/>
      </c>
      <c r="D99" s="557" t="str">
        <f aca="false">IF(CALIBRACION!H105="","",CALIBRACION!Q105*1000)</f>
        <v/>
      </c>
      <c r="E99" s="560" t="str">
        <f aca="false">IF(CALIBRACION!H105="","",CALIBRACION!T105)</f>
        <v/>
      </c>
      <c r="F99" s="559" t="str">
        <f aca="false">IF(INCERTIDUMBRE!B122="","",INCERTIDUMBRE!AS122)</f>
        <v/>
      </c>
      <c r="G99" s="559" t="str">
        <f aca="false">IF(CALIBRACION!H105="","",CALIBRACION!L105)</f>
        <v/>
      </c>
      <c r="H99" s="559" t="e">
        <f aca="false">IF(CALIBRACION!I105="","",CALIBRACION!M105)</f>
        <v>#VALUE!</v>
      </c>
      <c r="I99" s="544" t="str">
        <f aca="false">IF(CALIBRACION!H105="","",IF(CALIBRACION!K105="","sí","no"))</f>
        <v/>
      </c>
      <c r="J99" s="544" t="str">
        <f aca="false">IF(CALIBRACION!H105="","",IF(CALIBRACION!K105="","sí","no"))</f>
        <v/>
      </c>
      <c r="K99" s="545" t="str">
        <f aca="false">IF(CALIBRACION!L105="","",CALIBRACION!N105)</f>
        <v/>
      </c>
      <c r="M99" s="541" t="n">
        <f aca="false">A99</f>
        <v>94</v>
      </c>
      <c r="N99" s="546" t="e">
        <f aca="false">B99</f>
        <v>#VALUE!</v>
      </c>
      <c r="O99" s="547" t="str">
        <f aca="false">CALIBRACION!J105</f>
        <v/>
      </c>
      <c r="P99" s="542" t="str">
        <f aca="false">IF(D99="","",((D99*0.00003937008*1000000)))</f>
        <v/>
      </c>
      <c r="Q99" s="561" t="str">
        <f aca="false">IF(E99="","",((E99/25.4)))</f>
        <v/>
      </c>
      <c r="R99" s="542" t="str">
        <f aca="false">IF(F99="","",(F99*0.00003937008*1000000))</f>
        <v/>
      </c>
      <c r="S99" s="543" t="str">
        <f aca="false">IF(G99="","",((G99*0.00003937*1000000)))</f>
        <v/>
      </c>
      <c r="T99" s="543" t="e">
        <f aca="false">IF(H99="","",((H99*0.00003937*1000000)))</f>
        <v>#VALUE!</v>
      </c>
    </row>
    <row r="100" customFormat="false" ht="15.75" hidden="false" customHeight="false" outlineLevel="0" collapsed="false">
      <c r="A100" s="541" t="n">
        <f aca="false">IF(CALIBRACION!A106="","",+CALIBRACION!A106)</f>
        <v>95</v>
      </c>
      <c r="B100" s="542" t="e">
        <f aca="false">CALIBRACION!I106</f>
        <v>#VALUE!</v>
      </c>
      <c r="C100" s="542" t="str">
        <f aca="false">IF(CALIBRACION!H106="","",CALIBRACION!H106)</f>
        <v/>
      </c>
      <c r="D100" s="557" t="str">
        <f aca="false">IF(CALIBRACION!H106="","",CALIBRACION!Q106*1000)</f>
        <v/>
      </c>
      <c r="E100" s="560" t="str">
        <f aca="false">IF(CALIBRACION!H106="","",CALIBRACION!T106)</f>
        <v/>
      </c>
      <c r="F100" s="559" t="str">
        <f aca="false">IF(INCERTIDUMBRE!B123="","",INCERTIDUMBRE!AS123)</f>
        <v/>
      </c>
      <c r="G100" s="559" t="str">
        <f aca="false">IF(CALIBRACION!H106="","",CALIBRACION!L106)</f>
        <v/>
      </c>
      <c r="H100" s="559" t="e">
        <f aca="false">IF(CALIBRACION!I106="","",CALIBRACION!M106)</f>
        <v>#VALUE!</v>
      </c>
      <c r="I100" s="544" t="str">
        <f aca="false">IF(CALIBRACION!H106="","",IF(CALIBRACION!K106="","sí","no"))</f>
        <v/>
      </c>
      <c r="J100" s="544" t="str">
        <f aca="false">IF(CALIBRACION!H106="","",IF(CALIBRACION!K106="","sí","no"))</f>
        <v/>
      </c>
      <c r="K100" s="545" t="str">
        <f aca="false">IF(CALIBRACION!L106="","",CALIBRACION!N106)</f>
        <v/>
      </c>
      <c r="M100" s="541" t="n">
        <f aca="false">A100</f>
        <v>95</v>
      </c>
      <c r="N100" s="546" t="e">
        <f aca="false">B100</f>
        <v>#VALUE!</v>
      </c>
      <c r="O100" s="547" t="str">
        <f aca="false">CALIBRACION!J106</f>
        <v/>
      </c>
      <c r="P100" s="542" t="str">
        <f aca="false">IF(D100="","",((D100*0.00003937008*1000000)))</f>
        <v/>
      </c>
      <c r="Q100" s="561" t="str">
        <f aca="false">IF(E100="","",((E100/25.4)))</f>
        <v/>
      </c>
      <c r="R100" s="542" t="str">
        <f aca="false">IF(F100="","",(F100*0.00003937008*1000000))</f>
        <v/>
      </c>
      <c r="S100" s="543" t="str">
        <f aca="false">IF(G100="","",((G100*0.00003937*1000000)))</f>
        <v/>
      </c>
      <c r="T100" s="543" t="e">
        <f aca="false">IF(H100="","",((H100*0.00003937*1000000)))</f>
        <v>#VALUE!</v>
      </c>
    </row>
    <row r="101" customFormat="false" ht="15.75" hidden="false" customHeight="false" outlineLevel="0" collapsed="false">
      <c r="A101" s="541" t="n">
        <f aca="false">IF(CALIBRACION!A107="","",+CALIBRACION!A107)</f>
        <v>96</v>
      </c>
      <c r="B101" s="542" t="e">
        <f aca="false">CALIBRACION!I107</f>
        <v>#VALUE!</v>
      </c>
      <c r="C101" s="542" t="str">
        <f aca="false">IF(CALIBRACION!H107="","",CALIBRACION!H107)</f>
        <v/>
      </c>
      <c r="D101" s="557" t="str">
        <f aca="false">IF(CALIBRACION!H107="","",CALIBRACION!Q107*1000)</f>
        <v/>
      </c>
      <c r="E101" s="560" t="str">
        <f aca="false">IF(CALIBRACION!H107="","",CALIBRACION!T107)</f>
        <v/>
      </c>
      <c r="F101" s="559" t="str">
        <f aca="false">IF(INCERTIDUMBRE!B124="","",INCERTIDUMBRE!AS124)</f>
        <v/>
      </c>
      <c r="G101" s="559" t="str">
        <f aca="false">IF(CALIBRACION!H107="","",CALIBRACION!L107)</f>
        <v/>
      </c>
      <c r="H101" s="559" t="e">
        <f aca="false">IF(CALIBRACION!I107="","",CALIBRACION!M107)</f>
        <v>#VALUE!</v>
      </c>
      <c r="I101" s="544" t="str">
        <f aca="false">IF(CALIBRACION!H107="","",IF(CALIBRACION!K107="","sí","no"))</f>
        <v/>
      </c>
      <c r="J101" s="544" t="str">
        <f aca="false">IF(CALIBRACION!H107="","",IF(CALIBRACION!K107="","sí","no"))</f>
        <v/>
      </c>
      <c r="K101" s="545" t="str">
        <f aca="false">IF(CALIBRACION!L107="","",CALIBRACION!N107)</f>
        <v/>
      </c>
      <c r="M101" s="541" t="n">
        <f aca="false">A101</f>
        <v>96</v>
      </c>
      <c r="N101" s="546" t="e">
        <f aca="false">B101</f>
        <v>#VALUE!</v>
      </c>
      <c r="O101" s="547" t="str">
        <f aca="false">CALIBRACION!J107</f>
        <v/>
      </c>
      <c r="P101" s="542" t="str">
        <f aca="false">IF(D101="","",((D101*0.00003937008*1000000)))</f>
        <v/>
      </c>
      <c r="Q101" s="561" t="str">
        <f aca="false">IF(E101="","",((E101/25.4)))</f>
        <v/>
      </c>
      <c r="R101" s="542" t="str">
        <f aca="false">IF(F101="","",(F101*0.00003937008*1000000))</f>
        <v/>
      </c>
      <c r="S101" s="543" t="str">
        <f aca="false">IF(G101="","",((G101*0.00003937*1000000)))</f>
        <v/>
      </c>
      <c r="T101" s="543" t="e">
        <f aca="false">IF(H101="","",((H101*0.00003937*1000000)))</f>
        <v>#VALUE!</v>
      </c>
    </row>
    <row r="102" customFormat="false" ht="15.75" hidden="false" customHeight="false" outlineLevel="0" collapsed="false">
      <c r="A102" s="541" t="n">
        <f aca="false">IF(CALIBRACION!A108="","",+CALIBRACION!A108)</f>
        <v>97</v>
      </c>
      <c r="B102" s="542" t="e">
        <f aca="false">CALIBRACION!I108</f>
        <v>#VALUE!</v>
      </c>
      <c r="C102" s="542" t="str">
        <f aca="false">IF(CALIBRACION!H108="","",CALIBRACION!H108)</f>
        <v/>
      </c>
      <c r="D102" s="557" t="str">
        <f aca="false">IF(CALIBRACION!H108="","",CALIBRACION!Q108*1000)</f>
        <v/>
      </c>
      <c r="E102" s="560" t="str">
        <f aca="false">IF(CALIBRACION!H108="","",CALIBRACION!T108)</f>
        <v/>
      </c>
      <c r="F102" s="559" t="str">
        <f aca="false">IF(INCERTIDUMBRE!B125="","",INCERTIDUMBRE!AS125)</f>
        <v/>
      </c>
      <c r="G102" s="559" t="str">
        <f aca="false">IF(CALIBRACION!H108="","",CALIBRACION!L108)</f>
        <v/>
      </c>
      <c r="H102" s="559" t="e">
        <f aca="false">IF(CALIBRACION!I108="","",CALIBRACION!M108)</f>
        <v>#VALUE!</v>
      </c>
      <c r="I102" s="544" t="str">
        <f aca="false">IF(CALIBRACION!H108="","",IF(CALIBRACION!K108="","sí","no"))</f>
        <v/>
      </c>
      <c r="J102" s="544" t="str">
        <f aca="false">IF(CALIBRACION!H108="","",IF(CALIBRACION!K108="","sí","no"))</f>
        <v/>
      </c>
      <c r="K102" s="545" t="str">
        <f aca="false">IF(CALIBRACION!L108="","",CALIBRACION!N108)</f>
        <v/>
      </c>
      <c r="M102" s="541" t="n">
        <f aca="false">A102</f>
        <v>97</v>
      </c>
      <c r="N102" s="546" t="e">
        <f aca="false">B102</f>
        <v>#VALUE!</v>
      </c>
      <c r="O102" s="547" t="str">
        <f aca="false">CALIBRACION!J108</f>
        <v/>
      </c>
      <c r="P102" s="542" t="str">
        <f aca="false">IF(D102="","",((D102*0.00003937008*1000000)))</f>
        <v/>
      </c>
      <c r="Q102" s="561" t="str">
        <f aca="false">IF(E102="","",((E102/25.4)))</f>
        <v/>
      </c>
      <c r="R102" s="542" t="str">
        <f aca="false">IF(F102="","",(F102*0.00003937008*1000000))</f>
        <v/>
      </c>
      <c r="S102" s="543" t="str">
        <f aca="false">IF(G102="","",((G102*0.00003937*1000000)))</f>
        <v/>
      </c>
      <c r="T102" s="543" t="e">
        <f aca="false">IF(H102="","",((H102*0.00003937*1000000)))</f>
        <v>#VALUE!</v>
      </c>
    </row>
    <row r="103" customFormat="false" ht="15.75" hidden="false" customHeight="false" outlineLevel="0" collapsed="false">
      <c r="A103" s="541" t="n">
        <f aca="false">IF(CALIBRACION!A109="","",+CALIBRACION!A109)</f>
        <v>98</v>
      </c>
      <c r="B103" s="542" t="e">
        <f aca="false">CALIBRACION!I109</f>
        <v>#VALUE!</v>
      </c>
      <c r="C103" s="542" t="str">
        <f aca="false">IF(CALIBRACION!H109="","",CALIBRACION!H109)</f>
        <v/>
      </c>
      <c r="D103" s="557" t="str">
        <f aca="false">IF(CALIBRACION!H109="","",CALIBRACION!Q109*1000)</f>
        <v/>
      </c>
      <c r="E103" s="560" t="str">
        <f aca="false">IF(CALIBRACION!H109="","",CALIBRACION!T109)</f>
        <v/>
      </c>
      <c r="F103" s="559" t="str">
        <f aca="false">IF(INCERTIDUMBRE!B126="","",INCERTIDUMBRE!AS126)</f>
        <v/>
      </c>
      <c r="G103" s="559" t="str">
        <f aca="false">IF(CALIBRACION!H109="","",CALIBRACION!L109)</f>
        <v/>
      </c>
      <c r="H103" s="559" t="e">
        <f aca="false">IF(CALIBRACION!I109="","",CALIBRACION!M109)</f>
        <v>#VALUE!</v>
      </c>
      <c r="I103" s="544" t="str">
        <f aca="false">IF(CALIBRACION!H109="","",IF(CALIBRACION!K109="","sí","no"))</f>
        <v/>
      </c>
      <c r="J103" s="544" t="str">
        <f aca="false">IF(CALIBRACION!H109="","",IF(CALIBRACION!K109="","sí","no"))</f>
        <v/>
      </c>
      <c r="K103" s="545" t="str">
        <f aca="false">IF(CALIBRACION!L109="","",CALIBRACION!N109)</f>
        <v/>
      </c>
      <c r="M103" s="541" t="n">
        <f aca="false">A103</f>
        <v>98</v>
      </c>
      <c r="N103" s="546" t="e">
        <f aca="false">B103</f>
        <v>#VALUE!</v>
      </c>
      <c r="O103" s="547" t="str">
        <f aca="false">CALIBRACION!J109</f>
        <v/>
      </c>
      <c r="P103" s="542" t="str">
        <f aca="false">IF(D103="","",((D103*0.00003937008*1000000)))</f>
        <v/>
      </c>
      <c r="Q103" s="561" t="str">
        <f aca="false">IF(E103="","",((E103/25.4)))</f>
        <v/>
      </c>
      <c r="R103" s="542" t="str">
        <f aca="false">IF(F103="","",(F103*0.00003937008*1000000))</f>
        <v/>
      </c>
      <c r="S103" s="543" t="str">
        <f aca="false">IF(G103="","",((G103*0.00003937*1000000)))</f>
        <v/>
      </c>
      <c r="T103" s="543" t="e">
        <f aca="false">IF(H103="","",((H103*0.00003937*1000000)))</f>
        <v>#VALUE!</v>
      </c>
    </row>
    <row r="104" customFormat="false" ht="15.75" hidden="false" customHeight="false" outlineLevel="0" collapsed="false">
      <c r="A104" s="541" t="n">
        <f aca="false">IF(CALIBRACION!A110="","",+CALIBRACION!A110)</f>
        <v>99</v>
      </c>
      <c r="B104" s="542" t="e">
        <f aca="false">CALIBRACION!I110</f>
        <v>#VALUE!</v>
      </c>
      <c r="C104" s="542" t="str">
        <f aca="false">IF(CALIBRACION!H110="","",CALIBRACION!H110)</f>
        <v/>
      </c>
      <c r="D104" s="557" t="str">
        <f aca="false">IF(CALIBRACION!H110="","",CALIBRACION!Q110*1000)</f>
        <v/>
      </c>
      <c r="E104" s="560" t="str">
        <f aca="false">IF(CALIBRACION!H110="","",CALIBRACION!T110)</f>
        <v/>
      </c>
      <c r="F104" s="559" t="str">
        <f aca="false">IF(INCERTIDUMBRE!B127="","",INCERTIDUMBRE!AS127)</f>
        <v/>
      </c>
      <c r="G104" s="559" t="str">
        <f aca="false">IF(CALIBRACION!H110="","",CALIBRACION!L110)</f>
        <v/>
      </c>
      <c r="H104" s="559" t="e">
        <f aca="false">IF(CALIBRACION!I110="","",CALIBRACION!M110)</f>
        <v>#VALUE!</v>
      </c>
      <c r="I104" s="544" t="str">
        <f aca="false">IF(CALIBRACION!H110="","",IF(CALIBRACION!K110="","sí","no"))</f>
        <v/>
      </c>
      <c r="J104" s="544" t="str">
        <f aca="false">IF(CALIBRACION!H110="","",IF(CALIBRACION!K110="","sí","no"))</f>
        <v/>
      </c>
      <c r="K104" s="545" t="str">
        <f aca="false">IF(CALIBRACION!L110="","",CALIBRACION!N110)</f>
        <v/>
      </c>
      <c r="M104" s="541" t="n">
        <f aca="false">A104</f>
        <v>99</v>
      </c>
      <c r="N104" s="546" t="e">
        <f aca="false">B104</f>
        <v>#VALUE!</v>
      </c>
      <c r="O104" s="547" t="str">
        <f aca="false">CALIBRACION!J110</f>
        <v/>
      </c>
      <c r="P104" s="542" t="str">
        <f aca="false">IF(D104="","",((D104*0.00003937008*1000000)))</f>
        <v/>
      </c>
      <c r="Q104" s="561" t="str">
        <f aca="false">IF(E104="","",((E104/25.4)))</f>
        <v/>
      </c>
      <c r="R104" s="542" t="str">
        <f aca="false">IF(F104="","",(F104*0.00003937008*1000000))</f>
        <v/>
      </c>
      <c r="S104" s="543" t="str">
        <f aca="false">IF(G104="","",((G104*0.00003937*1000000)))</f>
        <v/>
      </c>
      <c r="T104" s="543" t="e">
        <f aca="false">IF(H104="","",((H104*0.00003937*1000000)))</f>
        <v>#VALUE!</v>
      </c>
    </row>
    <row r="105" customFormat="false" ht="15.75" hidden="false" customHeight="false" outlineLevel="0" collapsed="false">
      <c r="A105" s="541" t="n">
        <f aca="false">IF(CALIBRACION!A111="","",+CALIBRACION!A111)</f>
        <v>100</v>
      </c>
      <c r="B105" s="542" t="e">
        <f aca="false">CALIBRACION!I111</f>
        <v>#VALUE!</v>
      </c>
      <c r="C105" s="542" t="str">
        <f aca="false">IF(CALIBRACION!H111="","",CALIBRACION!H111)</f>
        <v/>
      </c>
      <c r="D105" s="557" t="str">
        <f aca="false">IF(CALIBRACION!H111="","",CALIBRACION!Q111*1000)</f>
        <v/>
      </c>
      <c r="E105" s="560" t="str">
        <f aca="false">IF(CALIBRACION!H111="","",CALIBRACION!T111)</f>
        <v/>
      </c>
      <c r="F105" s="559" t="str">
        <f aca="false">IF(INCERTIDUMBRE!B128="","",INCERTIDUMBRE!AS128)</f>
        <v/>
      </c>
      <c r="G105" s="559" t="str">
        <f aca="false">IF(CALIBRACION!H111="","",CALIBRACION!L111)</f>
        <v/>
      </c>
      <c r="H105" s="559" t="e">
        <f aca="false">IF(CALIBRACION!I111="","",CALIBRACION!M111)</f>
        <v>#VALUE!</v>
      </c>
      <c r="I105" s="544" t="str">
        <f aca="false">IF(CALIBRACION!H111="","",IF(CALIBRACION!K111="","sí","no"))</f>
        <v/>
      </c>
      <c r="J105" s="544" t="str">
        <f aca="false">IF(CALIBRACION!H111="","",IF(CALIBRACION!K111="","sí","no"))</f>
        <v/>
      </c>
      <c r="K105" s="545" t="str">
        <f aca="false">IF(CALIBRACION!L111="","",CALIBRACION!N111)</f>
        <v/>
      </c>
      <c r="M105" s="541" t="n">
        <f aca="false">A105</f>
        <v>100</v>
      </c>
      <c r="N105" s="546" t="e">
        <f aca="false">B105</f>
        <v>#VALUE!</v>
      </c>
      <c r="O105" s="547" t="str">
        <f aca="false">CALIBRACION!J111</f>
        <v/>
      </c>
      <c r="P105" s="542" t="str">
        <f aca="false">IF(D105="","",((D105*0.00003937008*1000000)))</f>
        <v/>
      </c>
      <c r="Q105" s="561" t="str">
        <f aca="false">IF(E105="","",((E105/25.4)))</f>
        <v/>
      </c>
      <c r="R105" s="542" t="str">
        <f aca="false">IF(F105="","",(F105*0.00003937008*1000000))</f>
        <v/>
      </c>
      <c r="S105" s="543" t="str">
        <f aca="false">IF(G105="","",((G105*0.00003937*1000000)))</f>
        <v/>
      </c>
      <c r="T105" s="543" t="e">
        <f aca="false">IF(H105="","",((H105*0.00003937*1000000)))</f>
        <v>#VALUE!</v>
      </c>
    </row>
    <row r="106" customFormat="false" ht="15.75" hidden="false" customHeight="false" outlineLevel="0" collapsed="false">
      <c r="A106" s="541" t="n">
        <f aca="false">IF(CALIBRACION!A112="","",+CALIBRACION!A112)</f>
        <v>101</v>
      </c>
      <c r="B106" s="542" t="e">
        <f aca="false">CALIBRACION!I112</f>
        <v>#VALUE!</v>
      </c>
      <c r="C106" s="542" t="str">
        <f aca="false">IF(CALIBRACION!H112="","",CALIBRACION!H112)</f>
        <v/>
      </c>
      <c r="D106" s="557" t="str">
        <f aca="false">IF(CALIBRACION!H112="","",CALIBRACION!Q112*1000)</f>
        <v/>
      </c>
      <c r="E106" s="560" t="str">
        <f aca="false">IF(CALIBRACION!H112="","",CALIBRACION!T112)</f>
        <v/>
      </c>
      <c r="F106" s="559" t="str">
        <f aca="false">IF(INCERTIDUMBRE!B129="","",INCERTIDUMBRE!AS129)</f>
        <v/>
      </c>
      <c r="G106" s="559" t="str">
        <f aca="false">IF(CALIBRACION!H112="","",CALIBRACION!L112)</f>
        <v/>
      </c>
      <c r="H106" s="559" t="e">
        <f aca="false">IF(CALIBRACION!I112="","",CALIBRACION!M112)</f>
        <v>#VALUE!</v>
      </c>
      <c r="I106" s="544" t="str">
        <f aca="false">IF(CALIBRACION!H112="","",IF(CALIBRACION!K112="","sí","no"))</f>
        <v/>
      </c>
      <c r="J106" s="544" t="str">
        <f aca="false">IF(CALIBRACION!H112="","",IF(CALIBRACION!K112="","sí","no"))</f>
        <v/>
      </c>
      <c r="K106" s="545" t="str">
        <f aca="false">IF(CALIBRACION!L112="","",CALIBRACION!N112)</f>
        <v/>
      </c>
      <c r="M106" s="541" t="n">
        <f aca="false">A106</f>
        <v>101</v>
      </c>
      <c r="N106" s="546" t="e">
        <f aca="false">B106</f>
        <v>#VALUE!</v>
      </c>
      <c r="O106" s="547" t="str">
        <f aca="false">CALIBRACION!J112</f>
        <v/>
      </c>
      <c r="P106" s="542" t="str">
        <f aca="false">IF(D106="","",((D106*0.00003937008*1000000)))</f>
        <v/>
      </c>
      <c r="Q106" s="561" t="str">
        <f aca="false">IF(E106="","",((E106/25.4)))</f>
        <v/>
      </c>
      <c r="R106" s="542" t="str">
        <f aca="false">IF(F106="","",(F106*0.00003937008*1000000))</f>
        <v/>
      </c>
      <c r="S106" s="543" t="str">
        <f aca="false">IF(G106="","",((G106*0.00003937*1000000)))</f>
        <v/>
      </c>
      <c r="T106" s="543" t="e">
        <f aca="false">IF(H106="","",((H106*0.00003937*1000000)))</f>
        <v>#VALUE!</v>
      </c>
    </row>
    <row r="107" customFormat="false" ht="15.75" hidden="false" customHeight="false" outlineLevel="0" collapsed="false">
      <c r="A107" s="541" t="n">
        <f aca="false">IF(CALIBRACION!A113="","",+CALIBRACION!A113)</f>
        <v>102</v>
      </c>
      <c r="B107" s="542" t="e">
        <f aca="false">CALIBRACION!I113</f>
        <v>#VALUE!</v>
      </c>
      <c r="C107" s="542" t="str">
        <f aca="false">IF(CALIBRACION!H113="","",CALIBRACION!H113)</f>
        <v/>
      </c>
      <c r="D107" s="557" t="str">
        <f aca="false">IF(CALIBRACION!H113="","",CALIBRACION!Q113*1000)</f>
        <v/>
      </c>
      <c r="E107" s="560" t="str">
        <f aca="false">IF(CALIBRACION!H113="","",CALIBRACION!T113)</f>
        <v/>
      </c>
      <c r="F107" s="559" t="str">
        <f aca="false">IF(INCERTIDUMBRE!B130="","",INCERTIDUMBRE!AS130)</f>
        <v/>
      </c>
      <c r="G107" s="559" t="str">
        <f aca="false">IF(CALIBRACION!H113="","",CALIBRACION!L113)</f>
        <v/>
      </c>
      <c r="H107" s="559" t="e">
        <f aca="false">IF(CALIBRACION!I113="","",CALIBRACION!M113)</f>
        <v>#VALUE!</v>
      </c>
      <c r="I107" s="544" t="str">
        <f aca="false">IF(CALIBRACION!H113="","",IF(CALIBRACION!K113="","sí","no"))</f>
        <v/>
      </c>
      <c r="J107" s="544" t="str">
        <f aca="false">IF(CALIBRACION!H113="","",IF(CALIBRACION!K113="","sí","no"))</f>
        <v/>
      </c>
      <c r="K107" s="545" t="str">
        <f aca="false">IF(CALIBRACION!L113="","",CALIBRACION!N113)</f>
        <v/>
      </c>
      <c r="M107" s="541" t="n">
        <f aca="false">A107</f>
        <v>102</v>
      </c>
      <c r="N107" s="546" t="e">
        <f aca="false">B107</f>
        <v>#VALUE!</v>
      </c>
      <c r="O107" s="547" t="str">
        <f aca="false">CALIBRACION!J113</f>
        <v/>
      </c>
      <c r="P107" s="542" t="str">
        <f aca="false">IF(D107="","",((D107*0.00003937008*1000000)))</f>
        <v/>
      </c>
      <c r="Q107" s="561" t="str">
        <f aca="false">IF(E107="","",((E107/25.4)))</f>
        <v/>
      </c>
      <c r="R107" s="542" t="str">
        <f aca="false">IF(F107="","",(F107*0.00003937008*1000000))</f>
        <v/>
      </c>
      <c r="S107" s="543" t="str">
        <f aca="false">IF(G107="","",((G107*0.00003937*1000000)))</f>
        <v/>
      </c>
      <c r="T107" s="543" t="e">
        <f aca="false">IF(H107="","",((H107*0.00003937*1000000)))</f>
        <v>#VALUE!</v>
      </c>
    </row>
    <row r="108" customFormat="false" ht="15.75" hidden="false" customHeight="false" outlineLevel="0" collapsed="false">
      <c r="A108" s="541" t="n">
        <f aca="false">IF(CALIBRACION!A114="","",+CALIBRACION!A114)</f>
        <v>103</v>
      </c>
      <c r="B108" s="542" t="e">
        <f aca="false">CALIBRACION!I114</f>
        <v>#VALUE!</v>
      </c>
      <c r="C108" s="542" t="str">
        <f aca="false">IF(CALIBRACION!H114="","",CALIBRACION!H114)</f>
        <v/>
      </c>
      <c r="D108" s="557" t="str">
        <f aca="false">IF(CALIBRACION!H114="","",CALIBRACION!Q114*1000)</f>
        <v/>
      </c>
      <c r="E108" s="560" t="str">
        <f aca="false">IF(CALIBRACION!H114="","",CALIBRACION!T114)</f>
        <v/>
      </c>
      <c r="F108" s="559" t="str">
        <f aca="false">IF(INCERTIDUMBRE!B131="","",INCERTIDUMBRE!AS131)</f>
        <v/>
      </c>
      <c r="G108" s="559" t="str">
        <f aca="false">IF(CALIBRACION!H114="","",CALIBRACION!L114)</f>
        <v/>
      </c>
      <c r="H108" s="559" t="e">
        <f aca="false">IF(CALIBRACION!I114="","",CALIBRACION!M114)</f>
        <v>#VALUE!</v>
      </c>
      <c r="I108" s="544" t="str">
        <f aca="false">IF(CALIBRACION!H114="","",IF(CALIBRACION!K114="","sí","no"))</f>
        <v/>
      </c>
      <c r="J108" s="544" t="str">
        <f aca="false">IF(CALIBRACION!H114="","",IF(CALIBRACION!K114="","sí","no"))</f>
        <v/>
      </c>
      <c r="K108" s="545" t="str">
        <f aca="false">IF(CALIBRACION!L114="","",CALIBRACION!N114)</f>
        <v/>
      </c>
      <c r="M108" s="541" t="n">
        <f aca="false">A108</f>
        <v>103</v>
      </c>
      <c r="N108" s="546" t="e">
        <f aca="false">B108</f>
        <v>#VALUE!</v>
      </c>
      <c r="O108" s="547" t="str">
        <f aca="false">CALIBRACION!J114</f>
        <v/>
      </c>
      <c r="P108" s="542" t="str">
        <f aca="false">IF(D108="","",((D108*0.00003937008*1000000)))</f>
        <v/>
      </c>
      <c r="Q108" s="561" t="str">
        <f aca="false">IF(E108="","",((E108/25.4)))</f>
        <v/>
      </c>
      <c r="R108" s="542" t="str">
        <f aca="false">IF(F108="","",(F108*0.00003937008*1000000))</f>
        <v/>
      </c>
      <c r="S108" s="543" t="str">
        <f aca="false">IF(G108="","",((G108*0.00003937*1000000)))</f>
        <v/>
      </c>
      <c r="T108" s="543" t="e">
        <f aca="false">IF(H108="","",((H108*0.00003937*1000000)))</f>
        <v>#VALUE!</v>
      </c>
    </row>
    <row r="109" customFormat="false" ht="15.75" hidden="false" customHeight="false" outlineLevel="0" collapsed="false">
      <c r="A109" s="541" t="n">
        <f aca="false">IF(CALIBRACION!A115="","",+CALIBRACION!A115)</f>
        <v>104</v>
      </c>
      <c r="B109" s="542" t="e">
        <f aca="false">CALIBRACION!I115</f>
        <v>#VALUE!</v>
      </c>
      <c r="C109" s="542" t="str">
        <f aca="false">IF(CALIBRACION!H115="","",CALIBRACION!H115)</f>
        <v/>
      </c>
      <c r="D109" s="557" t="str">
        <f aca="false">IF(CALIBRACION!H115="","",CALIBRACION!Q115*1000)</f>
        <v/>
      </c>
      <c r="E109" s="560" t="str">
        <f aca="false">IF(CALIBRACION!H115="","",CALIBRACION!T115)</f>
        <v/>
      </c>
      <c r="F109" s="559" t="str">
        <f aca="false">IF(INCERTIDUMBRE!B132="","",INCERTIDUMBRE!AS132)</f>
        <v/>
      </c>
      <c r="G109" s="559" t="str">
        <f aca="false">IF(CALIBRACION!H115="","",CALIBRACION!L115)</f>
        <v/>
      </c>
      <c r="H109" s="559" t="e">
        <f aca="false">IF(CALIBRACION!I115="","",CALIBRACION!M115)</f>
        <v>#VALUE!</v>
      </c>
      <c r="I109" s="544" t="str">
        <f aca="false">IF(CALIBRACION!H115="","",IF(CALIBRACION!K115="","sí","no"))</f>
        <v/>
      </c>
      <c r="J109" s="544" t="str">
        <f aca="false">IF(CALIBRACION!H115="","",IF(CALIBRACION!K115="","sí","no"))</f>
        <v/>
      </c>
      <c r="K109" s="545" t="str">
        <f aca="false">IF(CALIBRACION!L115="","",CALIBRACION!N115)</f>
        <v/>
      </c>
      <c r="M109" s="541" t="n">
        <f aca="false">A109</f>
        <v>104</v>
      </c>
      <c r="N109" s="546" t="e">
        <f aca="false">B109</f>
        <v>#VALUE!</v>
      </c>
      <c r="O109" s="547" t="str">
        <f aca="false">CALIBRACION!J115</f>
        <v/>
      </c>
      <c r="P109" s="542" t="str">
        <f aca="false">IF(D109="","",((D109*0.00003937008*1000000)))</f>
        <v/>
      </c>
      <c r="Q109" s="561" t="str">
        <f aca="false">IF(E109="","",((E109/25.4)))</f>
        <v/>
      </c>
      <c r="R109" s="542" t="str">
        <f aca="false">IF(F109="","",(F109*0.00003937008*1000000))</f>
        <v/>
      </c>
      <c r="S109" s="543" t="str">
        <f aca="false">IF(G109="","",((G109*0.00003937*1000000)))</f>
        <v/>
      </c>
      <c r="T109" s="543" t="e">
        <f aca="false">IF(H109="","",((H109*0.00003937*1000000)))</f>
        <v>#VALUE!</v>
      </c>
    </row>
    <row r="110" customFormat="false" ht="15.75" hidden="false" customHeight="false" outlineLevel="0" collapsed="false">
      <c r="A110" s="541" t="n">
        <f aca="false">IF(CALIBRACION!A116="","",+CALIBRACION!A116)</f>
        <v>105</v>
      </c>
      <c r="B110" s="542" t="e">
        <f aca="false">CALIBRACION!I116</f>
        <v>#VALUE!</v>
      </c>
      <c r="C110" s="542" t="str">
        <f aca="false">IF(CALIBRACION!H116="","",CALIBRACION!H116)</f>
        <v/>
      </c>
      <c r="D110" s="557" t="str">
        <f aca="false">IF(CALIBRACION!H116="","",CALIBRACION!Q116*1000)</f>
        <v/>
      </c>
      <c r="E110" s="560" t="str">
        <f aca="false">IF(CALIBRACION!H116="","",CALIBRACION!T116)</f>
        <v/>
      </c>
      <c r="F110" s="559" t="str">
        <f aca="false">IF(INCERTIDUMBRE!B133="","",INCERTIDUMBRE!AS133)</f>
        <v/>
      </c>
      <c r="G110" s="559" t="str">
        <f aca="false">IF(CALIBRACION!H116="","",CALIBRACION!L116)</f>
        <v/>
      </c>
      <c r="H110" s="559" t="e">
        <f aca="false">IF(CALIBRACION!I116="","",CALIBRACION!M116)</f>
        <v>#VALUE!</v>
      </c>
      <c r="I110" s="544" t="str">
        <f aca="false">IF(CALIBRACION!H116="","",IF(CALIBRACION!K116="","sí","no"))</f>
        <v/>
      </c>
      <c r="J110" s="544" t="str">
        <f aca="false">IF(CALIBRACION!H116="","",IF(CALIBRACION!K116="","sí","no"))</f>
        <v/>
      </c>
      <c r="K110" s="545" t="str">
        <f aca="false">IF(CALIBRACION!L116="","",CALIBRACION!N116)</f>
        <v/>
      </c>
      <c r="M110" s="541" t="n">
        <f aca="false">A110</f>
        <v>105</v>
      </c>
      <c r="N110" s="546" t="e">
        <f aca="false">B110</f>
        <v>#VALUE!</v>
      </c>
      <c r="O110" s="547" t="str">
        <f aca="false">CALIBRACION!J116</f>
        <v/>
      </c>
      <c r="P110" s="542" t="str">
        <f aca="false">IF(D110="","",((D110*0.00003937008*1000000)))</f>
        <v/>
      </c>
      <c r="Q110" s="561" t="str">
        <f aca="false">IF(E110="","",((E110/25.4)))</f>
        <v/>
      </c>
      <c r="R110" s="542" t="str">
        <f aca="false">IF(F110="","",(F110*0.00003937008*1000000))</f>
        <v/>
      </c>
      <c r="S110" s="543" t="str">
        <f aca="false">IF(G110="","",((G110*0.00003937*1000000)))</f>
        <v/>
      </c>
      <c r="T110" s="543" t="e">
        <f aca="false">IF(H110="","",((H110*0.00003937*1000000)))</f>
        <v>#VALUE!</v>
      </c>
    </row>
    <row r="111" customFormat="false" ht="15.75" hidden="false" customHeight="false" outlineLevel="0" collapsed="false">
      <c r="A111" s="541" t="n">
        <f aca="false">IF(CALIBRACION!A117="","",+CALIBRACION!A117)</f>
        <v>106</v>
      </c>
      <c r="B111" s="542" t="e">
        <f aca="false">CALIBRACION!I117</f>
        <v>#VALUE!</v>
      </c>
      <c r="C111" s="542" t="str">
        <f aca="false">IF(CALIBRACION!H117="","",CALIBRACION!H117)</f>
        <v/>
      </c>
      <c r="D111" s="557" t="str">
        <f aca="false">IF(CALIBRACION!H117="","",CALIBRACION!Q117*1000)</f>
        <v/>
      </c>
      <c r="E111" s="560" t="str">
        <f aca="false">IF(CALIBRACION!H117="","",CALIBRACION!T117)</f>
        <v/>
      </c>
      <c r="F111" s="559" t="str">
        <f aca="false">IF(INCERTIDUMBRE!B134="","",INCERTIDUMBRE!AS134)</f>
        <v/>
      </c>
      <c r="G111" s="559" t="str">
        <f aca="false">IF(CALIBRACION!H117="","",CALIBRACION!L117)</f>
        <v/>
      </c>
      <c r="H111" s="559" t="e">
        <f aca="false">IF(CALIBRACION!I117="","",CALIBRACION!M117)</f>
        <v>#VALUE!</v>
      </c>
      <c r="I111" s="544" t="str">
        <f aca="false">IF(CALIBRACION!H117="","",IF(CALIBRACION!K117="","sí","no"))</f>
        <v/>
      </c>
      <c r="J111" s="544" t="str">
        <f aca="false">IF(CALIBRACION!H117="","",IF(CALIBRACION!K117="","sí","no"))</f>
        <v/>
      </c>
      <c r="K111" s="545" t="str">
        <f aca="false">IF(CALIBRACION!L117="","",CALIBRACION!N117)</f>
        <v/>
      </c>
      <c r="M111" s="541" t="n">
        <f aca="false">A111</f>
        <v>106</v>
      </c>
      <c r="N111" s="546" t="e">
        <f aca="false">B111</f>
        <v>#VALUE!</v>
      </c>
      <c r="O111" s="547" t="str">
        <f aca="false">CALIBRACION!J117</f>
        <v/>
      </c>
      <c r="P111" s="542" t="str">
        <f aca="false">IF(D111="","",((D111*0.00003937008*1000000)))</f>
        <v/>
      </c>
      <c r="Q111" s="561" t="str">
        <f aca="false">IF(E111="","",((E111/25.4)))</f>
        <v/>
      </c>
      <c r="R111" s="542" t="str">
        <f aca="false">IF(F111="","",(F111*0.00003937008*1000000))</f>
        <v/>
      </c>
      <c r="S111" s="543" t="str">
        <f aca="false">IF(G111="","",((G111*0.00003937*1000000)))</f>
        <v/>
      </c>
      <c r="T111" s="543" t="e">
        <f aca="false">IF(H111="","",((H111*0.00003937*1000000)))</f>
        <v>#VALUE!</v>
      </c>
    </row>
    <row r="112" customFormat="false" ht="15.75" hidden="false" customHeight="false" outlineLevel="0" collapsed="false">
      <c r="A112" s="541" t="n">
        <f aca="false">IF(CALIBRACION!A118="","",+CALIBRACION!A118)</f>
        <v>107</v>
      </c>
      <c r="B112" s="542" t="e">
        <f aca="false">CALIBRACION!I118</f>
        <v>#VALUE!</v>
      </c>
      <c r="C112" s="542" t="str">
        <f aca="false">IF(CALIBRACION!H118="","",CALIBRACION!H118)</f>
        <v/>
      </c>
      <c r="D112" s="557" t="str">
        <f aca="false">IF(CALIBRACION!H118="","",CALIBRACION!Q118*1000)</f>
        <v/>
      </c>
      <c r="E112" s="560" t="str">
        <f aca="false">IF(CALIBRACION!H118="","",CALIBRACION!T118)</f>
        <v/>
      </c>
      <c r="F112" s="559" t="str">
        <f aca="false">IF(INCERTIDUMBRE!B135="","",INCERTIDUMBRE!AS135)</f>
        <v/>
      </c>
      <c r="G112" s="559" t="str">
        <f aca="false">IF(CALIBRACION!H118="","",CALIBRACION!L118)</f>
        <v/>
      </c>
      <c r="H112" s="559" t="e">
        <f aca="false">IF(CALIBRACION!I118="","",CALIBRACION!M118)</f>
        <v>#VALUE!</v>
      </c>
      <c r="I112" s="544" t="str">
        <f aca="false">IF(CALIBRACION!H118="","",IF(CALIBRACION!K118="","sí","no"))</f>
        <v/>
      </c>
      <c r="J112" s="544" t="str">
        <f aca="false">IF(CALIBRACION!H118="","",IF(CALIBRACION!K118="","sí","no"))</f>
        <v/>
      </c>
      <c r="K112" s="545" t="str">
        <f aca="false">IF(CALIBRACION!L118="","",CALIBRACION!N118)</f>
        <v/>
      </c>
      <c r="M112" s="541" t="n">
        <f aca="false">A112</f>
        <v>107</v>
      </c>
      <c r="N112" s="546" t="e">
        <f aca="false">B112</f>
        <v>#VALUE!</v>
      </c>
      <c r="O112" s="547" t="str">
        <f aca="false">CALIBRACION!J118</f>
        <v/>
      </c>
      <c r="P112" s="542" t="str">
        <f aca="false">IF(D112="","",((D112*0.00003937008*1000000)))</f>
        <v/>
      </c>
      <c r="Q112" s="561" t="str">
        <f aca="false">IF(E112="","",((E112/25.4)))</f>
        <v/>
      </c>
      <c r="R112" s="542" t="str">
        <f aca="false">IF(F112="","",(F112*0.00003937008*1000000))</f>
        <v/>
      </c>
      <c r="S112" s="543" t="str">
        <f aca="false">IF(G112="","",((G112*0.00003937*1000000)))</f>
        <v/>
      </c>
      <c r="T112" s="543" t="e">
        <f aca="false">IF(H112="","",((H112*0.00003937*1000000)))</f>
        <v>#VALUE!</v>
      </c>
    </row>
    <row r="113" customFormat="false" ht="15.75" hidden="false" customHeight="false" outlineLevel="0" collapsed="false">
      <c r="A113" s="541" t="n">
        <f aca="false">IF(CALIBRACION!A119="","",+CALIBRACION!A119)</f>
        <v>108</v>
      </c>
      <c r="B113" s="542" t="e">
        <f aca="false">CALIBRACION!I119</f>
        <v>#VALUE!</v>
      </c>
      <c r="C113" s="542" t="str">
        <f aca="false">IF(CALIBRACION!H119="","",CALIBRACION!H119)</f>
        <v/>
      </c>
      <c r="D113" s="557" t="str">
        <f aca="false">IF(CALIBRACION!H119="","",CALIBRACION!Q119*1000)</f>
        <v/>
      </c>
      <c r="E113" s="560" t="str">
        <f aca="false">IF(CALIBRACION!H119="","",CALIBRACION!T119)</f>
        <v/>
      </c>
      <c r="F113" s="559" t="str">
        <f aca="false">IF(INCERTIDUMBRE!B136="","",INCERTIDUMBRE!AS136)</f>
        <v/>
      </c>
      <c r="G113" s="559" t="str">
        <f aca="false">IF(CALIBRACION!H119="","",CALIBRACION!L119)</f>
        <v/>
      </c>
      <c r="H113" s="559" t="e">
        <f aca="false">IF(CALIBRACION!I119="","",CALIBRACION!M119)</f>
        <v>#VALUE!</v>
      </c>
      <c r="I113" s="544" t="str">
        <f aca="false">IF(CALIBRACION!H119="","",IF(CALIBRACION!K119="","sí","no"))</f>
        <v/>
      </c>
      <c r="J113" s="544" t="str">
        <f aca="false">IF(CALIBRACION!H119="","",IF(CALIBRACION!K119="","sí","no"))</f>
        <v/>
      </c>
      <c r="K113" s="545" t="str">
        <f aca="false">IF(CALIBRACION!L119="","",CALIBRACION!N119)</f>
        <v/>
      </c>
      <c r="M113" s="541" t="n">
        <f aca="false">A113</f>
        <v>108</v>
      </c>
      <c r="N113" s="546" t="e">
        <f aca="false">B113</f>
        <v>#VALUE!</v>
      </c>
      <c r="O113" s="547" t="str">
        <f aca="false">CALIBRACION!J119</f>
        <v/>
      </c>
      <c r="P113" s="542" t="str">
        <f aca="false">IF(D113="","",((D113*0.00003937008*1000000)))</f>
        <v/>
      </c>
      <c r="Q113" s="561" t="str">
        <f aca="false">IF(E113="","",((E113/25.4)))</f>
        <v/>
      </c>
      <c r="R113" s="542" t="str">
        <f aca="false">IF(F113="","",(F113*0.00003937008*1000000))</f>
        <v/>
      </c>
      <c r="S113" s="543" t="str">
        <f aca="false">IF(G113="","",((G113*0.00003937*1000000)))</f>
        <v/>
      </c>
      <c r="T113" s="543" t="e">
        <f aca="false">IF(H113="","",((H113*0.00003937*1000000)))</f>
        <v>#VALUE!</v>
      </c>
    </row>
    <row r="114" customFormat="false" ht="15.75" hidden="false" customHeight="false" outlineLevel="0" collapsed="false">
      <c r="A114" s="541" t="n">
        <f aca="false">IF(CALIBRACION!A120="","",+CALIBRACION!A120)</f>
        <v>109</v>
      </c>
      <c r="B114" s="542" t="e">
        <f aca="false">CALIBRACION!I120</f>
        <v>#VALUE!</v>
      </c>
      <c r="C114" s="542" t="str">
        <f aca="false">IF(CALIBRACION!H120="","",CALIBRACION!H120)</f>
        <v/>
      </c>
      <c r="D114" s="557" t="str">
        <f aca="false">IF(CALIBRACION!H120="","",CALIBRACION!Q120*1000)</f>
        <v/>
      </c>
      <c r="E114" s="560" t="str">
        <f aca="false">IF(CALIBRACION!H120="","",CALIBRACION!T120)</f>
        <v/>
      </c>
      <c r="F114" s="559" t="str">
        <f aca="false">IF(INCERTIDUMBRE!B137="","",INCERTIDUMBRE!AS137)</f>
        <v/>
      </c>
      <c r="G114" s="559" t="str">
        <f aca="false">IF(CALIBRACION!H120="","",CALIBRACION!L120)</f>
        <v/>
      </c>
      <c r="H114" s="559" t="e">
        <f aca="false">IF(CALIBRACION!I120="","",CALIBRACION!M120)</f>
        <v>#VALUE!</v>
      </c>
      <c r="I114" s="544" t="str">
        <f aca="false">IF(CALIBRACION!H120="","",IF(CALIBRACION!K120="","sí","no"))</f>
        <v/>
      </c>
      <c r="J114" s="544" t="str">
        <f aca="false">IF(CALIBRACION!H120="","",IF(CALIBRACION!K120="","sí","no"))</f>
        <v/>
      </c>
      <c r="K114" s="545" t="str">
        <f aca="false">IF(CALIBRACION!L120="","",CALIBRACION!N120)</f>
        <v/>
      </c>
      <c r="M114" s="541" t="n">
        <f aca="false">A114</f>
        <v>109</v>
      </c>
      <c r="N114" s="546" t="e">
        <f aca="false">B114</f>
        <v>#VALUE!</v>
      </c>
      <c r="O114" s="547" t="str">
        <f aca="false">CALIBRACION!J120</f>
        <v/>
      </c>
      <c r="P114" s="542" t="str">
        <f aca="false">IF(D114="","",((D114*0.00003937008*1000000)))</f>
        <v/>
      </c>
      <c r="Q114" s="561" t="str">
        <f aca="false">IF(E114="","",((E114/25.4)))</f>
        <v/>
      </c>
      <c r="R114" s="542" t="str">
        <f aca="false">IF(F114="","",(F114*0.00003937008*1000000))</f>
        <v/>
      </c>
      <c r="S114" s="543" t="str">
        <f aca="false">IF(G114="","",((G114*0.00003937*1000000)))</f>
        <v/>
      </c>
      <c r="T114" s="543" t="e">
        <f aca="false">IF(H114="","",((H114*0.00003937*1000000)))</f>
        <v>#VALUE!</v>
      </c>
    </row>
    <row r="115" customFormat="false" ht="15.75" hidden="false" customHeight="false" outlineLevel="0" collapsed="false">
      <c r="A115" s="541" t="n">
        <f aca="false">IF(CALIBRACION!A121="","",+CALIBRACION!A121)</f>
        <v>110</v>
      </c>
      <c r="B115" s="542" t="e">
        <f aca="false">CALIBRACION!I121</f>
        <v>#VALUE!</v>
      </c>
      <c r="C115" s="542" t="str">
        <f aca="false">IF(CALIBRACION!H121="","",CALIBRACION!H121)</f>
        <v/>
      </c>
      <c r="D115" s="557" t="str">
        <f aca="false">IF(CALIBRACION!H121="","",CALIBRACION!Q121*1000)</f>
        <v/>
      </c>
      <c r="E115" s="560" t="str">
        <f aca="false">IF(CALIBRACION!H121="","",CALIBRACION!T121)</f>
        <v/>
      </c>
      <c r="F115" s="559" t="str">
        <f aca="false">IF(INCERTIDUMBRE!B138="","",INCERTIDUMBRE!AS138)</f>
        <v/>
      </c>
      <c r="G115" s="559" t="str">
        <f aca="false">IF(CALIBRACION!H121="","",CALIBRACION!L121)</f>
        <v/>
      </c>
      <c r="H115" s="559" t="e">
        <f aca="false">IF(CALIBRACION!I121="","",CALIBRACION!M121)</f>
        <v>#VALUE!</v>
      </c>
      <c r="I115" s="544" t="str">
        <f aca="false">IF(CALIBRACION!H121="","",IF(CALIBRACION!K121="","sí","no"))</f>
        <v/>
      </c>
      <c r="J115" s="544" t="str">
        <f aca="false">IF(CALIBRACION!H121="","",IF(CALIBRACION!K121="","sí","no"))</f>
        <v/>
      </c>
      <c r="K115" s="545" t="str">
        <f aca="false">IF(CALIBRACION!L121="","",CALIBRACION!N121)</f>
        <v/>
      </c>
      <c r="M115" s="541" t="n">
        <f aca="false">A115</f>
        <v>110</v>
      </c>
      <c r="N115" s="546" t="e">
        <f aca="false">B115</f>
        <v>#VALUE!</v>
      </c>
      <c r="O115" s="547" t="str">
        <f aca="false">CALIBRACION!J121</f>
        <v/>
      </c>
      <c r="P115" s="542" t="str">
        <f aca="false">IF(D115="","",((D115*0.00003937008*1000000)))</f>
        <v/>
      </c>
      <c r="Q115" s="561" t="str">
        <f aca="false">IF(E115="","",((E115/25.4)))</f>
        <v/>
      </c>
      <c r="R115" s="542" t="str">
        <f aca="false">IF(F115="","",(F115*0.00003937008*1000000))</f>
        <v/>
      </c>
      <c r="S115" s="543" t="str">
        <f aca="false">IF(G115="","",((G115*0.00003937*1000000)))</f>
        <v/>
      </c>
      <c r="T115" s="543" t="e">
        <f aca="false">IF(H115="","",((H115*0.00003937*1000000)))</f>
        <v>#VALUE!</v>
      </c>
    </row>
    <row r="116" customFormat="false" ht="15.75" hidden="false" customHeight="false" outlineLevel="0" collapsed="false">
      <c r="A116" s="541" t="n">
        <f aca="false">IF(CALIBRACION!A122="","",+CALIBRACION!A122)</f>
        <v>111</v>
      </c>
      <c r="B116" s="542" t="e">
        <f aca="false">CALIBRACION!I122</f>
        <v>#VALUE!</v>
      </c>
      <c r="C116" s="542" t="str">
        <f aca="false">IF(CALIBRACION!H122="","",CALIBRACION!H122)</f>
        <v/>
      </c>
      <c r="D116" s="557" t="str">
        <f aca="false">IF(CALIBRACION!H122="","",CALIBRACION!Q122*1000)</f>
        <v/>
      </c>
      <c r="E116" s="560" t="str">
        <f aca="false">IF(CALIBRACION!H122="","",CALIBRACION!T122)</f>
        <v/>
      </c>
      <c r="F116" s="559" t="str">
        <f aca="false">IF(INCERTIDUMBRE!B139="","",INCERTIDUMBRE!AS139)</f>
        <v/>
      </c>
      <c r="G116" s="559" t="str">
        <f aca="false">IF(CALIBRACION!H122="","",CALIBRACION!L122)</f>
        <v/>
      </c>
      <c r="H116" s="559" t="e">
        <f aca="false">IF(CALIBRACION!I122="","",CALIBRACION!M122)</f>
        <v>#VALUE!</v>
      </c>
      <c r="I116" s="544" t="str">
        <f aca="false">IF(CALIBRACION!H122="","",IF(CALIBRACION!K122="","sí","no"))</f>
        <v/>
      </c>
      <c r="J116" s="544" t="str">
        <f aca="false">IF(CALIBRACION!H122="","",IF(CALIBRACION!K122="","sí","no"))</f>
        <v/>
      </c>
      <c r="K116" s="545" t="str">
        <f aca="false">IF(CALIBRACION!L122="","",CALIBRACION!N122)</f>
        <v/>
      </c>
      <c r="M116" s="541" t="n">
        <f aca="false">A116</f>
        <v>111</v>
      </c>
      <c r="N116" s="546" t="e">
        <f aca="false">B116</f>
        <v>#VALUE!</v>
      </c>
      <c r="O116" s="547" t="str">
        <f aca="false">CALIBRACION!J122</f>
        <v/>
      </c>
      <c r="P116" s="542" t="str">
        <f aca="false">IF(D116="","",((D116*0.00003937008*1000000)))</f>
        <v/>
      </c>
      <c r="Q116" s="561" t="str">
        <f aca="false">IF(E116="","",((E116/25.4)))</f>
        <v/>
      </c>
      <c r="R116" s="542" t="str">
        <f aca="false">IF(F116="","",(F116*0.00003937008*1000000))</f>
        <v/>
      </c>
      <c r="S116" s="543" t="str">
        <f aca="false">IF(G116="","",((G116*0.00003937*1000000)))</f>
        <v/>
      </c>
      <c r="T116" s="543" t="e">
        <f aca="false">IF(H116="","",((H116*0.00003937*1000000)))</f>
        <v>#VALUE!</v>
      </c>
    </row>
    <row r="117" customFormat="false" ht="15.75" hidden="false" customHeight="false" outlineLevel="0" collapsed="false">
      <c r="A117" s="541" t="n">
        <f aca="false">IF(CALIBRACION!A123="","",+CALIBRACION!A123)</f>
        <v>112</v>
      </c>
      <c r="B117" s="542" t="e">
        <f aca="false">CALIBRACION!I123</f>
        <v>#VALUE!</v>
      </c>
      <c r="C117" s="542" t="str">
        <f aca="false">IF(CALIBRACION!H123="","",CALIBRACION!H123)</f>
        <v/>
      </c>
      <c r="D117" s="557" t="str">
        <f aca="false">IF(CALIBRACION!H123="","",CALIBRACION!Q123*1000)</f>
        <v/>
      </c>
      <c r="E117" s="560" t="str">
        <f aca="false">IF(CALIBRACION!H123="","",CALIBRACION!T123)</f>
        <v/>
      </c>
      <c r="F117" s="559" t="str">
        <f aca="false">IF(INCERTIDUMBRE!B140="","",INCERTIDUMBRE!AS140)</f>
        <v/>
      </c>
      <c r="G117" s="559" t="str">
        <f aca="false">IF(CALIBRACION!H123="","",CALIBRACION!L123)</f>
        <v/>
      </c>
      <c r="H117" s="559" t="e">
        <f aca="false">IF(CALIBRACION!I123="","",CALIBRACION!M123)</f>
        <v>#VALUE!</v>
      </c>
      <c r="I117" s="544" t="str">
        <f aca="false">IF(CALIBRACION!H123="","",IF(CALIBRACION!K123="","sí","no"))</f>
        <v/>
      </c>
      <c r="J117" s="544" t="str">
        <f aca="false">IF(CALIBRACION!H123="","",IF(CALIBRACION!K123="","sí","no"))</f>
        <v/>
      </c>
      <c r="K117" s="545" t="str">
        <f aca="false">IF(CALIBRACION!L123="","",CALIBRACION!N123)</f>
        <v/>
      </c>
      <c r="M117" s="541" t="n">
        <f aca="false">A117</f>
        <v>112</v>
      </c>
      <c r="N117" s="546" t="e">
        <f aca="false">B117</f>
        <v>#VALUE!</v>
      </c>
      <c r="O117" s="547" t="str">
        <f aca="false">CALIBRACION!J123</f>
        <v/>
      </c>
      <c r="P117" s="542" t="str">
        <f aca="false">IF(D117="","",((D117*0.00003937008*1000000)))</f>
        <v/>
      </c>
      <c r="Q117" s="561" t="str">
        <f aca="false">IF(E117="","",((E117/25.4)))</f>
        <v/>
      </c>
      <c r="R117" s="542" t="str">
        <f aca="false">IF(F117="","",(F117*0.00003937008*1000000))</f>
        <v/>
      </c>
      <c r="S117" s="543" t="str">
        <f aca="false">IF(G117="","",((G117*0.00003937*1000000)))</f>
        <v/>
      </c>
      <c r="T117" s="543" t="e">
        <f aca="false">IF(H117="","",((H117*0.00003937*1000000)))</f>
        <v>#VALUE!</v>
      </c>
    </row>
  </sheetData>
  <mergeCells count="12"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  <mergeCell ref="J4:J5"/>
    <mergeCell ref="N4:N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N171"/>
  <sheetViews>
    <sheetView showFormulas="false" showGridLines="true" showRowColHeaders="true" showZeros="true" rightToLeft="false" tabSelected="false" showOutlineSymbols="true" defaultGridColor="true" view="normal" topLeftCell="I1" colorId="64" zoomScale="85" zoomScaleNormal="85" zoomScalePageLayoutView="100" workbookViewId="0">
      <selection pane="topLeft" activeCell="D19" activeCellId="0" sqref="D19"/>
    </sheetView>
  </sheetViews>
  <sheetFormatPr defaultColWidth="6.66796875" defaultRowHeight="12.75" zeroHeight="false" outlineLevelRow="0" outlineLevelCol="0"/>
  <cols>
    <col collapsed="false" customWidth="true" hidden="false" outlineLevel="0" max="1" min="1" style="81" width="7.5"/>
    <col collapsed="false" customWidth="true" hidden="false" outlineLevel="0" max="2" min="2" style="81" width="23"/>
    <col collapsed="false" customWidth="true" hidden="false" outlineLevel="0" max="3" min="3" style="81" width="20.67"/>
    <col collapsed="false" customWidth="true" hidden="false" outlineLevel="0" max="4" min="4" style="562" width="46.67"/>
    <col collapsed="false" customWidth="true" hidden="false" outlineLevel="0" max="5" min="5" style="563" width="23.67"/>
    <col collapsed="false" customWidth="true" hidden="false" outlineLevel="0" max="7" min="6" style="76" width="20.67"/>
    <col collapsed="false" customWidth="true" hidden="false" outlineLevel="0" max="8" min="8" style="76" width="37.66"/>
    <col collapsed="false" customWidth="true" hidden="false" outlineLevel="0" max="12" min="9" style="76" width="20.67"/>
    <col collapsed="false" customWidth="true" hidden="false" outlineLevel="0" max="13" min="13" style="76" width="34"/>
    <col collapsed="false" customWidth="true" hidden="false" outlineLevel="0" max="14" min="14" style="76" width="20.67"/>
    <col collapsed="false" customWidth="true" hidden="false" outlineLevel="0" max="15" min="15" style="76" width="15.67"/>
    <col collapsed="false" customWidth="true" hidden="false" outlineLevel="0" max="17" min="16" style="76" width="19.67"/>
    <col collapsed="false" customWidth="true" hidden="false" outlineLevel="0" max="18" min="18" style="76" width="27.5"/>
    <col collapsed="false" customWidth="true" hidden="false" outlineLevel="0" max="21" min="19" style="76" width="25.66"/>
    <col collapsed="false" customWidth="true" hidden="false" outlineLevel="0" max="22" min="22" style="76" width="28.67"/>
    <col collapsed="false" customWidth="true" hidden="false" outlineLevel="0" max="29" min="23" style="76" width="25.66"/>
    <col collapsed="false" customWidth="true" hidden="false" outlineLevel="0" max="42" min="30" style="564" width="25.66"/>
    <col collapsed="false" customWidth="true" hidden="false" outlineLevel="0" max="45" min="43" style="564" width="22.34"/>
    <col collapsed="false" customWidth="true" hidden="false" outlineLevel="0" max="60" min="46" style="564" width="20.67"/>
    <col collapsed="false" customWidth="true" hidden="false" outlineLevel="0" max="66" min="61" style="76" width="20.67"/>
    <col collapsed="false" customWidth="false" hidden="false" outlineLevel="0" max="16384" min="67" style="76" width="6.67"/>
  </cols>
  <sheetData>
    <row r="1" customFormat="false" ht="24.75" hidden="false" customHeight="true" outlineLevel="0" collapsed="false">
      <c r="C1" s="565" t="s">
        <v>626</v>
      </c>
      <c r="D1" s="565"/>
    </row>
    <row r="2" customFormat="false" ht="13.5" hidden="false" customHeight="false" outlineLevel="0" collapsed="false"/>
    <row r="3" customFormat="false" ht="27" hidden="false" customHeight="true" outlineLevel="0" collapsed="false">
      <c r="B3" s="566" t="s">
        <v>627</v>
      </c>
      <c r="C3" s="566"/>
      <c r="D3" s="566"/>
      <c r="E3" s="566"/>
      <c r="F3" s="567" t="s">
        <v>628</v>
      </c>
      <c r="G3" s="567" t="s">
        <v>629</v>
      </c>
      <c r="H3" s="567" t="s">
        <v>630</v>
      </c>
      <c r="R3" s="568"/>
      <c r="S3" s="568"/>
      <c r="AH3" s="568"/>
      <c r="AI3" s="568"/>
      <c r="AT3" s="569"/>
      <c r="AU3" s="569"/>
      <c r="AV3" s="569"/>
      <c r="AW3" s="569"/>
      <c r="AX3" s="569"/>
      <c r="AY3" s="569"/>
      <c r="AZ3" s="569"/>
      <c r="BA3" s="569"/>
      <c r="BC3" s="570"/>
      <c r="BD3" s="570"/>
      <c r="BF3" s="569"/>
      <c r="BG3" s="569"/>
      <c r="BH3" s="569"/>
      <c r="BI3" s="564"/>
      <c r="BJ3" s="570"/>
      <c r="BK3" s="570"/>
      <c r="BL3" s="564"/>
      <c r="BM3" s="571"/>
      <c r="BN3" s="564"/>
    </row>
    <row r="4" customFormat="false" ht="27" hidden="false" customHeight="true" outlineLevel="0" collapsed="false">
      <c r="B4" s="572" t="s">
        <v>631</v>
      </c>
      <c r="C4" s="573" t="s">
        <v>632</v>
      </c>
      <c r="D4" s="573"/>
      <c r="E4" s="573"/>
      <c r="F4" s="574" t="n">
        <v>0.001</v>
      </c>
      <c r="G4" s="575" t="str">
        <f aca="false">IF(B29="","",+F4/SQRT(12))</f>
        <v/>
      </c>
      <c r="H4" s="576" t="s">
        <v>45</v>
      </c>
      <c r="M4" s="577"/>
      <c r="N4" s="578"/>
      <c r="O4" s="578"/>
      <c r="P4" s="578"/>
      <c r="Q4" s="578"/>
      <c r="R4" s="578"/>
      <c r="S4" s="568"/>
      <c r="AH4" s="568"/>
      <c r="AI4" s="569"/>
      <c r="AW4" s="569"/>
      <c r="AX4" s="569"/>
      <c r="AY4" s="569"/>
      <c r="AZ4" s="569"/>
      <c r="BA4" s="569"/>
      <c r="BF4" s="569"/>
      <c r="BG4" s="569"/>
      <c r="BH4" s="569"/>
      <c r="BI4" s="564"/>
      <c r="BJ4" s="564"/>
      <c r="BK4" s="564"/>
      <c r="BL4" s="564"/>
      <c r="BM4" s="564"/>
      <c r="BN4" s="564"/>
    </row>
    <row r="5" customFormat="false" ht="27" hidden="false" customHeight="true" outlineLevel="0" collapsed="false">
      <c r="B5" s="579" t="s">
        <v>633</v>
      </c>
      <c r="C5" s="573" t="s">
        <v>634</v>
      </c>
      <c r="D5" s="573"/>
      <c r="E5" s="573"/>
      <c r="F5" s="580" t="n">
        <v>0.018</v>
      </c>
      <c r="G5" s="581" t="str">
        <f aca="false">IF(B29="","",+F5/2)</f>
        <v/>
      </c>
      <c r="H5" s="576" t="s">
        <v>45</v>
      </c>
      <c r="M5" s="582"/>
      <c r="N5" s="583" t="s">
        <v>635</v>
      </c>
      <c r="O5" s="583"/>
      <c r="P5" s="583"/>
      <c r="Q5" s="583"/>
      <c r="R5" s="583"/>
      <c r="S5" s="568"/>
      <c r="AH5" s="568"/>
      <c r="AI5" s="584"/>
      <c r="AW5" s="569"/>
      <c r="AX5" s="569"/>
      <c r="AY5" s="569"/>
      <c r="AZ5" s="569"/>
      <c r="BA5" s="569"/>
    </row>
    <row r="6" customFormat="false" ht="27" hidden="false" customHeight="true" outlineLevel="0" collapsed="false">
      <c r="B6" s="579" t="s">
        <v>633</v>
      </c>
      <c r="C6" s="573" t="s">
        <v>636</v>
      </c>
      <c r="D6" s="573"/>
      <c r="E6" s="573"/>
      <c r="F6" s="580" t="n">
        <v>0.018</v>
      </c>
      <c r="G6" s="581" t="str">
        <f aca="false">IF(B29="","",+F6/2)</f>
        <v/>
      </c>
      <c r="H6" s="576" t="s">
        <v>45</v>
      </c>
      <c r="M6" s="582"/>
      <c r="N6" s="585" t="s">
        <v>637</v>
      </c>
      <c r="O6" s="586" t="str">
        <f aca="false">'Coef. Expansión Térmica'!C3</f>
        <v>Acero</v>
      </c>
      <c r="P6" s="587" t="str">
        <f aca="false">'Coef. Expansión Térmica'!C7</f>
        <v>Carburo de Tungsteno</v>
      </c>
      <c r="Q6" s="587" t="str">
        <f aca="false">'Coef. Expansión Térmica'!C5</f>
        <v>Cerámica</v>
      </c>
      <c r="R6" s="588" t="str">
        <f aca="false">'Coef. Expansión Térmica'!C9</f>
        <v>Carburo de Cromo</v>
      </c>
      <c r="S6" s="564"/>
      <c r="AH6" s="568"/>
      <c r="AI6" s="584"/>
      <c r="AW6" s="569"/>
      <c r="AX6" s="569"/>
      <c r="AY6" s="569"/>
      <c r="AZ6" s="569"/>
      <c r="BA6" s="569"/>
    </row>
    <row r="7" customFormat="false" ht="27" hidden="false" customHeight="true" outlineLevel="0" collapsed="false">
      <c r="B7" s="579" t="s">
        <v>633</v>
      </c>
      <c r="C7" s="573" t="s">
        <v>638</v>
      </c>
      <c r="D7" s="573"/>
      <c r="E7" s="573"/>
      <c r="F7" s="580" t="n">
        <v>0.018</v>
      </c>
      <c r="G7" s="581" t="str">
        <f aca="false">IF(B29="","",+F7/2)</f>
        <v/>
      </c>
      <c r="H7" s="576" t="s">
        <v>45</v>
      </c>
      <c r="M7" s="589" t="s">
        <v>639</v>
      </c>
      <c r="N7" s="590" t="s">
        <v>474</v>
      </c>
      <c r="O7" s="591" t="n">
        <v>0</v>
      </c>
      <c r="P7" s="592" t="n">
        <f aca="false">+'DEFORMACION 1'!J34-'DEFORMACION 1'!N34</f>
        <v>-0.069049895332636</v>
      </c>
      <c r="Q7" s="592" t="n">
        <f aca="false">+'DEFORMACION 1'!Q34-'DEFORMACION 1'!N34</f>
        <v>-0.00197461726932252</v>
      </c>
      <c r="R7" s="593" t="n">
        <f aca="false">+'DEFORMACION 1'!K34-'DEFORMACION 1'!N34</f>
        <v>-0.0291303289582318</v>
      </c>
      <c r="S7" s="594" t="str">
        <f aca="false">N7</f>
        <v>Patrón en acero</v>
      </c>
      <c r="T7" s="594" t="e">
        <f aca="false">HLOOKUP('conversion datos'!#ref!,INCERTIDUMBRE!$N$6:$R$10,2,FALSE())</f>
        <v>#VALUE!</v>
      </c>
      <c r="AH7" s="568"/>
      <c r="AI7" s="584"/>
    </row>
    <row r="8" customFormat="false" ht="27" hidden="false" customHeight="true" outlineLevel="0" collapsed="false">
      <c r="B8" s="579" t="s">
        <v>640</v>
      </c>
      <c r="C8" s="573" t="s">
        <v>641</v>
      </c>
      <c r="D8" s="573"/>
      <c r="E8" s="573"/>
      <c r="F8" s="581" t="e">
        <f aca="false">CALIBRACION!AG130</f>
        <v>#VALUE!</v>
      </c>
      <c r="G8" s="595" t="str">
        <f aca="false">IF(B29="","",+(F8/2)/SQRT(3))</f>
        <v/>
      </c>
      <c r="H8" s="576" t="s">
        <v>45</v>
      </c>
      <c r="M8" s="596" t="e">
        <f aca="false">VLOOKUP('conversion datos'!$L$31,$S$7:$T$10,2,FALSE())</f>
        <v>#VALUE!</v>
      </c>
      <c r="N8" s="590" t="s">
        <v>642</v>
      </c>
      <c r="O8" s="597" t="n">
        <f aca="false">+'DEFORMACION 1'!N34-'DEFORMACION 1'!J34</f>
        <v>0.069049895332636</v>
      </c>
      <c r="P8" s="598" t="n">
        <v>0</v>
      </c>
      <c r="Q8" s="597" t="n">
        <f aca="false">+'DEFORMACION 1'!Q34-'DEFORMACION 1'!J34</f>
        <v>0.0670752780633135</v>
      </c>
      <c r="R8" s="599" t="n">
        <f aca="false">+'DEFORMACION 1'!K34-'DEFORMACION 1'!J34</f>
        <v>0.0399195663744042</v>
      </c>
      <c r="S8" s="594" t="str">
        <f aca="false">N8</f>
        <v>Patrón en Tungsteno</v>
      </c>
      <c r="T8" s="594" t="e">
        <f aca="false">HLOOKUP('conversion datos'!#ref!,INCERTIDUMBRE!$N$6:$R$10,3,FALSE())</f>
        <v>#VALUE!</v>
      </c>
      <c r="AH8" s="568"/>
      <c r="AI8" s="584"/>
    </row>
    <row r="9" customFormat="false" ht="27" hidden="false" customHeight="true" outlineLevel="0" collapsed="false">
      <c r="B9" s="600" t="s">
        <v>643</v>
      </c>
      <c r="C9" s="600"/>
      <c r="D9" s="600"/>
      <c r="E9" s="600"/>
      <c r="F9" s="600"/>
      <c r="G9" s="595" t="e">
        <f aca="false">SQRT(($G$4^2)+($G$7^2)+($G$8^2)+($G$5^2)+($G$6^2))</f>
        <v>#VALUE!</v>
      </c>
      <c r="H9" s="601" t="s">
        <v>45</v>
      </c>
      <c r="M9" s="602"/>
      <c r="N9" s="590" t="s">
        <v>644</v>
      </c>
      <c r="O9" s="603" t="n">
        <f aca="false">+'DEFORMACION 1'!N34-'DEFORMACION 1'!Q34</f>
        <v>0.00197461726932252</v>
      </c>
      <c r="P9" s="597" t="n">
        <f aca="false">+'DEFORMACION 1'!J34-'DEFORMACION 1'!Q34</f>
        <v>-0.0670752780633135</v>
      </c>
      <c r="Q9" s="604" t="n">
        <v>0</v>
      </c>
      <c r="R9" s="599" t="n">
        <f aca="false">+'DEFORMACION 1'!K34-'DEFORMACION 1'!Q34</f>
        <v>-0.0271557116889093</v>
      </c>
      <c r="S9" s="594" t="str">
        <f aca="false">N9</f>
        <v>Patrón en cerámica</v>
      </c>
      <c r="T9" s="594" t="e">
        <f aca="false">HLOOKUP('conversion datos'!#ref!,INCERTIDUMBRE!$N$6:$R$10,4,FALSE())</f>
        <v>#VALUE!</v>
      </c>
      <c r="AH9" s="568"/>
      <c r="AI9" s="584"/>
    </row>
    <row r="10" customFormat="false" ht="27" hidden="false" customHeight="true" outlineLevel="0" collapsed="false">
      <c r="G10" s="605" t="n">
        <v>1</v>
      </c>
      <c r="M10" s="602"/>
      <c r="N10" s="606" t="s">
        <v>645</v>
      </c>
      <c r="O10" s="607" t="n">
        <f aca="false">+'DEFORMACION 1'!N34-'DEFORMACION 1'!K34</f>
        <v>0.0291303289582318</v>
      </c>
      <c r="P10" s="607" t="n">
        <f aca="false">+'DEFORMACION 1'!J34-'DEFORMACION 1'!K34</f>
        <v>-0.0399195663744042</v>
      </c>
      <c r="Q10" s="607" t="n">
        <f aca="false">+'DEFORMACION 1'!Q34-'DEFORMACION 1'!K34</f>
        <v>0.0271557116889093</v>
      </c>
      <c r="R10" s="608" t="n">
        <v>0</v>
      </c>
      <c r="S10" s="594" t="str">
        <f aca="false">N10</f>
        <v>Patrón en cromo</v>
      </c>
      <c r="T10" s="594" t="e">
        <f aca="false">HLOOKUP('conversion datos'!#ref!,INCERTIDUMBRE!$N$6:$R$10,5,FALSE())</f>
        <v>#VALUE!</v>
      </c>
      <c r="AH10" s="568"/>
      <c r="AI10" s="584"/>
      <c r="AW10" s="609"/>
      <c r="AX10" s="609"/>
      <c r="AY10" s="609"/>
      <c r="AZ10" s="609"/>
      <c r="BA10" s="609"/>
      <c r="BB10" s="610"/>
      <c r="BC10" s="610"/>
      <c r="BD10" s="610"/>
      <c r="BE10" s="610"/>
    </row>
    <row r="11" customFormat="false" ht="27" hidden="false" customHeight="true" outlineLevel="0" collapsed="false">
      <c r="B11" s="566" t="s">
        <v>646</v>
      </c>
      <c r="C11" s="566"/>
      <c r="D11" s="566"/>
      <c r="E11" s="566"/>
      <c r="F11" s="567" t="s">
        <v>628</v>
      </c>
      <c r="G11" s="567" t="s">
        <v>629</v>
      </c>
      <c r="H11" s="567" t="s">
        <v>630</v>
      </c>
      <c r="M11" s="582"/>
      <c r="N11" s="611"/>
      <c r="O11" s="611"/>
      <c r="P11" s="611"/>
      <c r="Q11" s="611"/>
      <c r="R11" s="611"/>
      <c r="S11" s="568"/>
      <c r="AH11" s="568"/>
      <c r="AI11" s="584"/>
      <c r="AW11" s="609"/>
      <c r="AX11" s="609"/>
      <c r="AY11" s="609"/>
      <c r="AZ11" s="609"/>
      <c r="BA11" s="609"/>
      <c r="BB11" s="612"/>
      <c r="BC11" s="612"/>
      <c r="BD11" s="612"/>
      <c r="BE11" s="612"/>
    </row>
    <row r="12" customFormat="false" ht="27" hidden="false" customHeight="true" outlineLevel="0" collapsed="false">
      <c r="B12" s="579" t="s">
        <v>647</v>
      </c>
      <c r="C12" s="613" t="s">
        <v>648</v>
      </c>
      <c r="D12" s="614"/>
      <c r="E12" s="615"/>
      <c r="F12" s="616" t="n">
        <f aca="false">INFORMACION!H61</f>
        <v>9.7E-006</v>
      </c>
      <c r="G12" s="617" t="str">
        <f aca="false">IF(B29="","",+(F12*0.1)/SQRT(3))</f>
        <v/>
      </c>
      <c r="H12" s="618" t="s">
        <v>649</v>
      </c>
      <c r="M12" s="582"/>
      <c r="N12" s="583" t="s">
        <v>650</v>
      </c>
      <c r="O12" s="583"/>
      <c r="P12" s="583"/>
      <c r="Q12" s="583"/>
      <c r="R12" s="583"/>
      <c r="S12" s="568"/>
      <c r="AH12" s="568"/>
      <c r="AI12" s="584"/>
      <c r="AW12" s="609"/>
      <c r="AX12" s="609"/>
      <c r="AY12" s="609"/>
      <c r="AZ12" s="609"/>
      <c r="BA12" s="609"/>
      <c r="BB12" s="619"/>
      <c r="BC12" s="619"/>
      <c r="BD12" s="619"/>
      <c r="BE12" s="619"/>
    </row>
    <row r="13" customFormat="false" ht="27" hidden="false" customHeight="true" outlineLevel="0" collapsed="false">
      <c r="B13" s="620" t="s">
        <v>651</v>
      </c>
      <c r="C13" s="613" t="s">
        <v>652</v>
      </c>
      <c r="D13" s="614"/>
      <c r="E13" s="615"/>
      <c r="F13" s="621" t="n">
        <f aca="false">+INFORMACION!D38</f>
        <v>9.3E-006</v>
      </c>
      <c r="G13" s="617" t="str">
        <f aca="false">IF(B29="","",+(F13*0.1)/SQRT(3))</f>
        <v/>
      </c>
      <c r="H13" s="618" t="s">
        <v>649</v>
      </c>
      <c r="J13" s="113"/>
      <c r="M13" s="582"/>
      <c r="N13" s="622" t="s">
        <v>637</v>
      </c>
      <c r="O13" s="586" t="str">
        <f aca="false">O6</f>
        <v>Acero</v>
      </c>
      <c r="P13" s="587" t="str">
        <f aca="false">P6</f>
        <v>Carburo de Tungsteno</v>
      </c>
      <c r="Q13" s="587" t="str">
        <f aca="false">Q6</f>
        <v>Cerámica</v>
      </c>
      <c r="R13" s="588" t="str">
        <f aca="false">R6</f>
        <v>Carburo de Cromo</v>
      </c>
      <c r="S13" s="568"/>
      <c r="AH13" s="568"/>
      <c r="AI13" s="584"/>
      <c r="AW13" s="609"/>
      <c r="AX13" s="609"/>
      <c r="AY13" s="609"/>
      <c r="AZ13" s="609"/>
      <c r="BA13" s="609"/>
      <c r="BB13" s="619"/>
      <c r="BC13" s="619"/>
      <c r="BD13" s="619"/>
      <c r="BE13" s="619"/>
      <c r="BF13" s="623"/>
      <c r="BI13" s="564"/>
      <c r="BJ13" s="564"/>
      <c r="BK13" s="564"/>
      <c r="BL13" s="564"/>
      <c r="BM13" s="564"/>
      <c r="BN13" s="564"/>
    </row>
    <row r="14" customFormat="false" ht="27" hidden="false" customHeight="true" outlineLevel="0" collapsed="false">
      <c r="B14" s="579" t="s">
        <v>640</v>
      </c>
      <c r="C14" s="613" t="s">
        <v>653</v>
      </c>
      <c r="D14" s="614"/>
      <c r="E14" s="615"/>
      <c r="F14" s="581" t="n">
        <f aca="false">CALIBRACION!AG127</f>
        <v>0</v>
      </c>
      <c r="G14" s="595" t="str">
        <f aca="false">IF(B29="","",+(F14)/SQRT(3))</f>
        <v/>
      </c>
      <c r="H14" s="601" t="s">
        <v>45</v>
      </c>
      <c r="M14" s="624" t="s">
        <v>654</v>
      </c>
      <c r="N14" s="590" t="s">
        <v>474</v>
      </c>
      <c r="O14" s="625" t="n">
        <v>6.44898700855672E-005</v>
      </c>
      <c r="P14" s="625" t="n">
        <v>4.613347056538E-005</v>
      </c>
      <c r="Q14" s="625" t="n">
        <v>6.4063E-005</v>
      </c>
      <c r="R14" s="626" t="n">
        <v>5.556E-005</v>
      </c>
      <c r="S14" s="594" t="str">
        <f aca="false">N14</f>
        <v>Patrón en acero</v>
      </c>
      <c r="T14" s="594" t="e">
        <f aca="false">HLOOKUP('conversion datos'!#ref!,INCERTIDUMBRE!$N$13:$R$17,2,FALSE())</f>
        <v>#VALUE!</v>
      </c>
      <c r="V14" s="627" t="s">
        <v>497</v>
      </c>
      <c r="AH14" s="568"/>
      <c r="AI14" s="584"/>
      <c r="AW14" s="609"/>
      <c r="AX14" s="609"/>
      <c r="AY14" s="609"/>
      <c r="AZ14" s="609"/>
      <c r="BA14" s="609"/>
      <c r="BB14" s="628"/>
      <c r="BC14" s="628"/>
      <c r="BD14" s="628"/>
      <c r="BE14" s="628"/>
      <c r="BF14" s="629"/>
      <c r="BI14" s="564"/>
      <c r="BJ14" s="564"/>
      <c r="BK14" s="564"/>
      <c r="BL14" s="564"/>
      <c r="BM14" s="564"/>
      <c r="BN14" s="564"/>
    </row>
    <row r="15" customFormat="false" ht="27" hidden="false" customHeight="true" outlineLevel="0" collapsed="false">
      <c r="B15" s="579" t="s">
        <v>655</v>
      </c>
      <c r="C15" s="613" t="s">
        <v>656</v>
      </c>
      <c r="D15" s="614"/>
      <c r="E15" s="615"/>
      <c r="F15" s="630" t="s">
        <v>657</v>
      </c>
      <c r="G15" s="631" t="e">
        <f aca="false">+(($G$12))*($G$9)</f>
        <v>#VALUE!</v>
      </c>
      <c r="H15" s="601" t="s">
        <v>658</v>
      </c>
      <c r="M15" s="632" t="e">
        <f aca="false">VLOOKUP('conversion datos'!$L$31,$S$14:$T$17,2,FALSE())</f>
        <v>#VALUE!</v>
      </c>
      <c r="N15" s="590" t="s">
        <v>642</v>
      </c>
      <c r="O15" s="633" t="n">
        <v>4.613347056538E-005</v>
      </c>
      <c r="P15" s="633" t="n">
        <v>2.77770710451928E-005</v>
      </c>
      <c r="Q15" s="633" t="n">
        <v>4.57066405108009E-005</v>
      </c>
      <c r="R15" s="634" t="n">
        <v>3.7203843168165E-005</v>
      </c>
      <c r="S15" s="594" t="str">
        <f aca="false">N15</f>
        <v>Patrón en Tungsteno</v>
      </c>
      <c r="T15" s="594" t="e">
        <f aca="false">HLOOKUP('conversion datos'!#ref!,INCERTIDUMBRE!$N$13:$R$17,3,FALSE())</f>
        <v>#VALUE!</v>
      </c>
      <c r="V15" s="635" t="s">
        <v>659</v>
      </c>
      <c r="AH15" s="568"/>
      <c r="AI15" s="584"/>
      <c r="AW15" s="609"/>
      <c r="AX15" s="609"/>
      <c r="AY15" s="609"/>
      <c r="AZ15" s="609"/>
      <c r="BA15" s="609"/>
      <c r="BB15" s="636"/>
      <c r="BC15" s="636"/>
      <c r="BD15" s="636"/>
      <c r="BE15" s="636"/>
      <c r="BF15" s="609"/>
      <c r="BL15" s="637"/>
      <c r="BM15" s="637"/>
      <c r="BN15" s="564"/>
    </row>
    <row r="16" customFormat="false" ht="27" hidden="false" customHeight="true" outlineLevel="0" collapsed="false">
      <c r="B16" s="579" t="s">
        <v>655</v>
      </c>
      <c r="C16" s="613" t="s">
        <v>660</v>
      </c>
      <c r="D16" s="614"/>
      <c r="E16" s="615"/>
      <c r="F16" s="630" t="s">
        <v>661</v>
      </c>
      <c r="G16" s="631" t="e">
        <f aca="false">+(($G$13))*($G$9)</f>
        <v>#VALUE!</v>
      </c>
      <c r="H16" s="601" t="s">
        <v>658</v>
      </c>
      <c r="M16" s="624" t="s">
        <v>662</v>
      </c>
      <c r="N16" s="590" t="s">
        <v>644</v>
      </c>
      <c r="O16" s="633" t="n">
        <v>6.40630400309881E-005</v>
      </c>
      <c r="P16" s="633" t="n">
        <v>4.57066405108009E-005</v>
      </c>
      <c r="Q16" s="633" t="n">
        <v>6.3636209976409E-005</v>
      </c>
      <c r="R16" s="634" t="n">
        <v>5.51334126337731E-005</v>
      </c>
      <c r="S16" s="594" t="str">
        <f aca="false">N16</f>
        <v>Patrón en cerámica</v>
      </c>
      <c r="T16" s="594" t="e">
        <f aca="false">HLOOKUP('conversion datos'!#ref!,INCERTIDUMBRE!$N$13:$R$17,4,FALSE())</f>
        <v>#VALUE!</v>
      </c>
      <c r="V16" s="635" t="s">
        <v>663</v>
      </c>
      <c r="AH16" s="568"/>
      <c r="AI16" s="584"/>
      <c r="AW16" s="609"/>
      <c r="AX16" s="609"/>
      <c r="AY16" s="609"/>
      <c r="AZ16" s="609"/>
      <c r="BA16" s="609"/>
      <c r="BL16" s="564"/>
      <c r="BM16" s="564"/>
      <c r="BN16" s="564"/>
    </row>
    <row r="17" customFormat="false" ht="27" hidden="false" customHeight="true" outlineLevel="0" collapsed="false">
      <c r="B17" s="579" t="s">
        <v>655</v>
      </c>
      <c r="C17" s="613" t="s">
        <v>664</v>
      </c>
      <c r="D17" s="614"/>
      <c r="E17" s="615"/>
      <c r="F17" s="630" t="s">
        <v>665</v>
      </c>
      <c r="G17" s="631" t="e">
        <f aca="false">+(($G$13))*($G$14)</f>
        <v>#VALUE!</v>
      </c>
      <c r="H17" s="601" t="s">
        <v>658</v>
      </c>
      <c r="M17" s="632" t="e">
        <f aca="false">M15/1000</f>
        <v>#VALUE!</v>
      </c>
      <c r="N17" s="606" t="s">
        <v>645</v>
      </c>
      <c r="O17" s="638" t="n">
        <v>5.55602426883522E-005</v>
      </c>
      <c r="P17" s="638" t="n">
        <v>3.7203843168165E-005</v>
      </c>
      <c r="Q17" s="638" t="n">
        <v>5.51334126337731E-005</v>
      </c>
      <c r="R17" s="639" t="n">
        <v>4.66306152911372E-005</v>
      </c>
      <c r="S17" s="594" t="str">
        <f aca="false">N17</f>
        <v>Patrón en cromo</v>
      </c>
      <c r="T17" s="594" t="e">
        <f aca="false">HLOOKUP('conversion datos'!#ref!,INCERTIDUMBRE!$N$13:$R$17,5,FALSE())</f>
        <v>#VALUE!</v>
      </c>
      <c r="V17" s="635" t="s">
        <v>460</v>
      </c>
      <c r="AH17" s="568"/>
      <c r="AI17" s="584"/>
      <c r="AW17" s="609"/>
      <c r="AX17" s="609"/>
      <c r="AY17" s="609"/>
      <c r="AZ17" s="609"/>
      <c r="BA17" s="609"/>
      <c r="BL17" s="564"/>
      <c r="BM17" s="564"/>
      <c r="BN17" s="564"/>
    </row>
    <row r="18" customFormat="false" ht="27" hidden="false" customHeight="true" outlineLevel="0" collapsed="false">
      <c r="B18" s="76"/>
      <c r="C18" s="76"/>
      <c r="D18" s="76"/>
      <c r="E18" s="76"/>
      <c r="M18" s="539"/>
      <c r="N18" s="640"/>
      <c r="O18" s="640"/>
      <c r="P18" s="640"/>
      <c r="Q18" s="640"/>
      <c r="R18" s="300"/>
      <c r="S18" s="568"/>
      <c r="AH18" s="568"/>
      <c r="AI18" s="584"/>
      <c r="AW18" s="609"/>
      <c r="AX18" s="609"/>
      <c r="AY18" s="609"/>
      <c r="AZ18" s="609"/>
      <c r="BA18" s="609"/>
      <c r="BL18" s="564"/>
      <c r="BM18" s="564"/>
      <c r="BN18" s="564"/>
    </row>
    <row r="19" customFormat="false" ht="27" hidden="false" customHeight="true" outlineLevel="0" collapsed="false">
      <c r="B19" s="641" t="s">
        <v>666</v>
      </c>
      <c r="C19" s="641"/>
      <c r="D19" s="641"/>
      <c r="E19" s="641"/>
      <c r="F19" s="642" t="s">
        <v>667</v>
      </c>
      <c r="G19" s="643" t="s">
        <v>630</v>
      </c>
      <c r="M19" s="564"/>
      <c r="N19" s="564"/>
      <c r="O19" s="564"/>
      <c r="P19" s="564"/>
      <c r="Q19" s="564"/>
      <c r="R19" s="564"/>
      <c r="S19" s="564"/>
      <c r="AH19" s="568"/>
      <c r="AW19" s="609"/>
      <c r="AX19" s="609"/>
      <c r="AY19" s="609"/>
      <c r="AZ19" s="609"/>
      <c r="BA19" s="609"/>
      <c r="BL19" s="564"/>
      <c r="BM19" s="564"/>
      <c r="BN19" s="564"/>
    </row>
    <row r="20" customFormat="false" ht="27" hidden="false" customHeight="true" outlineLevel="0" collapsed="false">
      <c r="B20" s="644" t="s">
        <v>668</v>
      </c>
      <c r="C20" s="645" t="s">
        <v>669</v>
      </c>
      <c r="D20" s="645"/>
      <c r="E20" s="645"/>
      <c r="F20" s="646" t="n">
        <v>0.008</v>
      </c>
      <c r="G20" s="646" t="s">
        <v>0</v>
      </c>
      <c r="I20" s="76" t="e">
        <f aca="false">IF('conversion datos'!$L$30='Patrones LACOMET'!$D$3,VLOOKUP(B29,'BLOQUES PATRON (pulg) '!$S$5:$Z$86,7,FALSE()),IF('conversion datos'!$L$30='Patrones LACOMET'!$D$4,VLOOKUP(B29,'BLOQUES PATRON (mm)'!$O$5:$U$126,7,FALSE()),"No existe el patrón"))</f>
        <v>#N/A</v>
      </c>
      <c r="L20" s="647"/>
      <c r="M20" s="647"/>
      <c r="N20" s="647"/>
      <c r="O20" s="647"/>
      <c r="P20" s="647"/>
      <c r="Q20" s="647"/>
      <c r="R20" s="647"/>
      <c r="S20" s="647"/>
      <c r="U20" s="648"/>
      <c r="AH20" s="647"/>
      <c r="AI20" s="647"/>
      <c r="AQ20" s="649"/>
      <c r="AT20" s="609"/>
      <c r="AU20" s="609"/>
      <c r="AV20" s="609"/>
      <c r="AW20" s="609"/>
      <c r="AX20" s="609"/>
      <c r="AY20" s="609"/>
      <c r="AZ20" s="609"/>
      <c r="BA20" s="609"/>
      <c r="BF20" s="76"/>
      <c r="BL20" s="564"/>
      <c r="BM20" s="564"/>
      <c r="BN20" s="564"/>
    </row>
    <row r="21" customFormat="false" ht="27" hidden="false" customHeight="true" outlineLevel="0" collapsed="false">
      <c r="B21" s="644" t="s">
        <v>670</v>
      </c>
      <c r="C21" s="645" t="s">
        <v>671</v>
      </c>
      <c r="D21" s="645"/>
      <c r="E21" s="645"/>
      <c r="F21" s="646" t="n">
        <v>0.026</v>
      </c>
      <c r="G21" s="646" t="s">
        <v>0</v>
      </c>
      <c r="U21" s="648"/>
      <c r="V21" s="647"/>
      <c r="W21" s="650"/>
      <c r="X21" s="647"/>
      <c r="Y21" s="647"/>
      <c r="Z21" s="647"/>
      <c r="AA21" s="647"/>
      <c r="AB21" s="647"/>
      <c r="AC21" s="647"/>
      <c r="AD21" s="647"/>
      <c r="AE21" s="647"/>
      <c r="AF21" s="647"/>
      <c r="AG21" s="647"/>
      <c r="AH21" s="647"/>
      <c r="AI21" s="651"/>
      <c r="AQ21" s="647"/>
      <c r="AT21" s="609"/>
      <c r="AU21" s="609"/>
      <c r="AV21" s="609"/>
      <c r="AW21" s="609"/>
      <c r="AX21" s="609"/>
      <c r="AY21" s="609"/>
      <c r="AZ21" s="609"/>
      <c r="BA21" s="609"/>
      <c r="BF21" s="76"/>
      <c r="BL21" s="564"/>
      <c r="BM21" s="564"/>
      <c r="BN21" s="564"/>
    </row>
    <row r="22" customFormat="false" ht="27" hidden="false" customHeight="true" outlineLevel="0" collapsed="false">
      <c r="B22" s="644" t="s">
        <v>672</v>
      </c>
      <c r="C22" s="645" t="s">
        <v>673</v>
      </c>
      <c r="D22" s="645"/>
      <c r="E22" s="645"/>
      <c r="F22" s="646" t="n">
        <v>0.01</v>
      </c>
      <c r="G22" s="646" t="s">
        <v>0</v>
      </c>
      <c r="U22" s="648"/>
      <c r="V22" s="647"/>
      <c r="W22" s="647"/>
      <c r="X22" s="652"/>
      <c r="Y22" s="652"/>
      <c r="Z22" s="652"/>
      <c r="AA22" s="652"/>
      <c r="AB22" s="652"/>
      <c r="AC22" s="652"/>
      <c r="AD22" s="647"/>
      <c r="AE22" s="647"/>
      <c r="AF22" s="647"/>
      <c r="AG22" s="647"/>
      <c r="AH22" s="647"/>
      <c r="AI22" s="647"/>
      <c r="AQ22" s="647"/>
      <c r="AT22" s="609"/>
      <c r="AU22" s="609"/>
      <c r="AV22" s="609"/>
      <c r="AW22" s="609"/>
      <c r="AX22" s="609"/>
      <c r="AY22" s="609"/>
      <c r="AZ22" s="609"/>
      <c r="BA22" s="609"/>
      <c r="BF22" s="76"/>
      <c r="BL22" s="564"/>
      <c r="BM22" s="564"/>
      <c r="BN22" s="564"/>
    </row>
    <row r="23" customFormat="false" ht="27" hidden="false" customHeight="true" outlineLevel="0" collapsed="false">
      <c r="B23" s="644" t="s">
        <v>674</v>
      </c>
      <c r="C23" s="653" t="s">
        <v>675</v>
      </c>
      <c r="D23" s="653"/>
      <c r="E23" s="653"/>
      <c r="F23" s="654" t="n">
        <v>0.005</v>
      </c>
      <c r="G23" s="654" t="s">
        <v>0</v>
      </c>
      <c r="I23" s="80"/>
      <c r="U23" s="648"/>
      <c r="V23" s="647"/>
      <c r="W23" s="647"/>
      <c r="X23" s="651"/>
      <c r="Y23" s="651"/>
      <c r="Z23" s="651"/>
      <c r="AA23" s="651"/>
      <c r="AB23" s="651"/>
      <c r="AC23" s="647"/>
      <c r="AD23" s="647"/>
      <c r="AE23" s="647"/>
      <c r="AF23" s="647"/>
      <c r="AG23" s="647"/>
      <c r="AH23" s="647"/>
      <c r="AI23" s="647"/>
      <c r="AQ23" s="647"/>
      <c r="AT23" s="609"/>
      <c r="AU23" s="609"/>
      <c r="AV23" s="609"/>
      <c r="AW23" s="609"/>
      <c r="AX23" s="609"/>
      <c r="AY23" s="609"/>
      <c r="AZ23" s="609"/>
      <c r="BA23" s="609"/>
      <c r="BF23" s="76"/>
      <c r="BL23" s="564"/>
      <c r="BM23" s="564"/>
      <c r="BN23" s="564"/>
    </row>
    <row r="24" s="655" customFormat="true" ht="24.75" hidden="false" customHeight="true" outlineLevel="0" collapsed="false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BD24" s="81"/>
    </row>
    <row r="25" s="656" customFormat="true" ht="39.75" hidden="false" customHeight="true" outlineLevel="0" collapsed="false">
      <c r="B25" s="657" t="s">
        <v>676</v>
      </c>
      <c r="C25" s="658" t="s">
        <v>677</v>
      </c>
      <c r="D25" s="658"/>
      <c r="E25" s="658"/>
      <c r="F25" s="658"/>
      <c r="G25" s="658"/>
      <c r="H25" s="659" t="s">
        <v>678</v>
      </c>
      <c r="I25" s="659"/>
      <c r="J25" s="659"/>
      <c r="K25" s="659"/>
      <c r="L25" s="660" t="s">
        <v>679</v>
      </c>
      <c r="M25" s="660"/>
      <c r="N25" s="660"/>
      <c r="O25" s="660"/>
      <c r="P25" s="660"/>
      <c r="Q25" s="660"/>
      <c r="R25" s="661" t="s">
        <v>680</v>
      </c>
      <c r="S25" s="661"/>
      <c r="T25" s="661"/>
      <c r="U25" s="661"/>
      <c r="V25" s="662" t="s">
        <v>681</v>
      </c>
      <c r="W25" s="662"/>
      <c r="X25" s="662"/>
      <c r="Y25" s="662"/>
      <c r="Z25" s="662"/>
      <c r="AA25" s="662"/>
      <c r="AB25" s="662"/>
      <c r="AC25" s="663" t="s">
        <v>682</v>
      </c>
      <c r="AD25" s="663"/>
      <c r="AE25" s="663"/>
      <c r="AF25" s="663"/>
      <c r="AG25" s="663"/>
      <c r="AH25" s="663"/>
      <c r="AI25" s="663"/>
      <c r="AJ25" s="663"/>
      <c r="AK25" s="663"/>
      <c r="AL25" s="663"/>
      <c r="AM25" s="663"/>
      <c r="AN25" s="663"/>
      <c r="AO25" s="663"/>
      <c r="AP25" s="663"/>
      <c r="AQ25" s="664"/>
      <c r="AR25" s="664"/>
      <c r="AS25" s="664"/>
      <c r="AT25" s="664"/>
    </row>
    <row r="26" s="655" customFormat="true" ht="19.5" hidden="false" customHeight="true" outlineLevel="0" collapsed="false">
      <c r="B26" s="657"/>
      <c r="C26" s="657" t="s">
        <v>683</v>
      </c>
      <c r="D26" s="657" t="str">
        <f aca="false">C21</f>
        <v>TESA Máxima diferencia entre los valores MI-Mm (Correcciones No aplicadas)</v>
      </c>
      <c r="E26" s="657" t="s">
        <v>684</v>
      </c>
      <c r="F26" s="657" t="s">
        <v>685</v>
      </c>
      <c r="G26" s="657" t="s">
        <v>686</v>
      </c>
      <c r="H26" s="657" t="s">
        <v>687</v>
      </c>
      <c r="I26" s="665" t="s">
        <v>688</v>
      </c>
      <c r="J26" s="657" t="s">
        <v>689</v>
      </c>
      <c r="K26" s="657" t="s">
        <v>690</v>
      </c>
      <c r="L26" s="657" t="s">
        <v>691</v>
      </c>
      <c r="M26" s="657" t="s">
        <v>692</v>
      </c>
      <c r="N26" s="657" t="s">
        <v>693</v>
      </c>
      <c r="O26" s="657" t="s">
        <v>694</v>
      </c>
      <c r="P26" s="657" t="s">
        <v>695</v>
      </c>
      <c r="Q26" s="657" t="s">
        <v>696</v>
      </c>
      <c r="R26" s="657" t="s">
        <v>697</v>
      </c>
      <c r="S26" s="657" t="s">
        <v>698</v>
      </c>
      <c r="T26" s="657" t="s">
        <v>699</v>
      </c>
      <c r="U26" s="657" t="s">
        <v>700</v>
      </c>
      <c r="V26" s="657" t="s">
        <v>701</v>
      </c>
      <c r="W26" s="657" t="s">
        <v>702</v>
      </c>
      <c r="X26" s="657" t="s">
        <v>703</v>
      </c>
      <c r="Y26" s="657" t="s">
        <v>704</v>
      </c>
      <c r="Z26" s="657" t="s">
        <v>705</v>
      </c>
      <c r="AA26" s="657" t="s">
        <v>706</v>
      </c>
      <c r="AB26" s="657" t="s">
        <v>707</v>
      </c>
      <c r="AC26" s="657" t="s">
        <v>708</v>
      </c>
      <c r="AD26" s="657" t="s">
        <v>709</v>
      </c>
      <c r="AE26" s="657" t="s">
        <v>710</v>
      </c>
      <c r="AF26" s="657" t="s">
        <v>711</v>
      </c>
      <c r="AG26" s="657" t="s">
        <v>712</v>
      </c>
      <c r="AH26" s="657" t="s">
        <v>713</v>
      </c>
      <c r="AI26" s="657" t="s">
        <v>714</v>
      </c>
      <c r="AJ26" s="666" t="s">
        <v>715</v>
      </c>
      <c r="AK26" s="666"/>
      <c r="AL26" s="666"/>
      <c r="AM26" s="666"/>
      <c r="AN26" s="666"/>
      <c r="AO26" s="666"/>
      <c r="AP26" s="666"/>
      <c r="AQ26" s="667" t="s">
        <v>716</v>
      </c>
      <c r="AR26" s="667" t="s">
        <v>717</v>
      </c>
      <c r="AS26" s="667" t="s">
        <v>717</v>
      </c>
      <c r="AT26" s="667" t="s">
        <v>717</v>
      </c>
      <c r="BF26" s="564"/>
      <c r="BG26" s="564"/>
      <c r="BH26" s="564"/>
      <c r="BI26" s="564"/>
      <c r="BJ26" s="564"/>
      <c r="BK26" s="564"/>
      <c r="BL26" s="564"/>
    </row>
    <row r="27" s="655" customFormat="true" ht="54" hidden="false" customHeight="true" outlineLevel="0" collapsed="false">
      <c r="B27" s="657"/>
      <c r="C27" s="657" t="s">
        <v>683</v>
      </c>
      <c r="D27" s="657"/>
      <c r="E27" s="657"/>
      <c r="F27" s="657"/>
      <c r="G27" s="657" t="s">
        <v>718</v>
      </c>
      <c r="H27" s="657"/>
      <c r="I27" s="665"/>
      <c r="J27" s="657" t="s">
        <v>719</v>
      </c>
      <c r="K27" s="657" t="s">
        <v>719</v>
      </c>
      <c r="L27" s="657" t="s">
        <v>720</v>
      </c>
      <c r="M27" s="657" t="s">
        <v>720</v>
      </c>
      <c r="N27" s="657" t="s">
        <v>720</v>
      </c>
      <c r="O27" s="657" t="s">
        <v>720</v>
      </c>
      <c r="P27" s="657" t="s">
        <v>721</v>
      </c>
      <c r="Q27" s="657"/>
      <c r="R27" s="657"/>
      <c r="S27" s="657"/>
      <c r="T27" s="657"/>
      <c r="U27" s="657"/>
      <c r="V27" s="657"/>
      <c r="W27" s="657"/>
      <c r="X27" s="657"/>
      <c r="Y27" s="657"/>
      <c r="Z27" s="657"/>
      <c r="AA27" s="657"/>
      <c r="AB27" s="657"/>
      <c r="AC27" s="657"/>
      <c r="AD27" s="657"/>
      <c r="AE27" s="657"/>
      <c r="AF27" s="657"/>
      <c r="AG27" s="657"/>
      <c r="AH27" s="657"/>
      <c r="AI27" s="657"/>
      <c r="AJ27" s="668" t="s">
        <v>701</v>
      </c>
      <c r="AK27" s="668" t="s">
        <v>702</v>
      </c>
      <c r="AL27" s="668" t="s">
        <v>703</v>
      </c>
      <c r="AM27" s="657" t="s">
        <v>722</v>
      </c>
      <c r="AN27" s="657" t="s">
        <v>723</v>
      </c>
      <c r="AO27" s="657" t="s">
        <v>724</v>
      </c>
      <c r="AP27" s="657" t="s">
        <v>725</v>
      </c>
      <c r="AQ27" s="667"/>
      <c r="AR27" s="667"/>
      <c r="AS27" s="667"/>
      <c r="AT27" s="667"/>
      <c r="BF27" s="564"/>
      <c r="BG27" s="564"/>
      <c r="BH27" s="564"/>
      <c r="BI27" s="564"/>
      <c r="BJ27" s="564"/>
      <c r="BK27" s="564"/>
      <c r="BL27" s="564"/>
    </row>
    <row r="28" s="669" customFormat="true" ht="21" hidden="false" customHeight="false" outlineLevel="0" collapsed="false">
      <c r="B28" s="670" t="s">
        <v>1</v>
      </c>
      <c r="C28" s="671" t="s">
        <v>0</v>
      </c>
      <c r="D28" s="671" t="s">
        <v>0</v>
      </c>
      <c r="E28" s="671" t="s">
        <v>0</v>
      </c>
      <c r="F28" s="671" t="s">
        <v>0</v>
      </c>
      <c r="G28" s="671" t="s">
        <v>726</v>
      </c>
      <c r="H28" s="671" t="s">
        <v>726</v>
      </c>
      <c r="I28" s="671" t="s">
        <v>726</v>
      </c>
      <c r="J28" s="671" t="s">
        <v>726</v>
      </c>
      <c r="K28" s="671" t="s">
        <v>726</v>
      </c>
      <c r="L28" s="671" t="s">
        <v>45</v>
      </c>
      <c r="M28" s="671" t="s">
        <v>45</v>
      </c>
      <c r="N28" s="671" t="s">
        <v>45</v>
      </c>
      <c r="O28" s="671" t="s">
        <v>45</v>
      </c>
      <c r="P28" s="671" t="s">
        <v>45</v>
      </c>
      <c r="Q28" s="671" t="s">
        <v>45</v>
      </c>
      <c r="R28" s="671" t="s">
        <v>649</v>
      </c>
      <c r="S28" s="671" t="s">
        <v>649</v>
      </c>
      <c r="T28" s="671" t="s">
        <v>45</v>
      </c>
      <c r="U28" s="671" t="s">
        <v>726</v>
      </c>
      <c r="V28" s="671" t="s">
        <v>658</v>
      </c>
      <c r="W28" s="671" t="s">
        <v>658</v>
      </c>
      <c r="X28" s="671" t="s">
        <v>658</v>
      </c>
      <c r="Y28" s="671" t="s">
        <v>726</v>
      </c>
      <c r="Z28" s="671" t="s">
        <v>726</v>
      </c>
      <c r="AA28" s="671" t="s">
        <v>726</v>
      </c>
      <c r="AB28" s="671" t="s">
        <v>726</v>
      </c>
      <c r="AC28" s="671" t="s">
        <v>727</v>
      </c>
      <c r="AD28" s="671" t="s">
        <v>727</v>
      </c>
      <c r="AE28" s="671" t="s">
        <v>727</v>
      </c>
      <c r="AF28" s="671" t="s">
        <v>727</v>
      </c>
      <c r="AG28" s="671" t="s">
        <v>727</v>
      </c>
      <c r="AH28" s="671" t="s">
        <v>727</v>
      </c>
      <c r="AI28" s="671" t="s">
        <v>727</v>
      </c>
      <c r="AJ28" s="671" t="s">
        <v>727</v>
      </c>
      <c r="AK28" s="671" t="s">
        <v>727</v>
      </c>
      <c r="AL28" s="671" t="s">
        <v>727</v>
      </c>
      <c r="AM28" s="671" t="s">
        <v>727</v>
      </c>
      <c r="AN28" s="671" t="s">
        <v>727</v>
      </c>
      <c r="AO28" s="671" t="s">
        <v>727</v>
      </c>
      <c r="AP28" s="671" t="s">
        <v>727</v>
      </c>
      <c r="AQ28" s="671" t="s">
        <v>726</v>
      </c>
      <c r="AR28" s="671" t="s">
        <v>726</v>
      </c>
      <c r="AS28" s="671" t="s">
        <v>0</v>
      </c>
      <c r="AT28" s="671" t="str">
        <f aca="false">IF('conversion datos'!$L$30='Patrones LACOMET'!$D$3,"µpulgadas",IF('conversion datos'!$L$30='Patrones LACOMET'!$D$4,"µm","No existe el patrón"))</f>
        <v>µm</v>
      </c>
    </row>
    <row r="29" customFormat="false" ht="19.5" hidden="false" customHeight="true" outlineLevel="0" collapsed="false">
      <c r="A29" s="81" t="n">
        <f aca="false">+CALIBRACION!A12</f>
        <v>1</v>
      </c>
      <c r="B29" s="672" t="str">
        <f aca="false">IF(CALIBRACION!H12="","",CALIBRACION!H12)</f>
        <v/>
      </c>
      <c r="C29" s="673" t="str">
        <f aca="false">IF(B29="","",+($F$20)/SQRT((5)))</f>
        <v/>
      </c>
      <c r="D29" s="673" t="str">
        <f aca="false">IF(B29="","",$F$21/SQRT((3)))</f>
        <v/>
      </c>
      <c r="E29" s="673" t="str">
        <f aca="false">IF(B29="","",$F$22/(SQRT(12)))</f>
        <v/>
      </c>
      <c r="F29" s="673" t="str">
        <f aca="false">IF(B29="","",$F$23/(SQRT(3)))</f>
        <v/>
      </c>
      <c r="G29" s="674" t="str">
        <f aca="false">IF(B29="","",(SQRT((+C29^2+D29^2+E29^2+F29^2))/(10^-3)))</f>
        <v/>
      </c>
      <c r="H29" s="675" t="str">
        <f aca="false">IF(B29="","",(IF('conversion datos'!$L$30='Patrones LACOMET'!$D$3,(VLOOKUP(B29,'BLOQUES PATRON (pulg) '!$K$5:$Q$91,6,FALSE())*1000),IF('conversion datos'!$L$30='Patrones LACOMET'!$D$4,(VLOOKUP(B29,'BLOQUES PATRON (mm)'!$D$5:$H$126,5,FALSE())),"No existe el patrón"))))</f>
        <v/>
      </c>
      <c r="I29" s="676" t="str">
        <f aca="false">IF(B29="","",0.42^2)</f>
        <v/>
      </c>
      <c r="J29" s="676" t="str">
        <f aca="false">IF(B29="","",IF('conversion datos'!$L$30='Patrones LACOMET'!$D$3,LOOKUP(B29,'BLOQUES PATRON (pulg) '!$S$5:$S$86,'BLOQUES PATRON (pulg) '!$Z$5:$Z$86),IF('conversion datos'!$L$30='Patrones LACOMET'!$D$4,LOOKUP(B29,'BLOQUES PATRON (mm)'!$O$5:$O$126,'BLOQUES PATRON (mm)'!$U$5:$U$126),"No existe el patrón")))</f>
        <v/>
      </c>
      <c r="K29" s="677" t="str">
        <f aca="false">IF(B29="","",SQRT((H29^2)+(J29^2)+(I29^2)))</f>
        <v/>
      </c>
      <c r="L29" s="678" t="str">
        <f aca="false">IF(B29="","",$G$4)</f>
        <v/>
      </c>
      <c r="M29" s="678" t="str">
        <f aca="false">IF(B29="","",($G$5))</f>
        <v/>
      </c>
      <c r="N29" s="678" t="str">
        <f aca="false">IF(B29="","",($G$6))</f>
        <v/>
      </c>
      <c r="O29" s="679" t="str">
        <f aca="false">IF(B29="","",(($G$7)))</f>
        <v/>
      </c>
      <c r="P29" s="680" t="str">
        <f aca="false">IF(B29="","",$G$8)</f>
        <v/>
      </c>
      <c r="Q29" s="681" t="str">
        <f aca="false">IF(B29="","",SQRT((L29^2)*(M29^2)+(N29^2)+(O29^2)+(P29^2)))</f>
        <v/>
      </c>
      <c r="R29" s="682" t="str">
        <f aca="false">IF(B29="","",($G$12))</f>
        <v/>
      </c>
      <c r="S29" s="682" t="str">
        <f aca="false">IF(B29="","",($G$13))</f>
        <v/>
      </c>
      <c r="T29" s="683" t="str">
        <f aca="false">IF(B29="","",+$G$14)</f>
        <v/>
      </c>
      <c r="U29" s="684" t="str">
        <f aca="false">IF(B29="","",(($M$17)/2)*1000)</f>
        <v/>
      </c>
      <c r="V29" s="685" t="str">
        <f aca="false">+IF(B29="","",+$G$15)</f>
        <v/>
      </c>
      <c r="W29" s="685" t="str">
        <f aca="false">+IF(B29="","",+$G$16)</f>
        <v/>
      </c>
      <c r="X29" s="685" t="str">
        <f aca="false">+IF(B29="","",+$G$17)</f>
        <v/>
      </c>
      <c r="Y29" s="686" t="str">
        <f aca="false">+IF(B29="","",K29*$G$9)</f>
        <v/>
      </c>
      <c r="Z29" s="686" t="str">
        <f aca="false">+IF(B29="","",K29*$G$12)</f>
        <v/>
      </c>
      <c r="AA29" s="686" t="str">
        <f aca="false">+IF(B29="","",K29*$G$13)</f>
        <v/>
      </c>
      <c r="AB29" s="686" t="str">
        <f aca="false">+IF(B29="","",K29*T29)</f>
        <v/>
      </c>
      <c r="AC29" s="687" t="str">
        <f aca="false">IF(B29="","",('SENSIBILIDAD 2'!B6^2)*(G29^2))</f>
        <v/>
      </c>
      <c r="AD29" s="688" t="str">
        <f aca="false">IF(B29="","",('SENSIBILIDAD 2'!C6^2)*(K29^2))</f>
        <v/>
      </c>
      <c r="AE29" s="688" t="str">
        <f aca="false">IF(B29="","",'SENSIBILIDAD 2'!D6^2*(R29^2))</f>
        <v/>
      </c>
      <c r="AF29" s="688" t="str">
        <f aca="false">IF(B29="","",'SENSIBILIDAD 2'!E6^2*(S29^2))</f>
        <v/>
      </c>
      <c r="AG29" s="688" t="str">
        <f aca="false">IF(B29="","",'SENSIBILIDAD 2'!F6^2*(T29^2))</f>
        <v/>
      </c>
      <c r="AH29" s="688" t="str">
        <f aca="false">IF(B29="","",(('SENSIBILIDAD 2'!G6)^2)*(Q29^2))</f>
        <v/>
      </c>
      <c r="AI29" s="688" t="str">
        <f aca="false">IF(B29="","",'SENSIBILIDAD 2'!H6^2*(U29^2))</f>
        <v/>
      </c>
      <c r="AJ29" s="688" t="str">
        <f aca="false">IF(B29="","",'SENSIBILIDAD 2'!M6^2*(V29^2))</f>
        <v/>
      </c>
      <c r="AK29" s="688" t="str">
        <f aca="false">IF(B29="","",'SENSIBILIDAD 2'!N6^2*(W29^2))</f>
        <v/>
      </c>
      <c r="AL29" s="688" t="str">
        <f aca="false">IF(B29="","",'SENSIBILIDAD 2'!O6^2*(X29^2))</f>
        <v/>
      </c>
      <c r="AM29" s="688" t="str">
        <f aca="false">IF($B29="","",(Y29^2)*('SENSIBILIDAD 2'!K6^2))</f>
        <v/>
      </c>
      <c r="AN29" s="688" t="str">
        <f aca="false">IF($B29="","",(Z29^2)*('SENSIBILIDAD 2'!I6^2))</f>
        <v/>
      </c>
      <c r="AO29" s="688" t="str">
        <f aca="false">IF($B29="","",(AA29^2)*('SENSIBILIDAD 2'!J6^2))</f>
        <v/>
      </c>
      <c r="AP29" s="688" t="str">
        <f aca="false">IF($B29="","",(AB29^2)*('SENSIBILIDAD 2'!L6^2))</f>
        <v/>
      </c>
      <c r="AQ29" s="689" t="str">
        <f aca="false">IF(B29="","",SQRT(AC29+AD29+AE29+AF29+AG29+AH29+AI29+AJ29+AK29+AL29+AM29+AN29+AO29+AP29))</f>
        <v/>
      </c>
      <c r="AR29" s="690" t="str">
        <f aca="false">IF(B29="","",2*AQ29)</f>
        <v/>
      </c>
      <c r="AS29" s="691" t="str">
        <f aca="false">IF(B29="","",+AR29/1000)</f>
        <v/>
      </c>
      <c r="AT29" s="692" t="str">
        <f aca="false">IF('conversion datos'!$L$30='Patrones LACOMET'!$D$3,(IF(N29="","",AS29*39.37008)),IF('conversion datos'!$L$30='Patrones LACOMET'!$D$4,AS29,"No existe el patrón"))</f>
        <v/>
      </c>
      <c r="AU29" s="669"/>
      <c r="BI29" s="564"/>
      <c r="BJ29" s="564"/>
      <c r="BK29" s="564"/>
      <c r="BL29" s="564"/>
      <c r="BM29" s="655"/>
      <c r="BN29" s="655"/>
    </row>
    <row r="30" customFormat="false" ht="19.5" hidden="false" customHeight="true" outlineLevel="0" collapsed="false">
      <c r="A30" s="81" t="n">
        <f aca="false">+CALIBRACION!A13</f>
        <v>2</v>
      </c>
      <c r="B30" s="672" t="str">
        <f aca="false">IF(CALIBRACION!H13="","",CALIBRACION!H13)</f>
        <v/>
      </c>
      <c r="C30" s="693" t="str">
        <f aca="false">IF(B30="","",+($F$20)/SQRT((5)))</f>
        <v/>
      </c>
      <c r="D30" s="693" t="str">
        <f aca="false">IF(B30="","",$F$21/SQRT((3)))</f>
        <v/>
      </c>
      <c r="E30" s="693" t="str">
        <f aca="false">IF(B30="","",$F$22/(SQRT(12)))</f>
        <v/>
      </c>
      <c r="F30" s="693" t="str">
        <f aca="false">IF(B30="","",$F$23/(SQRT(3)))</f>
        <v/>
      </c>
      <c r="G30" s="694" t="str">
        <f aca="false">IF(B30="","",(SQRT((+C30^2+D30^2+E30^2+F30^2))/(10^-3)))</f>
        <v/>
      </c>
      <c r="H30" s="675" t="str">
        <f aca="false">IF(B30="","",(IF('conversion datos'!$L$30='Patrones LACOMET'!$D$3,(VLOOKUP(B30,'BLOQUES PATRON (pulg) '!$K$5:$Q$91,6,FALSE())*1000),IF('conversion datos'!$L$30='Patrones LACOMET'!$D$4,(VLOOKUP(B30,'BLOQUES PATRON (mm)'!$D$5:$H$126,5,FALSE())),"No existe el patrón"))))</f>
        <v/>
      </c>
      <c r="I30" s="676" t="str">
        <f aca="false">IF(B30="","",0.42^2)</f>
        <v/>
      </c>
      <c r="J30" s="676" t="str">
        <f aca="false">IF(B30="","",IF('conversion datos'!$L$30='Patrones LACOMET'!$D$3,LOOKUP(B30,'BLOQUES PATRON (pulg) '!$S$5:$S$86,'BLOQUES PATRON (pulg) '!$Z$5:$Z$86),IF('conversion datos'!$L$30='Patrones LACOMET'!$D$4,LOOKUP(B30,'BLOQUES PATRON (mm)'!$O$5:$O$126,'BLOQUES PATRON (mm)'!$U$5:$U$126),"No existe el patrón")))</f>
        <v/>
      </c>
      <c r="K30" s="677" t="str">
        <f aca="false">IF(B30="","",SQRT((H30^2)+(J30^2)+(I30^2)))</f>
        <v/>
      </c>
      <c r="L30" s="695" t="str">
        <f aca="false">IF(B30="","",$G$4)</f>
        <v/>
      </c>
      <c r="M30" s="695" t="str">
        <f aca="false">IF(B30="","",($G$5))</f>
        <v/>
      </c>
      <c r="N30" s="695" t="str">
        <f aca="false">IF(B30="","",($G$6))</f>
        <v/>
      </c>
      <c r="O30" s="696" t="str">
        <f aca="false">IF(B30="","",(($G$7)))</f>
        <v/>
      </c>
      <c r="P30" s="697" t="str">
        <f aca="false">IF(B30="","",$G$8)</f>
        <v/>
      </c>
      <c r="Q30" s="698" t="str">
        <f aca="false">IF(B30="","",SQRT((L30^2)*(M30^2)+(N30^2)+(O30^2)+(P30^2)))</f>
        <v/>
      </c>
      <c r="R30" s="699" t="str">
        <f aca="false">IF(B30="","",($G$12))</f>
        <v/>
      </c>
      <c r="S30" s="699" t="str">
        <f aca="false">IF(B30="","",($G$13))</f>
        <v/>
      </c>
      <c r="T30" s="700" t="str">
        <f aca="false">IF(B30="","",+$G$14)</f>
        <v/>
      </c>
      <c r="U30" s="684" t="str">
        <f aca="false">IF(B30="","",(($M$17)/2)*1000)</f>
        <v/>
      </c>
      <c r="V30" s="685" t="str">
        <f aca="false">+IF(B30="","",+$G$15)</f>
        <v/>
      </c>
      <c r="W30" s="685" t="str">
        <f aca="false">+IF(B30="","",+$G$16)</f>
        <v/>
      </c>
      <c r="X30" s="685" t="str">
        <f aca="false">+IF(B30="","",+$G$17)</f>
        <v/>
      </c>
      <c r="Y30" s="686" t="str">
        <f aca="false">+IF(B30="","",K30*$G$9)</f>
        <v/>
      </c>
      <c r="Z30" s="686" t="str">
        <f aca="false">+IF(B30="","",K30*$G$12)</f>
        <v/>
      </c>
      <c r="AA30" s="686" t="str">
        <f aca="false">+IF(B30="","",K30*$G$13)</f>
        <v/>
      </c>
      <c r="AB30" s="686" t="str">
        <f aca="false">+IF(B30="","",K30*T30)</f>
        <v/>
      </c>
      <c r="AC30" s="687" t="str">
        <f aca="false">IF(B30="","",('SENSIBILIDAD 2'!B7^2)*(G30^2))</f>
        <v/>
      </c>
      <c r="AD30" s="688" t="str">
        <f aca="false">IF(B30="","",('SENSIBILIDAD 2'!C7^2)*(K30^2))</f>
        <v/>
      </c>
      <c r="AE30" s="688" t="str">
        <f aca="false">IF(B30="","",'SENSIBILIDAD 2'!D7^2*(R30^2))</f>
        <v/>
      </c>
      <c r="AF30" s="688" t="str">
        <f aca="false">IF(B30="","",'SENSIBILIDAD 2'!E7^2*(S30^2))</f>
        <v/>
      </c>
      <c r="AG30" s="688" t="str">
        <f aca="false">IF(B30="","",'SENSIBILIDAD 2'!F7^2*(T30^2))</f>
        <v/>
      </c>
      <c r="AH30" s="688" t="str">
        <f aca="false">IF(B30="","",(('SENSIBILIDAD 2'!G7)^2)*(Q30^2))</f>
        <v/>
      </c>
      <c r="AI30" s="688" t="str">
        <f aca="false">IF(B30="","",'SENSIBILIDAD 2'!H7^2*(U30^2))</f>
        <v/>
      </c>
      <c r="AJ30" s="688" t="str">
        <f aca="false">IF(B30="","",'SENSIBILIDAD 2'!M7^2*(V30^2))</f>
        <v/>
      </c>
      <c r="AK30" s="688" t="str">
        <f aca="false">IF(B30="","",'SENSIBILIDAD 2'!N7^2*(W30^2))</f>
        <v/>
      </c>
      <c r="AL30" s="688" t="str">
        <f aca="false">IF(B30="","",'SENSIBILIDAD 2'!O7^2*(X30^2))</f>
        <v/>
      </c>
      <c r="AM30" s="688" t="str">
        <f aca="false">IF($B30="","",(Y30^2)*('SENSIBILIDAD 2'!K7^2))</f>
        <v/>
      </c>
      <c r="AN30" s="688" t="str">
        <f aca="false">IF($B30="","",(Z30^2)*('SENSIBILIDAD 2'!I7^2))</f>
        <v/>
      </c>
      <c r="AO30" s="688" t="str">
        <f aca="false">IF($B30="","",(AA30^2)*('SENSIBILIDAD 2'!J7^2))</f>
        <v/>
      </c>
      <c r="AP30" s="688" t="str">
        <f aca="false">IF($B30="","",(AB30^2)*('SENSIBILIDAD 2'!L7^2))</f>
        <v/>
      </c>
      <c r="AQ30" s="689" t="str">
        <f aca="false">IF(B30="","",SQRT(AC30+AD30+AE30+AF30+AG30+AH30+AI30+AJ30+AK30+AL30+AM30+AN30+AO30+AP30))</f>
        <v/>
      </c>
      <c r="AR30" s="701" t="str">
        <f aca="false">IF(B30="","",2*AQ30)</f>
        <v/>
      </c>
      <c r="AS30" s="702" t="str">
        <f aca="false">IF(B30="","",+AR30/1000)</f>
        <v/>
      </c>
      <c r="AT30" s="692" t="str">
        <f aca="false">IF('conversion datos'!$L$30='Patrones LACOMET'!$D$3,(IF(N30="","",AS30*39.37008)),IF('conversion datos'!$L$30='Patrones LACOMET'!$D$4,AS30,"No existe el patrón"))</f>
        <v/>
      </c>
      <c r="BI30" s="564"/>
      <c r="BJ30" s="564"/>
      <c r="BK30" s="564"/>
      <c r="BL30" s="564"/>
      <c r="BM30" s="655"/>
      <c r="BN30" s="655"/>
    </row>
    <row r="31" customFormat="false" ht="19.5" hidden="false" customHeight="true" outlineLevel="0" collapsed="false">
      <c r="A31" s="81" t="n">
        <f aca="false">+CALIBRACION!A14</f>
        <v>3</v>
      </c>
      <c r="B31" s="672" t="str">
        <f aca="false">IF(CALIBRACION!H14="","",CALIBRACION!H14)</f>
        <v/>
      </c>
      <c r="C31" s="693" t="str">
        <f aca="false">IF(B31="","",+($F$20)/SQRT((5)))</f>
        <v/>
      </c>
      <c r="D31" s="693" t="str">
        <f aca="false">IF(B31="","",$F$21/SQRT((3)))</f>
        <v/>
      </c>
      <c r="E31" s="693" t="str">
        <f aca="false">IF(B31="","",$F$22/(SQRT(12)))</f>
        <v/>
      </c>
      <c r="F31" s="693" t="str">
        <f aca="false">IF(B31="","",$F$23/(SQRT(3)))</f>
        <v/>
      </c>
      <c r="G31" s="694" t="str">
        <f aca="false">IF(B31="","",(SQRT((+C31^2+D31^2+E31^2+F31^2))/(10^-3)))</f>
        <v/>
      </c>
      <c r="H31" s="675" t="str">
        <f aca="false">IF(B31="","",(IF('conversion datos'!$L$30='Patrones LACOMET'!$D$3,(VLOOKUP(B31,'BLOQUES PATRON (pulg) '!$K$5:$Q$91,6,FALSE())*1000),IF('conversion datos'!$L$30='Patrones LACOMET'!$D$4,(VLOOKUP(B31,'BLOQUES PATRON (mm)'!$D$5:$H$126,5,FALSE())),"No existe el patrón"))))</f>
        <v/>
      </c>
      <c r="I31" s="676" t="str">
        <f aca="false">IF(B31="","",0.42^2)</f>
        <v/>
      </c>
      <c r="J31" s="676" t="str">
        <f aca="false">IF(B31="","",IF('conversion datos'!$L$30='Patrones LACOMET'!$D$3,LOOKUP(B31,'BLOQUES PATRON (pulg) '!$S$5:$S$86,'BLOQUES PATRON (pulg) '!$Z$5:$Z$86),IF('conversion datos'!$L$30='Patrones LACOMET'!$D$4,LOOKUP(B31,'BLOQUES PATRON (mm)'!$O$5:$O$126,'BLOQUES PATRON (mm)'!$U$5:$U$126),"No existe el patrón")))</f>
        <v/>
      </c>
      <c r="K31" s="677" t="str">
        <f aca="false">IF(B31="","",SQRT((H31^2)+(J31^2)+(I31^2)))</f>
        <v/>
      </c>
      <c r="L31" s="695" t="str">
        <f aca="false">IF(B31="","",$G$4)</f>
        <v/>
      </c>
      <c r="M31" s="695" t="str">
        <f aca="false">IF(B31="","",($G$5))</f>
        <v/>
      </c>
      <c r="N31" s="695" t="str">
        <f aca="false">IF(B31="","",($G$6))</f>
        <v/>
      </c>
      <c r="O31" s="696" t="str">
        <f aca="false">IF(B31="","",(($G$7)))</f>
        <v/>
      </c>
      <c r="P31" s="697" t="str">
        <f aca="false">IF(B31="","",$G$8)</f>
        <v/>
      </c>
      <c r="Q31" s="698" t="str">
        <f aca="false">IF(B31="","",SQRT((L31^2)*(M31^2)+(N31^2)+(O31^2)+(P31^2)))</f>
        <v/>
      </c>
      <c r="R31" s="699" t="str">
        <f aca="false">IF(B31="","",($G$12))</f>
        <v/>
      </c>
      <c r="S31" s="699" t="str">
        <f aca="false">IF(B31="","",($G$13))</f>
        <v/>
      </c>
      <c r="T31" s="700" t="str">
        <f aca="false">IF(B31="","",+$G$14)</f>
        <v/>
      </c>
      <c r="U31" s="684" t="str">
        <f aca="false">IF(B31="","",(($M$17)/2)*1000)</f>
        <v/>
      </c>
      <c r="V31" s="685" t="str">
        <f aca="false">+IF(B31="","",+$G$15)</f>
        <v/>
      </c>
      <c r="W31" s="685" t="str">
        <f aca="false">+IF(B31="","",+$G$16)</f>
        <v/>
      </c>
      <c r="X31" s="685" t="str">
        <f aca="false">+IF(B31="","",+$G$17)</f>
        <v/>
      </c>
      <c r="Y31" s="686" t="str">
        <f aca="false">+IF(B31="","",K31*$G$9)</f>
        <v/>
      </c>
      <c r="Z31" s="686" t="str">
        <f aca="false">+IF(B31="","",K31*$G$12)</f>
        <v/>
      </c>
      <c r="AA31" s="686" t="str">
        <f aca="false">+IF(B31="","",K31*$G$13)</f>
        <v/>
      </c>
      <c r="AB31" s="686" t="str">
        <f aca="false">+IF(B31="","",K31*T31)</f>
        <v/>
      </c>
      <c r="AC31" s="687" t="str">
        <f aca="false">IF(B31="","",('SENSIBILIDAD 2'!B8^2)*(G31^2))</f>
        <v/>
      </c>
      <c r="AD31" s="688" t="str">
        <f aca="false">IF(B31="","",('SENSIBILIDAD 2'!C8^2)*(K31^2))</f>
        <v/>
      </c>
      <c r="AE31" s="688" t="str">
        <f aca="false">IF(B31="","",'SENSIBILIDAD 2'!D8^2*(R31^2))</f>
        <v/>
      </c>
      <c r="AF31" s="688" t="str">
        <f aca="false">IF(B31="","",'SENSIBILIDAD 2'!E8^2*(S31^2))</f>
        <v/>
      </c>
      <c r="AG31" s="688" t="str">
        <f aca="false">IF(B31="","",'SENSIBILIDAD 2'!F8^2*(T31^2))</f>
        <v/>
      </c>
      <c r="AH31" s="688" t="str">
        <f aca="false">IF(B31="","",(('SENSIBILIDAD 2'!G8)^2)*(Q31^2))</f>
        <v/>
      </c>
      <c r="AI31" s="688" t="str">
        <f aca="false">IF(B31="","",'SENSIBILIDAD 2'!H8^2*(U31^2))</f>
        <v/>
      </c>
      <c r="AJ31" s="688" t="str">
        <f aca="false">IF(B31="","",'SENSIBILIDAD 2'!M8^2*(V31^2))</f>
        <v/>
      </c>
      <c r="AK31" s="688" t="str">
        <f aca="false">IF(B31="","",'SENSIBILIDAD 2'!N8^2*(W31^2))</f>
        <v/>
      </c>
      <c r="AL31" s="688" t="str">
        <f aca="false">IF(B31="","",'SENSIBILIDAD 2'!O8^2*(X31^2))</f>
        <v/>
      </c>
      <c r="AM31" s="688" t="str">
        <f aca="false">IF($B31="","",(Y31^2)*('SENSIBILIDAD 2'!K8^2))</f>
        <v/>
      </c>
      <c r="AN31" s="688" t="str">
        <f aca="false">IF($B31="","",(Z31^2)*('SENSIBILIDAD 2'!I8^2))</f>
        <v/>
      </c>
      <c r="AO31" s="688" t="str">
        <f aca="false">IF($B31="","",(AA31^2)*('SENSIBILIDAD 2'!J8^2))</f>
        <v/>
      </c>
      <c r="AP31" s="688" t="str">
        <f aca="false">IF($B31="","",(AB31^2)*('SENSIBILIDAD 2'!L8^2))</f>
        <v/>
      </c>
      <c r="AQ31" s="689" t="str">
        <f aca="false">IF(B31="","",SQRT(AC31+AD31+AE31+AF31+AG31+AH31+AI31+AJ31+AK31+AL31+AM31+AN31+AO31+AP31))</f>
        <v/>
      </c>
      <c r="AR31" s="701" t="str">
        <f aca="false">IF(B31="","",2*AQ31)</f>
        <v/>
      </c>
      <c r="AS31" s="702" t="str">
        <f aca="false">IF(B31="","",+AR31/1000)</f>
        <v/>
      </c>
      <c r="AT31" s="692" t="str">
        <f aca="false">IF('conversion datos'!$L$30='Patrones LACOMET'!$D$3,(IF(N31="","",AS31*39.37008)),IF('conversion datos'!$L$30='Patrones LACOMET'!$D$4,AS31,"No existe el patrón"))</f>
        <v/>
      </c>
      <c r="BI31" s="564"/>
      <c r="BJ31" s="564"/>
      <c r="BK31" s="564"/>
      <c r="BL31" s="564"/>
      <c r="BM31" s="655"/>
      <c r="BN31" s="655"/>
    </row>
    <row r="32" customFormat="false" ht="19.5" hidden="false" customHeight="true" outlineLevel="0" collapsed="false">
      <c r="A32" s="81" t="n">
        <f aca="false">+CALIBRACION!A15</f>
        <v>4</v>
      </c>
      <c r="B32" s="672" t="str">
        <f aca="false">IF(CALIBRACION!H15="","",CALIBRACION!H15)</f>
        <v/>
      </c>
      <c r="C32" s="693" t="str">
        <f aca="false">IF(B32="","",+($F$20)/SQRT((5)))</f>
        <v/>
      </c>
      <c r="D32" s="693" t="str">
        <f aca="false">IF(B32="","",$F$21/SQRT((3)))</f>
        <v/>
      </c>
      <c r="E32" s="693" t="str">
        <f aca="false">IF(B32="","",$F$22/(SQRT(12)))</f>
        <v/>
      </c>
      <c r="F32" s="693" t="str">
        <f aca="false">IF(B32="","",$F$23/(SQRT(3)))</f>
        <v/>
      </c>
      <c r="G32" s="694" t="str">
        <f aca="false">IF(B32="","",(SQRT((+C32^2+D32^2+E32^2+F32^2))/(10^-3)))</f>
        <v/>
      </c>
      <c r="H32" s="675" t="str">
        <f aca="false">IF(B32="","",(IF('conversion datos'!$L$30='Patrones LACOMET'!$D$3,(VLOOKUP(B32,'BLOQUES PATRON (pulg) '!$K$5:$Q$91,6,FALSE())*1000),IF('conversion datos'!$L$30='Patrones LACOMET'!$D$4,(VLOOKUP(B32,'BLOQUES PATRON (mm)'!$D$5:$H$126,5,FALSE())),"No existe el patrón"))))</f>
        <v/>
      </c>
      <c r="I32" s="676" t="str">
        <f aca="false">IF(B32="","",0.42^2)</f>
        <v/>
      </c>
      <c r="J32" s="676" t="str">
        <f aca="false">IF(B32="","",IF('conversion datos'!$L$30='Patrones LACOMET'!$D$3,LOOKUP(B32,'BLOQUES PATRON (pulg) '!$S$5:$S$86,'BLOQUES PATRON (pulg) '!$Z$5:$Z$86),IF('conversion datos'!$L$30='Patrones LACOMET'!$D$4,LOOKUP(B32,'BLOQUES PATRON (mm)'!$O$5:$O$126,'BLOQUES PATRON (mm)'!$U$5:$U$126),"No existe el patrón")))</f>
        <v/>
      </c>
      <c r="K32" s="677" t="str">
        <f aca="false">IF(B32="","",SQRT((H32^2)+(J32^2)+(I32^2)))</f>
        <v/>
      </c>
      <c r="L32" s="695" t="str">
        <f aca="false">IF(B32="","",$G$4)</f>
        <v/>
      </c>
      <c r="M32" s="695" t="str">
        <f aca="false">IF(B32="","",($G$5))</f>
        <v/>
      </c>
      <c r="N32" s="695" t="str">
        <f aca="false">IF(B32="","",($G$6))</f>
        <v/>
      </c>
      <c r="O32" s="696" t="str">
        <f aca="false">IF(B32="","",(($G$7)))</f>
        <v/>
      </c>
      <c r="P32" s="697" t="str">
        <f aca="false">IF(B32="","",$G$8)</f>
        <v/>
      </c>
      <c r="Q32" s="698" t="str">
        <f aca="false">IF(B32="","",SQRT((L32^2)*(M32^2)+(N32^2)+(O32^2)+(P32^2)))</f>
        <v/>
      </c>
      <c r="R32" s="699" t="str">
        <f aca="false">IF(B32="","",($G$12))</f>
        <v/>
      </c>
      <c r="S32" s="699" t="str">
        <f aca="false">IF(B32="","",($G$13))</f>
        <v/>
      </c>
      <c r="T32" s="700" t="str">
        <f aca="false">IF(B32="","",+$G$14)</f>
        <v/>
      </c>
      <c r="U32" s="684" t="str">
        <f aca="false">IF(B32="","",(($M$17)/2)*1000)</f>
        <v/>
      </c>
      <c r="V32" s="685" t="str">
        <f aca="false">+IF(B32="","",+$G$15)</f>
        <v/>
      </c>
      <c r="W32" s="685" t="str">
        <f aca="false">+IF(B32="","",+$G$16)</f>
        <v/>
      </c>
      <c r="X32" s="685" t="str">
        <f aca="false">+IF(B32="","",+$G$17)</f>
        <v/>
      </c>
      <c r="Y32" s="686" t="str">
        <f aca="false">+IF(B32="","",K32*$G$9)</f>
        <v/>
      </c>
      <c r="Z32" s="686" t="str">
        <f aca="false">+IF(B32="","",K32*$G$12)</f>
        <v/>
      </c>
      <c r="AA32" s="686" t="str">
        <f aca="false">+IF(B32="","",K32*$G$13)</f>
        <v/>
      </c>
      <c r="AB32" s="686" t="str">
        <f aca="false">+IF(B32="","",K32*T32)</f>
        <v/>
      </c>
      <c r="AC32" s="687" t="str">
        <f aca="false">IF(B32="","",('SENSIBILIDAD 2'!B9^2)*(G32^2))</f>
        <v/>
      </c>
      <c r="AD32" s="688" t="str">
        <f aca="false">IF(B32="","",('SENSIBILIDAD 2'!C9^2)*(K32^2))</f>
        <v/>
      </c>
      <c r="AE32" s="688" t="str">
        <f aca="false">IF(B32="","",'SENSIBILIDAD 2'!D9^2*(R32^2))</f>
        <v/>
      </c>
      <c r="AF32" s="688" t="str">
        <f aca="false">IF(B32="","",'SENSIBILIDAD 2'!E9^2*(S32^2))</f>
        <v/>
      </c>
      <c r="AG32" s="688" t="str">
        <f aca="false">IF(B32="","",'SENSIBILIDAD 2'!F9^2*(T32^2))</f>
        <v/>
      </c>
      <c r="AH32" s="688" t="str">
        <f aca="false">IF(B32="","",(('SENSIBILIDAD 2'!G9)^2)*(Q32^2))</f>
        <v/>
      </c>
      <c r="AI32" s="688" t="str">
        <f aca="false">IF(B32="","",'SENSIBILIDAD 2'!H9^2*(U32^2))</f>
        <v/>
      </c>
      <c r="AJ32" s="688" t="str">
        <f aca="false">IF(B32="","",'SENSIBILIDAD 2'!M9^2*(V32^2))</f>
        <v/>
      </c>
      <c r="AK32" s="688" t="str">
        <f aca="false">IF(B32="","",'SENSIBILIDAD 2'!N9^2*(W32^2))</f>
        <v/>
      </c>
      <c r="AL32" s="688" t="str">
        <f aca="false">IF(B32="","",'SENSIBILIDAD 2'!O9^2*(X32^2))</f>
        <v/>
      </c>
      <c r="AM32" s="688" t="str">
        <f aca="false">IF($B32="","",(Y32^2)*('SENSIBILIDAD 2'!K9^2))</f>
        <v/>
      </c>
      <c r="AN32" s="688" t="str">
        <f aca="false">IF($B32="","",(Z32^2)*('SENSIBILIDAD 2'!I9^2))</f>
        <v/>
      </c>
      <c r="AO32" s="688" t="str">
        <f aca="false">IF($B32="","",(AA32^2)*('SENSIBILIDAD 2'!J9^2))</f>
        <v/>
      </c>
      <c r="AP32" s="688" t="str">
        <f aca="false">IF($B32="","",(AB32^2)*('SENSIBILIDAD 2'!L9^2))</f>
        <v/>
      </c>
      <c r="AQ32" s="689" t="str">
        <f aca="false">IF(B32="","",SQRT(AC32+AD32+AE32+AF32+AG32+AH32+AI32+AJ32+AK32+AL32+AM32+AN32+AO32+AP32))</f>
        <v/>
      </c>
      <c r="AR32" s="701" t="str">
        <f aca="false">IF(B32="","",2*AQ32)</f>
        <v/>
      </c>
      <c r="AS32" s="702" t="str">
        <f aca="false">IF(B32="","",+AR32/1000)</f>
        <v/>
      </c>
      <c r="AT32" s="692" t="str">
        <f aca="false">IF('conversion datos'!$L$30='Patrones LACOMET'!$D$3,(IF(N32="","",AS32*39.37008)),IF('conversion datos'!$L$30='Patrones LACOMET'!$D$4,AS32,"No existe el patrón"))</f>
        <v/>
      </c>
      <c r="BI32" s="564"/>
      <c r="BJ32" s="564"/>
      <c r="BK32" s="564"/>
      <c r="BL32" s="564"/>
      <c r="BM32" s="655"/>
      <c r="BN32" s="655"/>
    </row>
    <row r="33" customFormat="false" ht="19.5" hidden="false" customHeight="true" outlineLevel="0" collapsed="false">
      <c r="A33" s="81" t="n">
        <f aca="false">+CALIBRACION!A16</f>
        <v>5</v>
      </c>
      <c r="B33" s="672" t="str">
        <f aca="false">IF(CALIBRACION!H16="","",CALIBRACION!H16)</f>
        <v/>
      </c>
      <c r="C33" s="693" t="str">
        <f aca="false">IF(B33="","",+($F$20)/SQRT((5)))</f>
        <v/>
      </c>
      <c r="D33" s="693" t="str">
        <f aca="false">IF(B33="","",$F$21/SQRT((3)))</f>
        <v/>
      </c>
      <c r="E33" s="693" t="str">
        <f aca="false">IF(B33="","",$F$22/(SQRT(12)))</f>
        <v/>
      </c>
      <c r="F33" s="693" t="str">
        <f aca="false">IF(B33="","",$F$23/(SQRT(3)))</f>
        <v/>
      </c>
      <c r="G33" s="694" t="str">
        <f aca="false">IF(B33="","",(SQRT((+C33^2+D33^2+E33^2+F33^2))/(10^-3)))</f>
        <v/>
      </c>
      <c r="H33" s="675" t="str">
        <f aca="false">IF(B33="","",(IF('conversion datos'!$L$30='Patrones LACOMET'!$D$3,(VLOOKUP(B33,'BLOQUES PATRON (pulg) '!$K$5:$Q$91,6,FALSE())*1000),IF('conversion datos'!$L$30='Patrones LACOMET'!$D$4,(VLOOKUP(B33,'BLOQUES PATRON (mm)'!$D$5:$H$126,5,FALSE())),"No existe el patrón"))))</f>
        <v/>
      </c>
      <c r="I33" s="676" t="str">
        <f aca="false">IF(B33="","",0.42^2)</f>
        <v/>
      </c>
      <c r="J33" s="676" t="str">
        <f aca="false">IF(B33="","",IF('conversion datos'!$L$30='Patrones LACOMET'!$D$3,LOOKUP(B33,'BLOQUES PATRON (pulg) '!$S$5:$S$86,'BLOQUES PATRON (pulg) '!$Z$5:$Z$86),IF('conversion datos'!$L$30='Patrones LACOMET'!$D$4,LOOKUP(B33,'BLOQUES PATRON (mm)'!$O$5:$O$126,'BLOQUES PATRON (mm)'!$U$5:$U$126),"No existe el patrón")))</f>
        <v/>
      </c>
      <c r="K33" s="677" t="str">
        <f aca="false">IF(B33="","",SQRT((H33^2)+(J33^2)+(I33^2)))</f>
        <v/>
      </c>
      <c r="L33" s="695" t="str">
        <f aca="false">IF(B33="","",$G$4)</f>
        <v/>
      </c>
      <c r="M33" s="695" t="str">
        <f aca="false">IF(B33="","",($G$5))</f>
        <v/>
      </c>
      <c r="N33" s="695" t="str">
        <f aca="false">IF(B33="","",($G$6))</f>
        <v/>
      </c>
      <c r="O33" s="696" t="str">
        <f aca="false">IF(B33="","",(($G$7)))</f>
        <v/>
      </c>
      <c r="P33" s="697" t="str">
        <f aca="false">IF(B33="","",$G$8)</f>
        <v/>
      </c>
      <c r="Q33" s="698" t="str">
        <f aca="false">IF(B33="","",SQRT((L33^2)*(M33^2)+(N33^2)+(O33^2)+(P33^2)))</f>
        <v/>
      </c>
      <c r="R33" s="699" t="str">
        <f aca="false">IF(B33="","",($G$12))</f>
        <v/>
      </c>
      <c r="S33" s="699" t="str">
        <f aca="false">IF(B33="","",($G$13))</f>
        <v/>
      </c>
      <c r="T33" s="700" t="str">
        <f aca="false">IF(B33="","",+$G$14)</f>
        <v/>
      </c>
      <c r="U33" s="684" t="str">
        <f aca="false">IF(B33="","",(($M$17)/2)*1000)</f>
        <v/>
      </c>
      <c r="V33" s="685" t="str">
        <f aca="false">+IF(B33="","",+$G$15)</f>
        <v/>
      </c>
      <c r="W33" s="685" t="str">
        <f aca="false">+IF(B33="","",+$G$16)</f>
        <v/>
      </c>
      <c r="X33" s="685" t="str">
        <f aca="false">+IF(B33="","",+$G$17)</f>
        <v/>
      </c>
      <c r="Y33" s="686" t="str">
        <f aca="false">+IF(B33="","",K33*$G$9)</f>
        <v/>
      </c>
      <c r="Z33" s="686" t="str">
        <f aca="false">+IF(B33="","",K33*$G$12)</f>
        <v/>
      </c>
      <c r="AA33" s="686" t="str">
        <f aca="false">+IF(B33="","",K33*$G$13)</f>
        <v/>
      </c>
      <c r="AB33" s="686" t="str">
        <f aca="false">+IF(B33="","",K33*T33)</f>
        <v/>
      </c>
      <c r="AC33" s="687" t="str">
        <f aca="false">IF(B33="","",('SENSIBILIDAD 2'!B10^2)*(G33^2))</f>
        <v/>
      </c>
      <c r="AD33" s="688" t="str">
        <f aca="false">IF(B33="","",('SENSIBILIDAD 2'!C10^2)*(K33^2))</f>
        <v/>
      </c>
      <c r="AE33" s="688" t="str">
        <f aca="false">IF(B33="","",'SENSIBILIDAD 2'!D10^2*(R33^2))</f>
        <v/>
      </c>
      <c r="AF33" s="688" t="str">
        <f aca="false">IF(B33="","",'SENSIBILIDAD 2'!E10^2*(S33^2))</f>
        <v/>
      </c>
      <c r="AG33" s="688" t="str">
        <f aca="false">IF(B33="","",'SENSIBILIDAD 2'!F10^2*(T33^2))</f>
        <v/>
      </c>
      <c r="AH33" s="688" t="str">
        <f aca="false">IF(B33="","",(('SENSIBILIDAD 2'!G10)^2)*(Q33^2))</f>
        <v/>
      </c>
      <c r="AI33" s="688" t="str">
        <f aca="false">IF(B33="","",'SENSIBILIDAD 2'!H10^2*(U33^2))</f>
        <v/>
      </c>
      <c r="AJ33" s="688" t="str">
        <f aca="false">IF(B33="","",'SENSIBILIDAD 2'!M10^2*(V33^2))</f>
        <v/>
      </c>
      <c r="AK33" s="688" t="str">
        <f aca="false">IF(B33="","",'SENSIBILIDAD 2'!N10^2*(W33^2))</f>
        <v/>
      </c>
      <c r="AL33" s="688" t="str">
        <f aca="false">IF(B33="","",'SENSIBILIDAD 2'!O10^2*(X33^2))</f>
        <v/>
      </c>
      <c r="AM33" s="688" t="str">
        <f aca="false">IF($B33="","",(Y33^2)*('SENSIBILIDAD 2'!K10^2))</f>
        <v/>
      </c>
      <c r="AN33" s="688" t="str">
        <f aca="false">IF($B33="","",(Z33^2)*('SENSIBILIDAD 2'!I10^2))</f>
        <v/>
      </c>
      <c r="AO33" s="688" t="str">
        <f aca="false">IF($B33="","",(AA33^2)*('SENSIBILIDAD 2'!J10^2))</f>
        <v/>
      </c>
      <c r="AP33" s="688" t="str">
        <f aca="false">IF($B33="","",(AB33^2)*('SENSIBILIDAD 2'!L10^2))</f>
        <v/>
      </c>
      <c r="AQ33" s="689" t="str">
        <f aca="false">IF(B33="","",SQRT(AC33+AD33+AE33+AF33+AG33+AH33+AI33+AJ33+AK33+AL33+AM33+AN33+AO33+AP33))</f>
        <v/>
      </c>
      <c r="AR33" s="701" t="str">
        <f aca="false">IF(B33="","",2*AQ33)</f>
        <v/>
      </c>
      <c r="AS33" s="702" t="str">
        <f aca="false">IF(B33="","",+AR33/1000)</f>
        <v/>
      </c>
      <c r="AT33" s="692" t="str">
        <f aca="false">IF('conversion datos'!$L$30='Patrones LACOMET'!$D$3,(IF(N33="","",AS33*39.37008)),IF('conversion datos'!$L$30='Patrones LACOMET'!$D$4,AS33,"No existe el patrón"))</f>
        <v/>
      </c>
      <c r="BI33" s="564"/>
      <c r="BJ33" s="564"/>
      <c r="BK33" s="564"/>
      <c r="BL33" s="564"/>
      <c r="BM33" s="655"/>
      <c r="BN33" s="655"/>
    </row>
    <row r="34" customFormat="false" ht="19.5" hidden="false" customHeight="true" outlineLevel="0" collapsed="false">
      <c r="A34" s="81" t="n">
        <f aca="false">+CALIBRACION!A17</f>
        <v>6</v>
      </c>
      <c r="B34" s="672" t="str">
        <f aca="false">IF(CALIBRACION!H17="","",CALIBRACION!H17)</f>
        <v/>
      </c>
      <c r="C34" s="693" t="str">
        <f aca="false">IF(B34="","",+($F$20)/SQRT((5)))</f>
        <v/>
      </c>
      <c r="D34" s="693" t="str">
        <f aca="false">IF(B34="","",$F$21/SQRT((3)))</f>
        <v/>
      </c>
      <c r="E34" s="693" t="str">
        <f aca="false">IF(B34="","",$F$22/(SQRT(12)))</f>
        <v/>
      </c>
      <c r="F34" s="693" t="str">
        <f aca="false">IF(B34="","",$F$23/(SQRT(3)))</f>
        <v/>
      </c>
      <c r="G34" s="694" t="str">
        <f aca="false">IF(B34="","",(SQRT((+C34^2+D34^2+E34^2+F34^2))/(10^-3)))</f>
        <v/>
      </c>
      <c r="H34" s="675" t="str">
        <f aca="false">IF(B34="","",(IF('conversion datos'!$L$30='Patrones LACOMET'!$D$3,(VLOOKUP(B34,'BLOQUES PATRON (pulg) '!$K$5:$Q$91,6,FALSE())*1000),IF('conversion datos'!$L$30='Patrones LACOMET'!$D$4,(VLOOKUP(B34,'BLOQUES PATRON (mm)'!$D$5:$H$126,5,FALSE())),"No existe el patrón"))))</f>
        <v/>
      </c>
      <c r="I34" s="676" t="str">
        <f aca="false">IF(B34="","",0.42^2)</f>
        <v/>
      </c>
      <c r="J34" s="676" t="str">
        <f aca="false">IF(B34="","",IF('conversion datos'!$L$30='Patrones LACOMET'!$D$3,LOOKUP(B34,'BLOQUES PATRON (pulg) '!$S$5:$S$86,'BLOQUES PATRON (pulg) '!$Z$5:$Z$86),IF('conversion datos'!$L$30='Patrones LACOMET'!$D$4,LOOKUP(B34,'BLOQUES PATRON (mm)'!$O$5:$O$126,'BLOQUES PATRON (mm)'!$U$5:$U$126),"No existe el patrón")))</f>
        <v/>
      </c>
      <c r="K34" s="677" t="str">
        <f aca="false">IF(B34="","",SQRT((H34^2)+(J34^2)+(I34^2)))</f>
        <v/>
      </c>
      <c r="L34" s="695" t="str">
        <f aca="false">IF(B34="","",$G$4)</f>
        <v/>
      </c>
      <c r="M34" s="695" t="str">
        <f aca="false">IF(B34="","",($G$5))</f>
        <v/>
      </c>
      <c r="N34" s="695" t="str">
        <f aca="false">IF(B34="","",($G$6))</f>
        <v/>
      </c>
      <c r="O34" s="696" t="str">
        <f aca="false">IF(B34="","",(($G$7)))</f>
        <v/>
      </c>
      <c r="P34" s="697" t="str">
        <f aca="false">IF(B34="","",$G$8)</f>
        <v/>
      </c>
      <c r="Q34" s="698" t="str">
        <f aca="false">IF(B34="","",SQRT((L34^2)*(M34^2)+(N34^2)+(O34^2)+(P34^2)))</f>
        <v/>
      </c>
      <c r="R34" s="699" t="str">
        <f aca="false">IF(B34="","",($G$12))</f>
        <v/>
      </c>
      <c r="S34" s="699" t="str">
        <f aca="false">IF(B34="","",($G$13))</f>
        <v/>
      </c>
      <c r="T34" s="700" t="str">
        <f aca="false">IF(B34="","",+$G$14)</f>
        <v/>
      </c>
      <c r="U34" s="684" t="str">
        <f aca="false">IF(B34="","",(($M$17)/2)*1000)</f>
        <v/>
      </c>
      <c r="V34" s="685" t="str">
        <f aca="false">+IF(B34="","",+$G$15)</f>
        <v/>
      </c>
      <c r="W34" s="685" t="str">
        <f aca="false">+IF(B34="","",+$G$16)</f>
        <v/>
      </c>
      <c r="X34" s="685" t="str">
        <f aca="false">+IF(B34="","",+$G$17)</f>
        <v/>
      </c>
      <c r="Y34" s="686" t="str">
        <f aca="false">+IF(B34="","",K34*$G$9)</f>
        <v/>
      </c>
      <c r="Z34" s="686" t="str">
        <f aca="false">+IF(B34="","",K34*$G$12)</f>
        <v/>
      </c>
      <c r="AA34" s="686" t="str">
        <f aca="false">+IF(B34="","",K34*$G$13)</f>
        <v/>
      </c>
      <c r="AB34" s="686" t="str">
        <f aca="false">+IF(B34="","",K34*T34)</f>
        <v/>
      </c>
      <c r="AC34" s="687" t="str">
        <f aca="false">IF(B34="","",('SENSIBILIDAD 2'!B11^2)*(G34^2))</f>
        <v/>
      </c>
      <c r="AD34" s="688" t="str">
        <f aca="false">IF(B34="","",('SENSIBILIDAD 2'!C11^2)*(K34^2))</f>
        <v/>
      </c>
      <c r="AE34" s="688" t="str">
        <f aca="false">IF(B34="","",'SENSIBILIDAD 2'!D11^2*(R34^2))</f>
        <v/>
      </c>
      <c r="AF34" s="688" t="str">
        <f aca="false">IF(B34="","",'SENSIBILIDAD 2'!E11^2*(S34^2))</f>
        <v/>
      </c>
      <c r="AG34" s="688" t="str">
        <f aca="false">IF(B34="","",'SENSIBILIDAD 2'!F11^2*(T34^2))</f>
        <v/>
      </c>
      <c r="AH34" s="688" t="str">
        <f aca="false">IF(B34="","",(('SENSIBILIDAD 2'!G11)^2)*(Q34^2))</f>
        <v/>
      </c>
      <c r="AI34" s="688" t="str">
        <f aca="false">IF(B34="","",'SENSIBILIDAD 2'!H11^2*(U34^2))</f>
        <v/>
      </c>
      <c r="AJ34" s="688" t="str">
        <f aca="false">IF(B34="","",'SENSIBILIDAD 2'!M11^2*(V34^2))</f>
        <v/>
      </c>
      <c r="AK34" s="688" t="str">
        <f aca="false">IF(B34="","",'SENSIBILIDAD 2'!N11^2*(W34^2))</f>
        <v/>
      </c>
      <c r="AL34" s="688" t="str">
        <f aca="false">IF(B34="","",'SENSIBILIDAD 2'!O11^2*(X34^2))</f>
        <v/>
      </c>
      <c r="AM34" s="688" t="str">
        <f aca="false">IF($B34="","",(Y34^2)*('SENSIBILIDAD 2'!K11^2))</f>
        <v/>
      </c>
      <c r="AN34" s="688" t="str">
        <f aca="false">IF($B34="","",(Z34^2)*('SENSIBILIDAD 2'!I11^2))</f>
        <v/>
      </c>
      <c r="AO34" s="688" t="str">
        <f aca="false">IF($B34="","",(AA34^2)*('SENSIBILIDAD 2'!J11^2))</f>
        <v/>
      </c>
      <c r="AP34" s="688" t="str">
        <f aca="false">IF($B34="","",(AB34^2)*('SENSIBILIDAD 2'!L11^2))</f>
        <v/>
      </c>
      <c r="AQ34" s="689" t="str">
        <f aca="false">IF(B34="","",SQRT(AC34+AD34+AE34+AF34+AG34+AH34+AI34+AJ34+AK34+AL34+AM34+AN34+AO34+AP34))</f>
        <v/>
      </c>
      <c r="AR34" s="701" t="str">
        <f aca="false">IF(B34="","",2*AQ34)</f>
        <v/>
      </c>
      <c r="AS34" s="702" t="str">
        <f aca="false">IF(B34="","",+AR34/1000)</f>
        <v/>
      </c>
      <c r="AT34" s="692" t="str">
        <f aca="false">IF('conversion datos'!$L$30='Patrones LACOMET'!$D$3,(IF(N34="","",AS34*39.37008)),IF('conversion datos'!$L$30='Patrones LACOMET'!$D$4,AS34,"No existe el patrón"))</f>
        <v/>
      </c>
      <c r="AU34" s="703"/>
      <c r="AV34" s="704"/>
      <c r="BI34" s="564"/>
      <c r="BJ34" s="564"/>
      <c r="BK34" s="564"/>
      <c r="BL34" s="564"/>
      <c r="BM34" s="655"/>
      <c r="BN34" s="655"/>
    </row>
    <row r="35" customFormat="false" ht="19.5" hidden="false" customHeight="true" outlineLevel="0" collapsed="false">
      <c r="A35" s="81" t="n">
        <f aca="false">+CALIBRACION!A18</f>
        <v>7</v>
      </c>
      <c r="B35" s="672" t="str">
        <f aca="false">IF(CALIBRACION!H18="","",CALIBRACION!H18)</f>
        <v/>
      </c>
      <c r="C35" s="693" t="str">
        <f aca="false">IF(B35="","",+($F$20)/SQRT((5)))</f>
        <v/>
      </c>
      <c r="D35" s="693" t="str">
        <f aca="false">IF(B35="","",$F$21/SQRT((3)))</f>
        <v/>
      </c>
      <c r="E35" s="693" t="str">
        <f aca="false">IF(B35="","",$F$22/(SQRT(12)))</f>
        <v/>
      </c>
      <c r="F35" s="693" t="str">
        <f aca="false">IF(B35="","",$F$23/(SQRT(3)))</f>
        <v/>
      </c>
      <c r="G35" s="694" t="str">
        <f aca="false">IF(B35="","",(SQRT((+C35^2+D35^2+E35^2+F35^2))/(10^-3)))</f>
        <v/>
      </c>
      <c r="H35" s="675" t="str">
        <f aca="false">IF(B35="","",(IF('conversion datos'!$L$30='Patrones LACOMET'!$D$3,(VLOOKUP(B35,'BLOQUES PATRON (pulg) '!$K$5:$Q$91,6,FALSE())*1000),IF('conversion datos'!$L$30='Patrones LACOMET'!$D$4,(VLOOKUP(B35,'BLOQUES PATRON (mm)'!$D$5:$H$126,5,FALSE())),"No existe el patrón"))))</f>
        <v/>
      </c>
      <c r="I35" s="676" t="str">
        <f aca="false">IF(B35="","",0.42^2)</f>
        <v/>
      </c>
      <c r="J35" s="676" t="str">
        <f aca="false">IF(B35="","",IF('conversion datos'!$L$30='Patrones LACOMET'!$D$3,LOOKUP(B35,'BLOQUES PATRON (pulg) '!$S$5:$S$86,'BLOQUES PATRON (pulg) '!$Z$5:$Z$86),IF('conversion datos'!$L$30='Patrones LACOMET'!$D$4,LOOKUP(B35,'BLOQUES PATRON (mm)'!$O$5:$O$126,'BLOQUES PATRON (mm)'!$U$5:$U$126),"No existe el patrón")))</f>
        <v/>
      </c>
      <c r="K35" s="677" t="str">
        <f aca="false">IF(B35="","",SQRT((H35^2)+(J35^2)+(I35^2)))</f>
        <v/>
      </c>
      <c r="L35" s="695" t="str">
        <f aca="false">IF(B35="","",$G$4)</f>
        <v/>
      </c>
      <c r="M35" s="695" t="str">
        <f aca="false">IF(B35="","",($G$5))</f>
        <v/>
      </c>
      <c r="N35" s="695" t="str">
        <f aca="false">IF(B35="","",($G$6))</f>
        <v/>
      </c>
      <c r="O35" s="696" t="str">
        <f aca="false">IF(B35="","",(($G$7)))</f>
        <v/>
      </c>
      <c r="P35" s="697" t="str">
        <f aca="false">IF(B35="","",$G$8)</f>
        <v/>
      </c>
      <c r="Q35" s="698" t="str">
        <f aca="false">IF(B35="","",SQRT((L35^2)*(M35^2)+(N35^2)+(O35^2)+(P35^2)))</f>
        <v/>
      </c>
      <c r="R35" s="699" t="str">
        <f aca="false">IF(B35="","",($G$12))</f>
        <v/>
      </c>
      <c r="S35" s="699" t="str">
        <f aca="false">IF(B35="","",($G$13))</f>
        <v/>
      </c>
      <c r="T35" s="700" t="str">
        <f aca="false">IF(B35="","",+$G$14)</f>
        <v/>
      </c>
      <c r="U35" s="684" t="str">
        <f aca="false">IF(B35="","",(($M$17)/2)*1000)</f>
        <v/>
      </c>
      <c r="V35" s="685" t="str">
        <f aca="false">+IF(B35="","",+$G$15)</f>
        <v/>
      </c>
      <c r="W35" s="685" t="str">
        <f aca="false">+IF(B35="","",+$G$16)</f>
        <v/>
      </c>
      <c r="X35" s="685" t="str">
        <f aca="false">+IF(B35="","",+$G$17)</f>
        <v/>
      </c>
      <c r="Y35" s="686" t="str">
        <f aca="false">+IF(B35="","",K35*$G$9)</f>
        <v/>
      </c>
      <c r="Z35" s="686" t="str">
        <f aca="false">+IF(B35="","",K35*$G$12)</f>
        <v/>
      </c>
      <c r="AA35" s="686" t="str">
        <f aca="false">+IF(B35="","",K35*$G$13)</f>
        <v/>
      </c>
      <c r="AB35" s="686" t="str">
        <f aca="false">+IF(B35="","",K35*T35)</f>
        <v/>
      </c>
      <c r="AC35" s="687" t="str">
        <f aca="false">IF(B35="","",('SENSIBILIDAD 2'!B12^2)*(G35^2))</f>
        <v/>
      </c>
      <c r="AD35" s="688" t="str">
        <f aca="false">IF(B35="","",('SENSIBILIDAD 2'!C12^2)*(K35^2))</f>
        <v/>
      </c>
      <c r="AE35" s="688" t="str">
        <f aca="false">IF(B35="","",'SENSIBILIDAD 2'!D12^2*(R35^2))</f>
        <v/>
      </c>
      <c r="AF35" s="688" t="str">
        <f aca="false">IF(B35="","",'SENSIBILIDAD 2'!E12^2*(S35^2))</f>
        <v/>
      </c>
      <c r="AG35" s="688" t="str">
        <f aca="false">IF(B35="","",'SENSIBILIDAD 2'!F12^2*(T35^2))</f>
        <v/>
      </c>
      <c r="AH35" s="688" t="str">
        <f aca="false">IF(B35="","",(('SENSIBILIDAD 2'!G12)^2)*(Q35^2))</f>
        <v/>
      </c>
      <c r="AI35" s="688" t="str">
        <f aca="false">IF(B35="","",'SENSIBILIDAD 2'!H12^2*(U35^2))</f>
        <v/>
      </c>
      <c r="AJ35" s="688" t="str">
        <f aca="false">IF(B35="","",'SENSIBILIDAD 2'!M12^2*(V35^2))</f>
        <v/>
      </c>
      <c r="AK35" s="688" t="str">
        <f aca="false">IF(B35="","",'SENSIBILIDAD 2'!N12^2*(W35^2))</f>
        <v/>
      </c>
      <c r="AL35" s="688" t="str">
        <f aca="false">IF(B35="","",'SENSIBILIDAD 2'!O12^2*(X35^2))</f>
        <v/>
      </c>
      <c r="AM35" s="688" t="str">
        <f aca="false">IF($B35="","",(Y35^2)*('SENSIBILIDAD 2'!K12^2))</f>
        <v/>
      </c>
      <c r="AN35" s="688" t="str">
        <f aca="false">IF($B35="","",(Z35^2)*('SENSIBILIDAD 2'!I12^2))</f>
        <v/>
      </c>
      <c r="AO35" s="688" t="str">
        <f aca="false">IF($B35="","",(AA35^2)*('SENSIBILIDAD 2'!J12^2))</f>
        <v/>
      </c>
      <c r="AP35" s="688" t="str">
        <f aca="false">IF($B35="","",(AB35^2)*('SENSIBILIDAD 2'!L12^2))</f>
        <v/>
      </c>
      <c r="AQ35" s="689" t="str">
        <f aca="false">IF(B35="","",SQRT(AC35+AD35+AE35+AF35+AG35+AH35+AI35+AJ35+AK35+AL35+AM35+AN35+AO35+AP35))</f>
        <v/>
      </c>
      <c r="AR35" s="701" t="str">
        <f aca="false">IF(B35="","",2*AQ35)</f>
        <v/>
      </c>
      <c r="AS35" s="702" t="str">
        <f aca="false">IF(B35="","",+AR35/1000)</f>
        <v/>
      </c>
      <c r="AT35" s="692" t="str">
        <f aca="false">IF('conversion datos'!$L$30='Patrones LACOMET'!$D$3,(IF(N35="","",AS35*39.37008)),IF('conversion datos'!$L$30='Patrones LACOMET'!$D$4,AS35,"No existe el patrón"))</f>
        <v/>
      </c>
      <c r="AU35" s="703"/>
      <c r="AV35" s="704"/>
      <c r="AX35" s="705" t="s">
        <v>728</v>
      </c>
      <c r="BI35" s="564"/>
      <c r="BJ35" s="564"/>
      <c r="BK35" s="564"/>
      <c r="BL35" s="564"/>
      <c r="BM35" s="655"/>
      <c r="BN35" s="655"/>
    </row>
    <row r="36" customFormat="false" ht="19.5" hidden="false" customHeight="true" outlineLevel="0" collapsed="false">
      <c r="A36" s="81" t="n">
        <f aca="false">+CALIBRACION!A19</f>
        <v>8</v>
      </c>
      <c r="B36" s="672" t="str">
        <f aca="false">IF(CALIBRACION!H19="","",CALIBRACION!H19)</f>
        <v/>
      </c>
      <c r="C36" s="693" t="str">
        <f aca="false">IF(B36="","",+($F$20)/SQRT((5)))</f>
        <v/>
      </c>
      <c r="D36" s="693" t="str">
        <f aca="false">IF(B36="","",$F$21/SQRT((3)))</f>
        <v/>
      </c>
      <c r="E36" s="693" t="str">
        <f aca="false">IF(B36="","",$F$22/(SQRT(12)))</f>
        <v/>
      </c>
      <c r="F36" s="693" t="str">
        <f aca="false">IF(B36="","",$F$23/(SQRT(3)))</f>
        <v/>
      </c>
      <c r="G36" s="694" t="str">
        <f aca="false">IF(B36="","",(SQRT((+C36^2+D36^2+E36^2+F36^2))/(10^-3)))</f>
        <v/>
      </c>
      <c r="H36" s="675" t="str">
        <f aca="false">IF(B36="","",(IF('conversion datos'!$L$30='Patrones LACOMET'!$D$3,(VLOOKUP(B36,'BLOQUES PATRON (pulg) '!$K$5:$Q$91,6,FALSE())*1000),IF('conversion datos'!$L$30='Patrones LACOMET'!$D$4,(VLOOKUP(B36,'BLOQUES PATRON (mm)'!$D$5:$H$126,5,FALSE())),"No existe el patrón"))))</f>
        <v/>
      </c>
      <c r="I36" s="676" t="str">
        <f aca="false">IF(B36="","",0.42^2)</f>
        <v/>
      </c>
      <c r="J36" s="676" t="str">
        <f aca="false">IF(B36="","",IF('conversion datos'!$L$30='Patrones LACOMET'!$D$3,LOOKUP(B36,'BLOQUES PATRON (pulg) '!$S$5:$S$86,'BLOQUES PATRON (pulg) '!$Z$5:$Z$86),IF('conversion datos'!$L$30='Patrones LACOMET'!$D$4,LOOKUP(B36,'BLOQUES PATRON (mm)'!$O$5:$O$126,'BLOQUES PATRON (mm)'!$U$5:$U$126),"No existe el patrón")))</f>
        <v/>
      </c>
      <c r="K36" s="677" t="str">
        <f aca="false">IF(B36="","",SQRT((H36^2)+(J36^2)+(I36^2)))</f>
        <v/>
      </c>
      <c r="L36" s="695" t="str">
        <f aca="false">IF(B36="","",$G$4)</f>
        <v/>
      </c>
      <c r="M36" s="695" t="str">
        <f aca="false">IF(B36="","",($G$5))</f>
        <v/>
      </c>
      <c r="N36" s="695" t="str">
        <f aca="false">IF(B36="","",($G$6))</f>
        <v/>
      </c>
      <c r="O36" s="696" t="str">
        <f aca="false">IF(B36="","",(($G$7)))</f>
        <v/>
      </c>
      <c r="P36" s="697" t="str">
        <f aca="false">IF(B36="","",$G$8)</f>
        <v/>
      </c>
      <c r="Q36" s="698" t="str">
        <f aca="false">IF(B36="","",SQRT((L36^2)*(M36^2)+(N36^2)+(O36^2)+(P36^2)))</f>
        <v/>
      </c>
      <c r="R36" s="699" t="str">
        <f aca="false">IF(B36="","",($G$12))</f>
        <v/>
      </c>
      <c r="S36" s="699" t="str">
        <f aca="false">IF(B36="","",($G$13))</f>
        <v/>
      </c>
      <c r="T36" s="700" t="str">
        <f aca="false">IF(B36="","",+$F$14/SQRT(12))</f>
        <v/>
      </c>
      <c r="U36" s="684" t="str">
        <f aca="false">IF(B36="","",(($M$17)/2)*1000)</f>
        <v/>
      </c>
      <c r="V36" s="685" t="str">
        <f aca="false">+IF(B36="","",+$G$15)</f>
        <v/>
      </c>
      <c r="W36" s="685" t="str">
        <f aca="false">+IF(B36="","",+$G$16)</f>
        <v/>
      </c>
      <c r="X36" s="685" t="str">
        <f aca="false">+IF(B36="","",+$G$17)</f>
        <v/>
      </c>
      <c r="Y36" s="686" t="str">
        <f aca="false">+IF(B36="","",K36*$G$9)</f>
        <v/>
      </c>
      <c r="Z36" s="686" t="str">
        <f aca="false">+IF(B36="","",K36*$G$12)</f>
        <v/>
      </c>
      <c r="AA36" s="686" t="str">
        <f aca="false">+IF(B36="","",K36*$G$13)</f>
        <v/>
      </c>
      <c r="AB36" s="686" t="str">
        <f aca="false">+IF(B36="","",K36*T36)</f>
        <v/>
      </c>
      <c r="AC36" s="687" t="str">
        <f aca="false">IF(B36="","",('SENSIBILIDAD 2'!B13^2)*(G36^2))</f>
        <v/>
      </c>
      <c r="AD36" s="688" t="str">
        <f aca="false">IF(B36="","",('SENSIBILIDAD 2'!C13^2)*(K36^2))</f>
        <v/>
      </c>
      <c r="AE36" s="688" t="str">
        <f aca="false">IF(B36="","",'SENSIBILIDAD 2'!D13^2*(R36^2))</f>
        <v/>
      </c>
      <c r="AF36" s="688" t="str">
        <f aca="false">IF(B36="","",'SENSIBILIDAD 2'!E13^2*(S36^2))</f>
        <v/>
      </c>
      <c r="AG36" s="688" t="str">
        <f aca="false">IF(B36="","",'SENSIBILIDAD 2'!F13^2*(T36^2))</f>
        <v/>
      </c>
      <c r="AH36" s="688" t="str">
        <f aca="false">IF(B36="","",(('SENSIBILIDAD 2'!G13)^2)*(Q36^2))</f>
        <v/>
      </c>
      <c r="AI36" s="688" t="str">
        <f aca="false">IF(B36="","",'SENSIBILIDAD 2'!H13^2*(U36^2))</f>
        <v/>
      </c>
      <c r="AJ36" s="688" t="str">
        <f aca="false">IF(B36="","",'SENSIBILIDAD 2'!M13^2*(V36^2))</f>
        <v/>
      </c>
      <c r="AK36" s="688" t="str">
        <f aca="false">IF(B36="","",'SENSIBILIDAD 2'!N13^2*(W36^2))</f>
        <v/>
      </c>
      <c r="AL36" s="688" t="str">
        <f aca="false">IF(B36="","",'SENSIBILIDAD 2'!O13^2*(X36^2))</f>
        <v/>
      </c>
      <c r="AM36" s="688" t="str">
        <f aca="false">IF($B36="","",(Y36^2)*('SENSIBILIDAD 2'!K13^2))</f>
        <v/>
      </c>
      <c r="AN36" s="688" t="str">
        <f aca="false">IF($B36="","",(Z36^2)*('SENSIBILIDAD 2'!I13^2))</f>
        <v/>
      </c>
      <c r="AO36" s="688" t="str">
        <f aca="false">IF($B36="","",(AA36^2)*('SENSIBILIDAD 2'!J13^2))</f>
        <v/>
      </c>
      <c r="AP36" s="688" t="str">
        <f aca="false">IF($B36="","",(AB36^2)*('SENSIBILIDAD 2'!L13^2))</f>
        <v/>
      </c>
      <c r="AQ36" s="689" t="str">
        <f aca="false">IF(B36="","",SQRT(AC36+AD36+AE36+AF36+AG36+AH36+AI36+AJ36+AK36+AL36+AM36+AN36+AO36+AP36))</f>
        <v/>
      </c>
      <c r="AR36" s="701" t="str">
        <f aca="false">IF(B36="","",2*AQ36)</f>
        <v/>
      </c>
      <c r="AS36" s="702" t="str">
        <f aca="false">IF(B36="","",+AR36/1000)</f>
        <v/>
      </c>
      <c r="AT36" s="692" t="str">
        <f aca="false">IF('conversion datos'!$L$30='Patrones LACOMET'!$D$3,(IF(N36="","",AS36*39.37008)),IF('conversion datos'!$L$30='Patrones LACOMET'!$D$4,AS36,"No existe el patrón"))</f>
        <v/>
      </c>
      <c r="BI36" s="564"/>
      <c r="BJ36" s="564"/>
      <c r="BK36" s="564"/>
      <c r="BL36" s="564"/>
      <c r="BM36" s="655"/>
      <c r="BN36" s="655"/>
    </row>
    <row r="37" customFormat="false" ht="19.5" hidden="false" customHeight="true" outlineLevel="0" collapsed="false">
      <c r="A37" s="81" t="n">
        <f aca="false">+CALIBRACION!A20</f>
        <v>9</v>
      </c>
      <c r="B37" s="672" t="str">
        <f aca="false">IF(CALIBRACION!H20="","",CALIBRACION!H20)</f>
        <v/>
      </c>
      <c r="C37" s="693" t="str">
        <f aca="false">IF(B37="","",+($F$20)/SQRT((5)))</f>
        <v/>
      </c>
      <c r="D37" s="693" t="str">
        <f aca="false">IF(B37="","",$F$21/SQRT((3)))</f>
        <v/>
      </c>
      <c r="E37" s="693" t="str">
        <f aca="false">IF(B37="","",$F$22/(SQRT(12)))</f>
        <v/>
      </c>
      <c r="F37" s="693" t="str">
        <f aca="false">IF(B37="","",$F$23/(SQRT(3)))</f>
        <v/>
      </c>
      <c r="G37" s="694" t="str">
        <f aca="false">IF(B37="","",(SQRT((+C37^2+D37^2+E37^2+F37^2))/(10^-3)))</f>
        <v/>
      </c>
      <c r="H37" s="675" t="str">
        <f aca="false">IF(B37="","",(IF('conversion datos'!$L$30='Patrones LACOMET'!$D$3,(VLOOKUP(B37,'BLOQUES PATRON (pulg) '!$K$5:$Q$91,6,FALSE())*1000),IF('conversion datos'!$L$30='Patrones LACOMET'!$D$4,(VLOOKUP(B37,'BLOQUES PATRON (mm)'!$D$5:$H$126,5,FALSE())),"No existe el patrón"))))</f>
        <v/>
      </c>
      <c r="I37" s="676" t="str">
        <f aca="false">IF(B37="","",0.42^2)</f>
        <v/>
      </c>
      <c r="J37" s="676" t="str">
        <f aca="false">IF(B37="","",IF('conversion datos'!$L$30='Patrones LACOMET'!$D$3,LOOKUP(B37,'BLOQUES PATRON (pulg) '!$S$5:$S$86,'BLOQUES PATRON (pulg) '!$Z$5:$Z$86),IF('conversion datos'!$L$30='Patrones LACOMET'!$D$4,LOOKUP(B37,'BLOQUES PATRON (mm)'!$O$5:$O$126,'BLOQUES PATRON (mm)'!$U$5:$U$126),"No existe el patrón")))</f>
        <v/>
      </c>
      <c r="K37" s="677" t="str">
        <f aca="false">IF(B37="","",SQRT((H37^2)+(J37^2)+(I37^2)))</f>
        <v/>
      </c>
      <c r="L37" s="695" t="str">
        <f aca="false">IF(B37="","",$G$4)</f>
        <v/>
      </c>
      <c r="M37" s="695" t="str">
        <f aca="false">IF(B37="","",($G$5))</f>
        <v/>
      </c>
      <c r="N37" s="695" t="str">
        <f aca="false">IF(B37="","",($G$6))</f>
        <v/>
      </c>
      <c r="O37" s="696" t="str">
        <f aca="false">IF(B37="","",(($G$7)))</f>
        <v/>
      </c>
      <c r="P37" s="697" t="str">
        <f aca="false">IF(B37="","",$G$8)</f>
        <v/>
      </c>
      <c r="Q37" s="698" t="str">
        <f aca="false">IF(B37="","",SQRT((L37^2)*(M37^2)+(N37^2)+(O37^2)+(P37^2)))</f>
        <v/>
      </c>
      <c r="R37" s="699" t="str">
        <f aca="false">IF(B37="","",($G$12))</f>
        <v/>
      </c>
      <c r="S37" s="699" t="str">
        <f aca="false">IF(B37="","",($G$13))</f>
        <v/>
      </c>
      <c r="T37" s="700" t="str">
        <f aca="false">IF(B37="","",+$F$14/SQRT(12))</f>
        <v/>
      </c>
      <c r="U37" s="684" t="str">
        <f aca="false">IF(B37="","",(($M$17)/2)*1000)</f>
        <v/>
      </c>
      <c r="V37" s="685" t="str">
        <f aca="false">+IF(B37="","",+$G$15)</f>
        <v/>
      </c>
      <c r="W37" s="685" t="str">
        <f aca="false">+IF(B37="","",+$G$16)</f>
        <v/>
      </c>
      <c r="X37" s="685" t="str">
        <f aca="false">+IF(B37="","",+$G$17)</f>
        <v/>
      </c>
      <c r="Y37" s="686" t="str">
        <f aca="false">+IF(B37="","",K37*$G$9)</f>
        <v/>
      </c>
      <c r="Z37" s="686" t="str">
        <f aca="false">+IF(B37="","",K37*$G$12)</f>
        <v/>
      </c>
      <c r="AA37" s="686" t="str">
        <f aca="false">+IF(B37="","",K37*$G$13)</f>
        <v/>
      </c>
      <c r="AB37" s="686" t="str">
        <f aca="false">+IF(B37="","",K37*T37)</f>
        <v/>
      </c>
      <c r="AC37" s="687" t="str">
        <f aca="false">IF(B37="","",('SENSIBILIDAD 2'!B14^2)*(G37^2))</f>
        <v/>
      </c>
      <c r="AD37" s="688" t="str">
        <f aca="false">IF(B37="","",('SENSIBILIDAD 2'!C14^2)*(K37^2))</f>
        <v/>
      </c>
      <c r="AE37" s="688" t="str">
        <f aca="false">IF(B37="","",'SENSIBILIDAD 2'!D14^2*(R37^2))</f>
        <v/>
      </c>
      <c r="AF37" s="688" t="str">
        <f aca="false">IF(B37="","",'SENSIBILIDAD 2'!E14^2*(S37^2))</f>
        <v/>
      </c>
      <c r="AG37" s="688" t="str">
        <f aca="false">IF(B37="","",'SENSIBILIDAD 2'!F14^2*(T37^2))</f>
        <v/>
      </c>
      <c r="AH37" s="688" t="str">
        <f aca="false">IF(B37="","",(('SENSIBILIDAD 2'!G14)^2)*(Q37^2))</f>
        <v/>
      </c>
      <c r="AI37" s="688" t="str">
        <f aca="false">IF(B37="","",'SENSIBILIDAD 2'!H14^2*(U37^2))</f>
        <v/>
      </c>
      <c r="AJ37" s="688" t="str">
        <f aca="false">IF(B37="","",'SENSIBILIDAD 2'!M14^2*(V37^2))</f>
        <v/>
      </c>
      <c r="AK37" s="688" t="str">
        <f aca="false">IF(B37="","",'SENSIBILIDAD 2'!N14^2*(W37^2))</f>
        <v/>
      </c>
      <c r="AL37" s="688" t="str">
        <f aca="false">IF(B37="","",'SENSIBILIDAD 2'!O14^2*(X37^2))</f>
        <v/>
      </c>
      <c r="AM37" s="688" t="str">
        <f aca="false">IF($B37="","",(Y37^2)*('SENSIBILIDAD 2'!K14^2))</f>
        <v/>
      </c>
      <c r="AN37" s="688" t="str">
        <f aca="false">IF($B37="","",(Z37^2)*('SENSIBILIDAD 2'!I14^2))</f>
        <v/>
      </c>
      <c r="AO37" s="688" t="str">
        <f aca="false">IF($B37="","",(AA37^2)*('SENSIBILIDAD 2'!J14^2))</f>
        <v/>
      </c>
      <c r="AP37" s="688" t="str">
        <f aca="false">IF($B37="","",(AB37^2)*('SENSIBILIDAD 2'!L14^2))</f>
        <v/>
      </c>
      <c r="AQ37" s="689" t="str">
        <f aca="false">IF(B37="","",SQRT(AC37+AD37+AE37+AF37+AG37+AH37+AI37+AJ37+AK37+AL37+AM37+AN37+AO37+AP37))</f>
        <v/>
      </c>
      <c r="AR37" s="701" t="str">
        <f aca="false">IF(B37="","",2*AQ37)</f>
        <v/>
      </c>
      <c r="AS37" s="702" t="str">
        <f aca="false">IF(B37="","",+AR37/1000)</f>
        <v/>
      </c>
      <c r="AT37" s="692" t="str">
        <f aca="false">IF('conversion datos'!$L$30='Patrones LACOMET'!$D$3,(IF(N37="","",AS37*39.37008)),IF('conversion datos'!$L$30='Patrones LACOMET'!$D$4,AS37,"No existe el patrón"))</f>
        <v/>
      </c>
      <c r="BI37" s="564"/>
      <c r="BJ37" s="564"/>
      <c r="BK37" s="564"/>
      <c r="BL37" s="564"/>
      <c r="BM37" s="655"/>
      <c r="BN37" s="655"/>
    </row>
    <row r="38" customFormat="false" ht="19.5" hidden="false" customHeight="true" outlineLevel="0" collapsed="false">
      <c r="A38" s="81" t="n">
        <f aca="false">+CALIBRACION!A21</f>
        <v>10</v>
      </c>
      <c r="B38" s="672" t="str">
        <f aca="false">IF(CALIBRACION!H21="","",CALIBRACION!H21)</f>
        <v/>
      </c>
      <c r="C38" s="693" t="str">
        <f aca="false">IF(B38="","",+($F$20)/SQRT((5)))</f>
        <v/>
      </c>
      <c r="D38" s="693" t="str">
        <f aca="false">IF(B38="","",$F$21/SQRT((3)))</f>
        <v/>
      </c>
      <c r="E38" s="693" t="str">
        <f aca="false">IF(B38="","",$F$22/(SQRT(12)))</f>
        <v/>
      </c>
      <c r="F38" s="693" t="str">
        <f aca="false">IF(B38="","",$F$23/(SQRT(3)))</f>
        <v/>
      </c>
      <c r="G38" s="694" t="str">
        <f aca="false">IF(B38="","",(SQRT((+C38^2+D38^2+E38^2+F38^2))/(10^-3)))</f>
        <v/>
      </c>
      <c r="H38" s="675" t="str">
        <f aca="false">IF(B38="","",(IF('conversion datos'!$L$30='Patrones LACOMET'!$D$3,(VLOOKUP(B38,'BLOQUES PATRON (pulg) '!$K$5:$Q$91,6,FALSE())*1000),IF('conversion datos'!$L$30='Patrones LACOMET'!$D$4,(VLOOKUP(B38,'BLOQUES PATRON (mm)'!$D$5:$H$126,5,FALSE())),"No existe el patrón"))))</f>
        <v/>
      </c>
      <c r="I38" s="676" t="str">
        <f aca="false">IF(B38="","",0.42^2)</f>
        <v/>
      </c>
      <c r="J38" s="676" t="str">
        <f aca="false">IF(B38="","",IF('conversion datos'!$L$30='Patrones LACOMET'!$D$3,LOOKUP(B38,'BLOQUES PATRON (pulg) '!$S$5:$S$86,'BLOQUES PATRON (pulg) '!$Z$5:$Z$86),IF('conversion datos'!$L$30='Patrones LACOMET'!$D$4,LOOKUP(B38,'BLOQUES PATRON (mm)'!$O$5:$O$126,'BLOQUES PATRON (mm)'!$U$5:$U$126),"No existe el patrón")))</f>
        <v/>
      </c>
      <c r="K38" s="677" t="str">
        <f aca="false">IF(B38="","",SQRT((H38^2)+(J38^2)+(I38^2)))</f>
        <v/>
      </c>
      <c r="L38" s="695" t="str">
        <f aca="false">IF(B38="","",$G$4)</f>
        <v/>
      </c>
      <c r="M38" s="695" t="str">
        <f aca="false">IF(B38="","",($G$5))</f>
        <v/>
      </c>
      <c r="N38" s="695" t="str">
        <f aca="false">IF(B38="","",($G$6))</f>
        <v/>
      </c>
      <c r="O38" s="696" t="str">
        <f aca="false">IF(B38="","",(($G$7)))</f>
        <v/>
      </c>
      <c r="P38" s="697" t="str">
        <f aca="false">IF(B38="","",$G$8)</f>
        <v/>
      </c>
      <c r="Q38" s="698" t="str">
        <f aca="false">IF(B38="","",SQRT((L38^2)*(M38^2)+(N38^2)+(O38^2)+(P38^2)))</f>
        <v/>
      </c>
      <c r="R38" s="699" t="str">
        <f aca="false">IF(B38="","",($G$12))</f>
        <v/>
      </c>
      <c r="S38" s="699" t="str">
        <f aca="false">IF(B38="","",($G$13))</f>
        <v/>
      </c>
      <c r="T38" s="700" t="str">
        <f aca="false">IF(B38="","",+$F$14/SQRT(12))</f>
        <v/>
      </c>
      <c r="U38" s="684" t="str">
        <f aca="false">IF(B38="","",(($M$17)/2)*1000)</f>
        <v/>
      </c>
      <c r="V38" s="685" t="str">
        <f aca="false">+IF(B38="","",+$G$15)</f>
        <v/>
      </c>
      <c r="W38" s="685" t="str">
        <f aca="false">+IF(B38="","",+$G$16)</f>
        <v/>
      </c>
      <c r="X38" s="685" t="str">
        <f aca="false">+IF(B38="","",+$G$17)</f>
        <v/>
      </c>
      <c r="Y38" s="686" t="str">
        <f aca="false">+IF(B38="","",K38*$G$9)</f>
        <v/>
      </c>
      <c r="Z38" s="686" t="str">
        <f aca="false">+IF(B38="","",K38*$G$12)</f>
        <v/>
      </c>
      <c r="AA38" s="686" t="str">
        <f aca="false">+IF(B38="","",K38*$G$13)</f>
        <v/>
      </c>
      <c r="AB38" s="686" t="str">
        <f aca="false">+IF(B38="","",K38*T38)</f>
        <v/>
      </c>
      <c r="AC38" s="687" t="str">
        <f aca="false">IF(B38="","",('SENSIBILIDAD 2'!B15^2)*(G38^2))</f>
        <v/>
      </c>
      <c r="AD38" s="688" t="str">
        <f aca="false">IF(B38="","",('SENSIBILIDAD 2'!C15^2)*(K38^2))</f>
        <v/>
      </c>
      <c r="AE38" s="688" t="str">
        <f aca="false">IF(B38="","",'SENSIBILIDAD 2'!D15^2*(R38^2))</f>
        <v/>
      </c>
      <c r="AF38" s="688" t="str">
        <f aca="false">IF(B38="","",'SENSIBILIDAD 2'!E15^2*(S38^2))</f>
        <v/>
      </c>
      <c r="AG38" s="688" t="str">
        <f aca="false">IF(B38="","",'SENSIBILIDAD 2'!F15^2*(T38^2))</f>
        <v/>
      </c>
      <c r="AH38" s="688" t="str">
        <f aca="false">IF(B38="","",(('SENSIBILIDAD 2'!G15)^2)*(Q38^2))</f>
        <v/>
      </c>
      <c r="AI38" s="688" t="str">
        <f aca="false">IF(B38="","",'SENSIBILIDAD 2'!H15^2*(U38^2))</f>
        <v/>
      </c>
      <c r="AJ38" s="688" t="str">
        <f aca="false">IF(B38="","",'SENSIBILIDAD 2'!M15^2*(V38^2))</f>
        <v/>
      </c>
      <c r="AK38" s="688" t="str">
        <f aca="false">IF(B38="","",'SENSIBILIDAD 2'!N15^2*(W38^2))</f>
        <v/>
      </c>
      <c r="AL38" s="688" t="str">
        <f aca="false">IF(B38="","",'SENSIBILIDAD 2'!O15^2*(X38^2))</f>
        <v/>
      </c>
      <c r="AM38" s="688" t="str">
        <f aca="false">IF($B38="","",(Y38^2)*('SENSIBILIDAD 2'!K15^2))</f>
        <v/>
      </c>
      <c r="AN38" s="688" t="str">
        <f aca="false">IF($B38="","",(Z38^2)*('SENSIBILIDAD 2'!I15^2))</f>
        <v/>
      </c>
      <c r="AO38" s="688" t="str">
        <f aca="false">IF($B38="","",(AA38^2)*('SENSIBILIDAD 2'!J15^2))</f>
        <v/>
      </c>
      <c r="AP38" s="688" t="str">
        <f aca="false">IF($B38="","",(AB38^2)*('SENSIBILIDAD 2'!L15^2))</f>
        <v/>
      </c>
      <c r="AQ38" s="689" t="str">
        <f aca="false">IF(B38="","",SQRT(AC38+AD38+AE38+AF38+AG38+AH38+AI38+AJ38+AK38+AL38+AM38+AN38+AO38+AP38))</f>
        <v/>
      </c>
      <c r="AR38" s="701" t="str">
        <f aca="false">IF(B38="","",2*AQ38)</f>
        <v/>
      </c>
      <c r="AS38" s="702" t="str">
        <f aca="false">IF(B38="","",+AR38/1000)</f>
        <v/>
      </c>
      <c r="AT38" s="692" t="str">
        <f aca="false">IF('conversion datos'!$L$30='Patrones LACOMET'!$D$3,(IF(N38="","",AS38*39.37008)),IF('conversion datos'!$L$30='Patrones LACOMET'!$D$4,AS38,"No existe el patrón"))</f>
        <v/>
      </c>
      <c r="BI38" s="564"/>
      <c r="BJ38" s="564"/>
      <c r="BK38" s="564"/>
      <c r="BL38" s="564"/>
      <c r="BM38" s="655"/>
      <c r="BN38" s="655"/>
    </row>
    <row r="39" customFormat="false" ht="19.5" hidden="false" customHeight="true" outlineLevel="0" collapsed="false">
      <c r="A39" s="81" t="n">
        <f aca="false">+CALIBRACION!A22</f>
        <v>11</v>
      </c>
      <c r="B39" s="672" t="str">
        <f aca="false">IF(CALIBRACION!H22="","",CALIBRACION!H22)</f>
        <v/>
      </c>
      <c r="C39" s="693" t="str">
        <f aca="false">IF(B39="","",+($F$20)/SQRT((5)))</f>
        <v/>
      </c>
      <c r="D39" s="693" t="str">
        <f aca="false">IF(B39="","",$F$21/SQRT((3)))</f>
        <v/>
      </c>
      <c r="E39" s="693" t="str">
        <f aca="false">IF(B39="","",$F$22/(SQRT(12)))</f>
        <v/>
      </c>
      <c r="F39" s="693" t="str">
        <f aca="false">IF(B39="","",$F$23/(SQRT(3)))</f>
        <v/>
      </c>
      <c r="G39" s="694" t="str">
        <f aca="false">IF(B39="","",(SQRT((+C39^2+D39^2+E39^2+F39^2))/(10^-3)))</f>
        <v/>
      </c>
      <c r="H39" s="675" t="str">
        <f aca="false">IF(B39="","",(IF('conversion datos'!$L$30='Patrones LACOMET'!$D$3,(VLOOKUP(B39,'BLOQUES PATRON (pulg) '!$K$5:$Q$91,6,FALSE())*1000),IF('conversion datos'!$L$30='Patrones LACOMET'!$D$4,(VLOOKUP(B39,'BLOQUES PATRON (mm)'!$D$5:$H$126,5,FALSE())),"No existe el patrón"))))</f>
        <v/>
      </c>
      <c r="I39" s="676" t="str">
        <f aca="false">IF(B39="","",0.42^2)</f>
        <v/>
      </c>
      <c r="J39" s="676" t="str">
        <f aca="false">IF(B39="","",IF('conversion datos'!$L$30='Patrones LACOMET'!$D$3,LOOKUP(B39,'BLOQUES PATRON (pulg) '!$S$5:$S$86,'BLOQUES PATRON (pulg) '!$Z$5:$Z$86),IF('conversion datos'!$L$30='Patrones LACOMET'!$D$4,LOOKUP(B39,'BLOQUES PATRON (mm)'!$O$5:$O$126,'BLOQUES PATRON (mm)'!$U$5:$U$126),"No existe el patrón")))</f>
        <v/>
      </c>
      <c r="K39" s="677" t="str">
        <f aca="false">IF(B39="","",SQRT((H39^2)+(J39^2)+(I39^2)))</f>
        <v/>
      </c>
      <c r="L39" s="695" t="str">
        <f aca="false">IF(B39="","",$G$4)</f>
        <v/>
      </c>
      <c r="M39" s="695" t="str">
        <f aca="false">IF(B39="","",($G$5))</f>
        <v/>
      </c>
      <c r="N39" s="695" t="str">
        <f aca="false">IF(B39="","",($G$6))</f>
        <v/>
      </c>
      <c r="O39" s="696" t="str">
        <f aca="false">IF(B39="","",(($G$7)))</f>
        <v/>
      </c>
      <c r="P39" s="697" t="str">
        <f aca="false">IF(B39="","",$G$8)</f>
        <v/>
      </c>
      <c r="Q39" s="698" t="str">
        <f aca="false">IF(B39="","",SQRT((L39^2)*(M39^2)+(N39^2)+(O39^2)+(P39^2)))</f>
        <v/>
      </c>
      <c r="R39" s="699" t="str">
        <f aca="false">IF(B39="","",($G$12))</f>
        <v/>
      </c>
      <c r="S39" s="699" t="str">
        <f aca="false">IF(B39="","",($G$13))</f>
        <v/>
      </c>
      <c r="T39" s="700" t="str">
        <f aca="false">IF(B39="","",+$F$14/SQRT(12))</f>
        <v/>
      </c>
      <c r="U39" s="684" t="str">
        <f aca="false">IF(B39="","",(($M$17)/2)*1000)</f>
        <v/>
      </c>
      <c r="V39" s="685" t="str">
        <f aca="false">+IF(B39="","",+$G$15)</f>
        <v/>
      </c>
      <c r="W39" s="685" t="str">
        <f aca="false">+IF(B39="","",+$G$16)</f>
        <v/>
      </c>
      <c r="X39" s="685" t="str">
        <f aca="false">+IF(B39="","",+$G$17)</f>
        <v/>
      </c>
      <c r="Y39" s="686" t="str">
        <f aca="false">+IF(B39="","",K39*$G$9)</f>
        <v/>
      </c>
      <c r="Z39" s="686" t="str">
        <f aca="false">+IF(B39="","",K39*$G$12)</f>
        <v/>
      </c>
      <c r="AA39" s="686" t="str">
        <f aca="false">+IF(B39="","",K39*$G$13)</f>
        <v/>
      </c>
      <c r="AB39" s="686" t="str">
        <f aca="false">+IF(B39="","",K39*T39)</f>
        <v/>
      </c>
      <c r="AC39" s="687" t="str">
        <f aca="false">IF(B39="","",('SENSIBILIDAD 2'!B16^2)*(G39^2))</f>
        <v/>
      </c>
      <c r="AD39" s="688" t="str">
        <f aca="false">IF(B39="","",('SENSIBILIDAD 2'!C16^2)*(K39^2))</f>
        <v/>
      </c>
      <c r="AE39" s="688" t="str">
        <f aca="false">IF(B39="","",'SENSIBILIDAD 2'!D16^2*(R39^2))</f>
        <v/>
      </c>
      <c r="AF39" s="688" t="str">
        <f aca="false">IF(B39="","",'SENSIBILIDAD 2'!E16^2*(S39^2))</f>
        <v/>
      </c>
      <c r="AG39" s="688" t="str">
        <f aca="false">IF(B39="","",'SENSIBILIDAD 2'!F16^2*(T39^2))</f>
        <v/>
      </c>
      <c r="AH39" s="688" t="str">
        <f aca="false">IF(B39="","",(('SENSIBILIDAD 2'!G16)^2)*(Q39^2))</f>
        <v/>
      </c>
      <c r="AI39" s="688" t="str">
        <f aca="false">IF(B39="","",'SENSIBILIDAD 2'!H16^2*(U39^2))</f>
        <v/>
      </c>
      <c r="AJ39" s="688" t="str">
        <f aca="false">IF(B39="","",'SENSIBILIDAD 2'!M16^2*(V39^2))</f>
        <v/>
      </c>
      <c r="AK39" s="688" t="str">
        <f aca="false">IF(B39="","",'SENSIBILIDAD 2'!N16^2*(W39^2))</f>
        <v/>
      </c>
      <c r="AL39" s="688" t="str">
        <f aca="false">IF(B39="","",'SENSIBILIDAD 2'!O16^2*(X39^2))</f>
        <v/>
      </c>
      <c r="AM39" s="688" t="str">
        <f aca="false">IF($B39="","",(Y39^2)*('SENSIBILIDAD 2'!K16^2))</f>
        <v/>
      </c>
      <c r="AN39" s="688" t="str">
        <f aca="false">IF($B39="","",(Z39^2)*('SENSIBILIDAD 2'!I16^2))</f>
        <v/>
      </c>
      <c r="AO39" s="688" t="str">
        <f aca="false">IF($B39="","",(AA39^2)*('SENSIBILIDAD 2'!J16^2))</f>
        <v/>
      </c>
      <c r="AP39" s="688" t="str">
        <f aca="false">IF($B39="","",(AB39^2)*('SENSIBILIDAD 2'!L16^2))</f>
        <v/>
      </c>
      <c r="AQ39" s="689" t="str">
        <f aca="false">IF(B39="","",SQRT(AC39+AD39+AE39+AF39+AG39+AH39+AI39+AJ39+AK39+AL39+AM39+AN39+AO39+AP39))</f>
        <v/>
      </c>
      <c r="AR39" s="701" t="str">
        <f aca="false">IF(B39="","",2*AQ39)</f>
        <v/>
      </c>
      <c r="AS39" s="702" t="str">
        <f aca="false">IF(B39="","",+AR39/1000)</f>
        <v/>
      </c>
      <c r="AT39" s="692" t="str">
        <f aca="false">IF('conversion datos'!$L$30='Patrones LACOMET'!$D$3,(IF(N39="","",AS39*39.37008)),IF('conversion datos'!$L$30='Patrones LACOMET'!$D$4,AS39,"No existe el patrón"))</f>
        <v/>
      </c>
      <c r="BI39" s="564"/>
      <c r="BJ39" s="564"/>
      <c r="BK39" s="564"/>
      <c r="BL39" s="564"/>
      <c r="BM39" s="655"/>
      <c r="BN39" s="655"/>
    </row>
    <row r="40" customFormat="false" ht="19.5" hidden="false" customHeight="true" outlineLevel="0" collapsed="false">
      <c r="A40" s="81" t="n">
        <f aca="false">+CALIBRACION!A23</f>
        <v>12</v>
      </c>
      <c r="B40" s="672" t="str">
        <f aca="false">IF(CALIBRACION!H23="","",CALIBRACION!H23)</f>
        <v/>
      </c>
      <c r="C40" s="693" t="str">
        <f aca="false">IF(B40="","",+($F$20)/SQRT((5)))</f>
        <v/>
      </c>
      <c r="D40" s="693" t="str">
        <f aca="false">IF(B40="","",$F$21/SQRT((3)))</f>
        <v/>
      </c>
      <c r="E40" s="693" t="str">
        <f aca="false">IF(B40="","",$F$22/(SQRT(12)))</f>
        <v/>
      </c>
      <c r="F40" s="693" t="str">
        <f aca="false">IF(B40="","",$F$23/(SQRT(3)))</f>
        <v/>
      </c>
      <c r="G40" s="694" t="str">
        <f aca="false">IF(B40="","",(SQRT((+C40^2+D40^2+E40^2+F40^2))/(10^-3)))</f>
        <v/>
      </c>
      <c r="H40" s="675" t="str">
        <f aca="false">IF(B40="","",(IF('conversion datos'!$L$30='Patrones LACOMET'!$D$3,(VLOOKUP(B40,'BLOQUES PATRON (pulg) '!$K$5:$Q$91,6,FALSE())*1000),IF('conversion datos'!$L$30='Patrones LACOMET'!$D$4,(VLOOKUP(B40,'BLOQUES PATRON (mm)'!$D$5:$H$126,5,FALSE())),"No existe el patrón"))))</f>
        <v/>
      </c>
      <c r="I40" s="676" t="str">
        <f aca="false">IF(B40="","",0.42^2)</f>
        <v/>
      </c>
      <c r="J40" s="676" t="str">
        <f aca="false">IF(B40="","",IF('conversion datos'!$L$30='Patrones LACOMET'!$D$3,LOOKUP(B40,'BLOQUES PATRON (pulg) '!$S$5:$S$86,'BLOQUES PATRON (pulg) '!$Z$5:$Z$86),IF('conversion datos'!$L$30='Patrones LACOMET'!$D$4,LOOKUP(B40,'BLOQUES PATRON (mm)'!$O$5:$O$126,'BLOQUES PATRON (mm)'!$U$5:$U$126),"No existe el patrón")))</f>
        <v/>
      </c>
      <c r="K40" s="677" t="str">
        <f aca="false">IF(B40="","",SQRT((H40^2)+(J40^2)+(I40^2)))</f>
        <v/>
      </c>
      <c r="L40" s="695" t="str">
        <f aca="false">IF(B40="","",$G$4)</f>
        <v/>
      </c>
      <c r="M40" s="695" t="str">
        <f aca="false">IF(B40="","",($G$5))</f>
        <v/>
      </c>
      <c r="N40" s="695" t="str">
        <f aca="false">IF(B40="","",($G$6))</f>
        <v/>
      </c>
      <c r="O40" s="696" t="str">
        <f aca="false">IF(B40="","",(($G$7)))</f>
        <v/>
      </c>
      <c r="P40" s="697" t="str">
        <f aca="false">IF(B40="","",$G$8)</f>
        <v/>
      </c>
      <c r="Q40" s="698" t="str">
        <f aca="false">IF(B40="","",SQRT((L40^2)*(M40^2)+(N40^2)+(O40^2)+(P40^2)))</f>
        <v/>
      </c>
      <c r="R40" s="699" t="str">
        <f aca="false">IF(B40="","",($G$12))</f>
        <v/>
      </c>
      <c r="S40" s="699" t="str">
        <f aca="false">IF(B40="","",($G$13))</f>
        <v/>
      </c>
      <c r="T40" s="700" t="str">
        <f aca="false">IF(B40="","",+$F$14/SQRT(12))</f>
        <v/>
      </c>
      <c r="U40" s="684" t="str">
        <f aca="false">IF(B40="","",(($M$17)/2)*1000)</f>
        <v/>
      </c>
      <c r="V40" s="685" t="str">
        <f aca="false">+IF(B40="","",+$G$15)</f>
        <v/>
      </c>
      <c r="W40" s="685" t="str">
        <f aca="false">+IF(B40="","",+$G$16)</f>
        <v/>
      </c>
      <c r="X40" s="685" t="str">
        <f aca="false">+IF(B40="","",+$G$17)</f>
        <v/>
      </c>
      <c r="Y40" s="686" t="str">
        <f aca="false">+IF(B40="","",K40*$G$9)</f>
        <v/>
      </c>
      <c r="Z40" s="686" t="str">
        <f aca="false">+IF(B40="","",K40*$G$12)</f>
        <v/>
      </c>
      <c r="AA40" s="686" t="str">
        <f aca="false">+IF(B40="","",K40*$G$13)</f>
        <v/>
      </c>
      <c r="AB40" s="686" t="str">
        <f aca="false">+IF(B40="","",K40*T40)</f>
        <v/>
      </c>
      <c r="AC40" s="687" t="str">
        <f aca="false">IF(B40="","",('SENSIBILIDAD 2'!B17^2)*(G40^2))</f>
        <v/>
      </c>
      <c r="AD40" s="688" t="str">
        <f aca="false">IF(B40="","",('SENSIBILIDAD 2'!C17^2)*(K40^2))</f>
        <v/>
      </c>
      <c r="AE40" s="688" t="str">
        <f aca="false">IF(B40="","",'SENSIBILIDAD 2'!D17^2*(R40^2))</f>
        <v/>
      </c>
      <c r="AF40" s="688" t="str">
        <f aca="false">IF(B40="","",'SENSIBILIDAD 2'!E17^2*(S40^2))</f>
        <v/>
      </c>
      <c r="AG40" s="688" t="str">
        <f aca="false">IF(B40="","",'SENSIBILIDAD 2'!F17^2*(T40^2))</f>
        <v/>
      </c>
      <c r="AH40" s="688" t="str">
        <f aca="false">IF(B40="","",(('SENSIBILIDAD 2'!G17)^2)*(Q40^2))</f>
        <v/>
      </c>
      <c r="AI40" s="688" t="str">
        <f aca="false">IF(B40="","",'SENSIBILIDAD 2'!H17^2*(U40^2))</f>
        <v/>
      </c>
      <c r="AJ40" s="688" t="str">
        <f aca="false">IF(B40="","",'SENSIBILIDAD 2'!M17^2*(V40^2))</f>
        <v/>
      </c>
      <c r="AK40" s="688" t="str">
        <f aca="false">IF(B40="","",'SENSIBILIDAD 2'!N17^2*(W40^2))</f>
        <v/>
      </c>
      <c r="AL40" s="688" t="str">
        <f aca="false">IF(B40="","",'SENSIBILIDAD 2'!O17^2*(X40^2))</f>
        <v/>
      </c>
      <c r="AM40" s="688" t="str">
        <f aca="false">IF($B40="","",(Y40^2)*('SENSIBILIDAD 2'!K17^2))</f>
        <v/>
      </c>
      <c r="AN40" s="688" t="str">
        <f aca="false">IF($B40="","",(Z40^2)*('SENSIBILIDAD 2'!I17^2))</f>
        <v/>
      </c>
      <c r="AO40" s="688" t="str">
        <f aca="false">IF($B40="","",(AA40^2)*('SENSIBILIDAD 2'!J17^2))</f>
        <v/>
      </c>
      <c r="AP40" s="688" t="str">
        <f aca="false">IF($B40="","",(AB40^2)*('SENSIBILIDAD 2'!L17^2))</f>
        <v/>
      </c>
      <c r="AQ40" s="689" t="str">
        <f aca="false">IF(B40="","",SQRT(AC40+AD40+AE40+AF40+AG40+AH40+AI40+AJ40+AK40+AL40+AM40+AN40+AO40+AP40))</f>
        <v/>
      </c>
      <c r="AR40" s="701" t="str">
        <f aca="false">IF(B40="","",2*AQ40)</f>
        <v/>
      </c>
      <c r="AS40" s="702" t="str">
        <f aca="false">IF(B40="","",+AR40/1000)</f>
        <v/>
      </c>
      <c r="AT40" s="692" t="str">
        <f aca="false">IF('conversion datos'!$L$30='Patrones LACOMET'!$D$3,(IF(N40="","",AS40*39.37008)),IF('conversion datos'!$L$30='Patrones LACOMET'!$D$4,AS40,"No existe el patrón"))</f>
        <v/>
      </c>
      <c r="BI40" s="564"/>
      <c r="BJ40" s="564"/>
      <c r="BK40" s="564"/>
      <c r="BL40" s="564"/>
      <c r="BM40" s="655"/>
      <c r="BN40" s="655"/>
    </row>
    <row r="41" customFormat="false" ht="19.5" hidden="false" customHeight="true" outlineLevel="0" collapsed="false">
      <c r="A41" s="81" t="n">
        <f aca="false">+CALIBRACION!A24</f>
        <v>13</v>
      </c>
      <c r="B41" s="672" t="str">
        <f aca="false">IF(CALIBRACION!H24="","",CALIBRACION!H24)</f>
        <v/>
      </c>
      <c r="C41" s="693" t="str">
        <f aca="false">IF(B41="","",+($F$20)/SQRT((5)))</f>
        <v/>
      </c>
      <c r="D41" s="693" t="str">
        <f aca="false">IF(B41="","",$F$21/SQRT((3)))</f>
        <v/>
      </c>
      <c r="E41" s="693" t="str">
        <f aca="false">IF(B41="","",$F$22/(SQRT(12)))</f>
        <v/>
      </c>
      <c r="F41" s="693" t="str">
        <f aca="false">IF(B41="","",$F$23/(SQRT(3)))</f>
        <v/>
      </c>
      <c r="G41" s="694" t="str">
        <f aca="false">IF(B41="","",(SQRT((+C41^2+D41^2+E41^2+F41^2))/(10^-3)))</f>
        <v/>
      </c>
      <c r="H41" s="675" t="str">
        <f aca="false">IF(B41="","",(IF('conversion datos'!$L$30='Patrones LACOMET'!$D$3,(VLOOKUP(B41,'BLOQUES PATRON (pulg) '!$K$5:$Q$91,6,FALSE())*1000),IF('conversion datos'!$L$30='Patrones LACOMET'!$D$4,(VLOOKUP(B41,'BLOQUES PATRON (mm)'!$D$5:$H$126,5,FALSE())),"No existe el patrón"))))</f>
        <v/>
      </c>
      <c r="I41" s="676" t="str">
        <f aca="false">IF(B41="","",0.42^2)</f>
        <v/>
      </c>
      <c r="J41" s="676" t="str">
        <f aca="false">IF(B41="","",IF('conversion datos'!$L$30='Patrones LACOMET'!$D$3,LOOKUP(B41,'BLOQUES PATRON (pulg) '!$S$5:$S$86,'BLOQUES PATRON (pulg) '!$Z$5:$Z$86),IF('conversion datos'!$L$30='Patrones LACOMET'!$D$4,LOOKUP(B41,'BLOQUES PATRON (mm)'!$O$5:$O$126,'BLOQUES PATRON (mm)'!$U$5:$U$126),"No existe el patrón")))</f>
        <v/>
      </c>
      <c r="K41" s="677" t="str">
        <f aca="false">IF(B41="","",SQRT((H41^2)+(J41^2)+(I41^2)))</f>
        <v/>
      </c>
      <c r="L41" s="695" t="str">
        <f aca="false">IF(B41="","",$G$4)</f>
        <v/>
      </c>
      <c r="M41" s="695" t="str">
        <f aca="false">IF(B41="","",($G$5))</f>
        <v/>
      </c>
      <c r="N41" s="695" t="str">
        <f aca="false">IF(B41="","",($G$6))</f>
        <v/>
      </c>
      <c r="O41" s="696" t="str">
        <f aca="false">IF(B41="","",(($G$7)))</f>
        <v/>
      </c>
      <c r="P41" s="697" t="str">
        <f aca="false">IF(B41="","",$G$8)</f>
        <v/>
      </c>
      <c r="Q41" s="698" t="str">
        <f aca="false">IF(B41="","",SQRT((L41^2)*(M41^2)+(N41^2)+(O41^2)+(P41^2)))</f>
        <v/>
      </c>
      <c r="R41" s="699" t="str">
        <f aca="false">IF(B41="","",($G$12))</f>
        <v/>
      </c>
      <c r="S41" s="699" t="str">
        <f aca="false">IF(B41="","",($G$13))</f>
        <v/>
      </c>
      <c r="T41" s="700" t="str">
        <f aca="false">IF(B41="","",+$F$14/SQRT(12))</f>
        <v/>
      </c>
      <c r="U41" s="684" t="str">
        <f aca="false">IF(B41="","",(($M$17)/2)*1000)</f>
        <v/>
      </c>
      <c r="V41" s="685" t="str">
        <f aca="false">+IF(B41="","",+$G$15)</f>
        <v/>
      </c>
      <c r="W41" s="685" t="str">
        <f aca="false">+IF(B41="","",+$G$16)</f>
        <v/>
      </c>
      <c r="X41" s="685" t="str">
        <f aca="false">+IF(B41="","",+$G$17)</f>
        <v/>
      </c>
      <c r="Y41" s="686" t="str">
        <f aca="false">+IF(B41="","",K41*$G$9)</f>
        <v/>
      </c>
      <c r="Z41" s="686" t="str">
        <f aca="false">+IF(B41="","",K41*$G$12)</f>
        <v/>
      </c>
      <c r="AA41" s="686" t="str">
        <f aca="false">+IF(B41="","",K41*$G$13)</f>
        <v/>
      </c>
      <c r="AB41" s="686" t="str">
        <f aca="false">+IF(B41="","",K41*T41)</f>
        <v/>
      </c>
      <c r="AC41" s="687" t="str">
        <f aca="false">IF(B41="","",('SENSIBILIDAD 2'!B18^2)*(G41^2))</f>
        <v/>
      </c>
      <c r="AD41" s="688" t="str">
        <f aca="false">IF(B41="","",('SENSIBILIDAD 2'!C18^2)*(K41^2))</f>
        <v/>
      </c>
      <c r="AE41" s="688" t="str">
        <f aca="false">IF(B41="","",'SENSIBILIDAD 2'!D18^2*(R41^2))</f>
        <v/>
      </c>
      <c r="AF41" s="688" t="str">
        <f aca="false">IF(B41="","",'SENSIBILIDAD 2'!E18^2*(S41^2))</f>
        <v/>
      </c>
      <c r="AG41" s="688" t="str">
        <f aca="false">IF(B41="","",'SENSIBILIDAD 2'!F18^2*(T41^2))</f>
        <v/>
      </c>
      <c r="AH41" s="688" t="str">
        <f aca="false">IF(B41="","",(('SENSIBILIDAD 2'!G18)^2)*(Q41^2))</f>
        <v/>
      </c>
      <c r="AI41" s="688" t="str">
        <f aca="false">IF(B41="","",'SENSIBILIDAD 2'!H18^2*(U41^2))</f>
        <v/>
      </c>
      <c r="AJ41" s="688" t="str">
        <f aca="false">IF(B41="","",'SENSIBILIDAD 2'!M18^2*(V41^2))</f>
        <v/>
      </c>
      <c r="AK41" s="688" t="str">
        <f aca="false">IF(B41="","",'SENSIBILIDAD 2'!N18^2*(W41^2))</f>
        <v/>
      </c>
      <c r="AL41" s="688" t="str">
        <f aca="false">IF(B41="","",'SENSIBILIDAD 2'!O18^2*(X41^2))</f>
        <v/>
      </c>
      <c r="AM41" s="688" t="str">
        <f aca="false">IF($B41="","",(Y41^2)*('SENSIBILIDAD 2'!K18^2))</f>
        <v/>
      </c>
      <c r="AN41" s="688" t="str">
        <f aca="false">IF($B41="","",(Z41^2)*('SENSIBILIDAD 2'!I18^2))</f>
        <v/>
      </c>
      <c r="AO41" s="688" t="str">
        <f aca="false">IF($B41="","",(AA41^2)*('SENSIBILIDAD 2'!J18^2))</f>
        <v/>
      </c>
      <c r="AP41" s="688" t="str">
        <f aca="false">IF($B41="","",(AB41^2)*('SENSIBILIDAD 2'!L18^2))</f>
        <v/>
      </c>
      <c r="AQ41" s="689" t="str">
        <f aca="false">IF(B41="","",SQRT(AC41+AD41+AE41+AF41+AG41+AH41+AI41+AJ41+AK41+AL41+AM41+AN41+AO41+AP41))</f>
        <v/>
      </c>
      <c r="AR41" s="701" t="str">
        <f aca="false">IF(B41="","",2*AQ41)</f>
        <v/>
      </c>
      <c r="AS41" s="702" t="str">
        <f aca="false">IF(B41="","",+AR41/1000)</f>
        <v/>
      </c>
      <c r="AT41" s="692" t="str">
        <f aca="false">IF('conversion datos'!$L$30='Patrones LACOMET'!$D$3,(IF(N41="","",AS41*39.37008)),IF('conversion datos'!$L$30='Patrones LACOMET'!$D$4,AS41,"No existe el patrón"))</f>
        <v/>
      </c>
      <c r="BI41" s="564"/>
      <c r="BJ41" s="564"/>
      <c r="BK41" s="564"/>
      <c r="BL41" s="564"/>
      <c r="BM41" s="655"/>
      <c r="BN41" s="655"/>
    </row>
    <row r="42" customFormat="false" ht="19.5" hidden="false" customHeight="true" outlineLevel="0" collapsed="false">
      <c r="A42" s="81" t="n">
        <f aca="false">+CALIBRACION!A25</f>
        <v>14</v>
      </c>
      <c r="B42" s="672" t="str">
        <f aca="false">IF(CALIBRACION!H25="","",CALIBRACION!H25)</f>
        <v/>
      </c>
      <c r="C42" s="693" t="str">
        <f aca="false">IF(B42="","",+($F$20)/SQRT((5)))</f>
        <v/>
      </c>
      <c r="D42" s="693" t="str">
        <f aca="false">IF(B42="","",$F$21/SQRT((3)))</f>
        <v/>
      </c>
      <c r="E42" s="693" t="str">
        <f aca="false">IF(B42="","",$F$22/(SQRT(12)))</f>
        <v/>
      </c>
      <c r="F42" s="693" t="str">
        <f aca="false">IF(B42="","",$F$23/(SQRT(3)))</f>
        <v/>
      </c>
      <c r="G42" s="694" t="str">
        <f aca="false">IF(B42="","",(SQRT((+C42^2+D42^2+E42^2+F42^2))/(10^-3)))</f>
        <v/>
      </c>
      <c r="H42" s="675" t="str">
        <f aca="false">IF(B42="","",(IF('conversion datos'!$L$30='Patrones LACOMET'!$D$3,(VLOOKUP(B42,'BLOQUES PATRON (pulg) '!$K$5:$Q$91,6,FALSE())*1000),IF('conversion datos'!$L$30='Patrones LACOMET'!$D$4,(VLOOKUP(B42,'BLOQUES PATRON (mm)'!$D$5:$H$126,5,FALSE())),"No existe el patrón"))))</f>
        <v/>
      </c>
      <c r="I42" s="676" t="str">
        <f aca="false">IF(B42="","",0.42^2)</f>
        <v/>
      </c>
      <c r="J42" s="676" t="str">
        <f aca="false">IF(B42="","",IF('conversion datos'!$L$30='Patrones LACOMET'!$D$3,LOOKUP(B42,'BLOQUES PATRON (pulg) '!$S$5:$S$86,'BLOQUES PATRON (pulg) '!$Z$5:$Z$86),IF('conversion datos'!$L$30='Patrones LACOMET'!$D$4,LOOKUP(B42,'BLOQUES PATRON (mm)'!$O$5:$O$126,'BLOQUES PATRON (mm)'!$U$5:$U$126),"No existe el patrón")))</f>
        <v/>
      </c>
      <c r="K42" s="677" t="str">
        <f aca="false">IF(B42="","",SQRT((H42^2)+(J42^2)+(I42^2)))</f>
        <v/>
      </c>
      <c r="L42" s="695" t="str">
        <f aca="false">IF(B42="","",$G$4)</f>
        <v/>
      </c>
      <c r="M42" s="695" t="str">
        <f aca="false">IF(B42="","",($G$5))</f>
        <v/>
      </c>
      <c r="N42" s="695" t="str">
        <f aca="false">IF(B42="","",($G$6))</f>
        <v/>
      </c>
      <c r="O42" s="696" t="str">
        <f aca="false">IF(B42="","",(($G$7)))</f>
        <v/>
      </c>
      <c r="P42" s="697" t="str">
        <f aca="false">IF(B42="","",$G$8)</f>
        <v/>
      </c>
      <c r="Q42" s="698" t="str">
        <f aca="false">IF(B42="","",SQRT((L42^2)*(M42^2)+(N42^2)+(O42^2)+(P42^2)))</f>
        <v/>
      </c>
      <c r="R42" s="699" t="str">
        <f aca="false">IF(B42="","",($G$12))</f>
        <v/>
      </c>
      <c r="S42" s="699" t="str">
        <f aca="false">IF(B42="","",($G$13))</f>
        <v/>
      </c>
      <c r="T42" s="700" t="str">
        <f aca="false">IF(B42="","",+$F$14/SQRT(12))</f>
        <v/>
      </c>
      <c r="U42" s="684" t="str">
        <f aca="false">IF(B42="","",(($M$17)/2)*1000)</f>
        <v/>
      </c>
      <c r="V42" s="685" t="str">
        <f aca="false">+IF(B42="","",+$G$15)</f>
        <v/>
      </c>
      <c r="W42" s="685" t="str">
        <f aca="false">+IF(B42="","",+$G$16)</f>
        <v/>
      </c>
      <c r="X42" s="685" t="str">
        <f aca="false">+IF(B42="","",+$G$17)</f>
        <v/>
      </c>
      <c r="Y42" s="686" t="str">
        <f aca="false">+IF(B42="","",K42*$G$9)</f>
        <v/>
      </c>
      <c r="Z42" s="686" t="str">
        <f aca="false">+IF(B42="","",K42*$G$12)</f>
        <v/>
      </c>
      <c r="AA42" s="686" t="str">
        <f aca="false">+IF(B42="","",K42*$G$13)</f>
        <v/>
      </c>
      <c r="AB42" s="686" t="str">
        <f aca="false">+IF(B42="","",K42*T42)</f>
        <v/>
      </c>
      <c r="AC42" s="687" t="str">
        <f aca="false">IF(B42="","",('SENSIBILIDAD 2'!B19^2)*(G42^2))</f>
        <v/>
      </c>
      <c r="AD42" s="688" t="str">
        <f aca="false">IF(B42="","",('SENSIBILIDAD 2'!C19^2)*(K42^2))</f>
        <v/>
      </c>
      <c r="AE42" s="688" t="str">
        <f aca="false">IF(B42="","",'SENSIBILIDAD 2'!D19^2*(R42^2))</f>
        <v/>
      </c>
      <c r="AF42" s="688" t="str">
        <f aca="false">IF(B42="","",'SENSIBILIDAD 2'!E19^2*(S42^2))</f>
        <v/>
      </c>
      <c r="AG42" s="688" t="str">
        <f aca="false">IF(B42="","",'SENSIBILIDAD 2'!F19^2*(T42^2))</f>
        <v/>
      </c>
      <c r="AH42" s="688" t="str">
        <f aca="false">IF(B42="","",(('SENSIBILIDAD 2'!G19)^2)*(Q42^2))</f>
        <v/>
      </c>
      <c r="AI42" s="688" t="str">
        <f aca="false">IF(B42="","",'SENSIBILIDAD 2'!H19^2*(U42^2))</f>
        <v/>
      </c>
      <c r="AJ42" s="688" t="str">
        <f aca="false">IF(B42="","",'SENSIBILIDAD 2'!M19^2*(V42^2))</f>
        <v/>
      </c>
      <c r="AK42" s="688" t="str">
        <f aca="false">IF(B42="","",'SENSIBILIDAD 2'!N19^2*(W42^2))</f>
        <v/>
      </c>
      <c r="AL42" s="688" t="str">
        <f aca="false">IF(B42="","",'SENSIBILIDAD 2'!O19^2*(X42^2))</f>
        <v/>
      </c>
      <c r="AM42" s="688" t="str">
        <f aca="false">IF($B42="","",(Y42^2)*('SENSIBILIDAD 2'!K19^2))</f>
        <v/>
      </c>
      <c r="AN42" s="688" t="str">
        <f aca="false">IF($B42="","",(Z42^2)*('SENSIBILIDAD 2'!I19^2))</f>
        <v/>
      </c>
      <c r="AO42" s="688" t="str">
        <f aca="false">IF($B42="","",(AA42^2)*('SENSIBILIDAD 2'!J19^2))</f>
        <v/>
      </c>
      <c r="AP42" s="688" t="str">
        <f aca="false">IF($B42="","",(AB42^2)*('SENSIBILIDAD 2'!L19^2))</f>
        <v/>
      </c>
      <c r="AQ42" s="689" t="str">
        <f aca="false">IF(B42="","",SQRT(AC42+AD42+AE42+AF42+AG42+AH42+AI42+AJ42+AK42+AL42+AM42+AN42+AO42+AP42))</f>
        <v/>
      </c>
      <c r="AR42" s="701" t="str">
        <f aca="false">IF(B42="","",2*AQ42)</f>
        <v/>
      </c>
      <c r="AS42" s="702" t="str">
        <f aca="false">IF(B42="","",+AR42/1000)</f>
        <v/>
      </c>
      <c r="AT42" s="692" t="str">
        <f aca="false">IF('conversion datos'!$L$30='Patrones LACOMET'!$D$3,(IF(N42="","",AS42*39.37008)),IF('conversion datos'!$L$30='Patrones LACOMET'!$D$4,AS42,"No existe el patrón"))</f>
        <v/>
      </c>
      <c r="BI42" s="564"/>
      <c r="BJ42" s="564"/>
      <c r="BK42" s="564"/>
      <c r="BL42" s="564"/>
      <c r="BM42" s="655"/>
      <c r="BN42" s="655"/>
    </row>
    <row r="43" customFormat="false" ht="19.5" hidden="false" customHeight="true" outlineLevel="0" collapsed="false">
      <c r="A43" s="81" t="n">
        <f aca="false">+CALIBRACION!A26</f>
        <v>15</v>
      </c>
      <c r="B43" s="672" t="str">
        <f aca="false">IF(CALIBRACION!H26="","",CALIBRACION!H26)</f>
        <v/>
      </c>
      <c r="C43" s="693" t="str">
        <f aca="false">IF(B43="","",+($F$20)/SQRT((5)))</f>
        <v/>
      </c>
      <c r="D43" s="693" t="str">
        <f aca="false">IF(B43="","",$F$21/SQRT((3)))</f>
        <v/>
      </c>
      <c r="E43" s="693" t="str">
        <f aca="false">IF(B43="","",$F$22/(SQRT(12)))</f>
        <v/>
      </c>
      <c r="F43" s="693" t="str">
        <f aca="false">IF(B43="","",$F$23/(SQRT(3)))</f>
        <v/>
      </c>
      <c r="G43" s="694" t="str">
        <f aca="false">IF(B43="","",(SQRT((+C43^2+D43^2+E43^2+F43^2))/(10^-3)))</f>
        <v/>
      </c>
      <c r="H43" s="675" t="str">
        <f aca="false">IF(B43="","",(IF('conversion datos'!$L$30='Patrones LACOMET'!$D$3,(VLOOKUP(B43,'BLOQUES PATRON (pulg) '!$K$5:$Q$91,6,FALSE())*1000),IF('conversion datos'!$L$30='Patrones LACOMET'!$D$4,(VLOOKUP(B43,'BLOQUES PATRON (mm)'!$D$5:$H$126,5,FALSE())),"No existe el patrón"))))</f>
        <v/>
      </c>
      <c r="I43" s="676" t="str">
        <f aca="false">IF(B43="","",0.42^2)</f>
        <v/>
      </c>
      <c r="J43" s="676" t="str">
        <f aca="false">IF(B43="","",IF('conversion datos'!$L$30='Patrones LACOMET'!$D$3,LOOKUP(B43,'BLOQUES PATRON (pulg) '!$S$5:$S$86,'BLOQUES PATRON (pulg) '!$Z$5:$Z$86),IF('conversion datos'!$L$30='Patrones LACOMET'!$D$4,LOOKUP(B43,'BLOQUES PATRON (mm)'!$O$5:$O$126,'BLOQUES PATRON (mm)'!$U$5:$U$126),"No existe el patrón")))</f>
        <v/>
      </c>
      <c r="K43" s="677" t="str">
        <f aca="false">IF(B43="","",SQRT((H43^2)+(J43^2)+(I43^2)))</f>
        <v/>
      </c>
      <c r="L43" s="695" t="str">
        <f aca="false">IF(B43="","",$G$4)</f>
        <v/>
      </c>
      <c r="M43" s="695" t="str">
        <f aca="false">IF(B43="","",($G$5))</f>
        <v/>
      </c>
      <c r="N43" s="695" t="str">
        <f aca="false">IF(B43="","",($G$6))</f>
        <v/>
      </c>
      <c r="O43" s="696" t="str">
        <f aca="false">IF(B43="","",(($G$7)))</f>
        <v/>
      </c>
      <c r="P43" s="697" t="str">
        <f aca="false">IF(B43="","",$G$8)</f>
        <v/>
      </c>
      <c r="Q43" s="698" t="str">
        <f aca="false">IF(B43="","",SQRT((L43^2)*(M43^2)+(N43^2)+(O43^2)+(P43^2)))</f>
        <v/>
      </c>
      <c r="R43" s="699" t="str">
        <f aca="false">IF(B43="","",($G$12))</f>
        <v/>
      </c>
      <c r="S43" s="699" t="str">
        <f aca="false">IF(B43="","",($G$13))</f>
        <v/>
      </c>
      <c r="T43" s="700" t="str">
        <f aca="false">IF(B43="","",+$F$14/SQRT(12))</f>
        <v/>
      </c>
      <c r="U43" s="684" t="str">
        <f aca="false">IF(B43="","",(($M$17)/2)*1000)</f>
        <v/>
      </c>
      <c r="V43" s="685" t="str">
        <f aca="false">+IF(B43="","",+$G$15)</f>
        <v/>
      </c>
      <c r="W43" s="685" t="str">
        <f aca="false">+IF(B43="","",+$G$16)</f>
        <v/>
      </c>
      <c r="X43" s="685" t="str">
        <f aca="false">+IF(B43="","",+$G$17)</f>
        <v/>
      </c>
      <c r="Y43" s="686" t="str">
        <f aca="false">+IF(B43="","",K43*$G$9)</f>
        <v/>
      </c>
      <c r="Z43" s="686" t="str">
        <f aca="false">+IF(B43="","",K43*$G$12)</f>
        <v/>
      </c>
      <c r="AA43" s="686" t="str">
        <f aca="false">+IF(B43="","",K43*$G$13)</f>
        <v/>
      </c>
      <c r="AB43" s="686" t="str">
        <f aca="false">+IF(B43="","",K43*T43)</f>
        <v/>
      </c>
      <c r="AC43" s="687" t="str">
        <f aca="false">IF(B43="","",('SENSIBILIDAD 2'!B20^2)*(G43^2))</f>
        <v/>
      </c>
      <c r="AD43" s="688" t="str">
        <f aca="false">IF(B43="","",('SENSIBILIDAD 2'!C20^2)*(K43^2))</f>
        <v/>
      </c>
      <c r="AE43" s="688" t="str">
        <f aca="false">IF(B43="","",'SENSIBILIDAD 2'!D20^2*(R43^2))</f>
        <v/>
      </c>
      <c r="AF43" s="688" t="str">
        <f aca="false">IF(B43="","",'SENSIBILIDAD 2'!E20^2*(S43^2))</f>
        <v/>
      </c>
      <c r="AG43" s="688" t="str">
        <f aca="false">IF(B43="","",'SENSIBILIDAD 2'!F20^2*(T43^2))</f>
        <v/>
      </c>
      <c r="AH43" s="688" t="str">
        <f aca="false">IF(B43="","",(('SENSIBILIDAD 2'!G20)^2)*(Q43^2))</f>
        <v/>
      </c>
      <c r="AI43" s="688" t="str">
        <f aca="false">IF(B43="","",'SENSIBILIDAD 2'!H20^2*(U43^2))</f>
        <v/>
      </c>
      <c r="AJ43" s="688" t="str">
        <f aca="false">IF(B43="","",'SENSIBILIDAD 2'!M20^2*(V43^2))</f>
        <v/>
      </c>
      <c r="AK43" s="688" t="str">
        <f aca="false">IF(B43="","",'SENSIBILIDAD 2'!N20^2*(W43^2))</f>
        <v/>
      </c>
      <c r="AL43" s="688" t="str">
        <f aca="false">IF(B43="","",'SENSIBILIDAD 2'!O20^2*(X43^2))</f>
        <v/>
      </c>
      <c r="AM43" s="688" t="str">
        <f aca="false">IF($B43="","",(Y43^2)*('SENSIBILIDAD 2'!K20^2))</f>
        <v/>
      </c>
      <c r="AN43" s="688" t="str">
        <f aca="false">IF($B43="","",(Z43^2)*('SENSIBILIDAD 2'!I20^2))</f>
        <v/>
      </c>
      <c r="AO43" s="688" t="str">
        <f aca="false">IF($B43="","",(AA43^2)*('SENSIBILIDAD 2'!J20^2))</f>
        <v/>
      </c>
      <c r="AP43" s="688" t="str">
        <f aca="false">IF($B43="","",(AB43^2)*('SENSIBILIDAD 2'!L20^2))</f>
        <v/>
      </c>
      <c r="AQ43" s="689" t="str">
        <f aca="false">IF(B43="","",SQRT(AC43+AD43+AE43+AF43+AG43+AH43+AI43+AJ43+AK43+AL43+AM43+AN43+AO43+AP43))</f>
        <v/>
      </c>
      <c r="AR43" s="701" t="str">
        <f aca="false">IF(B43="","",2*AQ43)</f>
        <v/>
      </c>
      <c r="AS43" s="702" t="str">
        <f aca="false">IF(B43="","",+AR43/1000)</f>
        <v/>
      </c>
      <c r="AT43" s="692" t="str">
        <f aca="false">IF('conversion datos'!$L$30='Patrones LACOMET'!$D$3,(IF(N43="","",AS43*39.37008)),IF('conversion datos'!$L$30='Patrones LACOMET'!$D$4,AS43,"No existe el patrón"))</f>
        <v/>
      </c>
      <c r="BI43" s="564"/>
      <c r="BJ43" s="564"/>
      <c r="BK43" s="564"/>
      <c r="BL43" s="564"/>
      <c r="BM43" s="655"/>
      <c r="BN43" s="655"/>
    </row>
    <row r="44" customFormat="false" ht="19.5" hidden="false" customHeight="true" outlineLevel="0" collapsed="false">
      <c r="A44" s="81" t="n">
        <f aca="false">+CALIBRACION!A27</f>
        <v>16</v>
      </c>
      <c r="B44" s="672" t="str">
        <f aca="false">IF(CALIBRACION!H27="","",CALIBRACION!H27)</f>
        <v/>
      </c>
      <c r="C44" s="693" t="str">
        <f aca="false">IF(B44="","",+($F$20)/SQRT((5)))</f>
        <v/>
      </c>
      <c r="D44" s="693" t="str">
        <f aca="false">IF(B44="","",$F$21/SQRT((3)))</f>
        <v/>
      </c>
      <c r="E44" s="693" t="str">
        <f aca="false">IF(B44="","",$F$22/(SQRT(12)))</f>
        <v/>
      </c>
      <c r="F44" s="693" t="str">
        <f aca="false">IF(B44="","",$F$23/(SQRT(3)))</f>
        <v/>
      </c>
      <c r="G44" s="694" t="str">
        <f aca="false">IF(B44="","",(SQRT((+C44^2+D44^2+E44^2+F44^2))/(10^-3)))</f>
        <v/>
      </c>
      <c r="H44" s="675" t="str">
        <f aca="false">IF(B44="","",(IF('conversion datos'!$L$30='Patrones LACOMET'!$D$3,(VLOOKUP(B44,'BLOQUES PATRON (pulg) '!$K$5:$Q$91,6,FALSE())*1000),IF('conversion datos'!$L$30='Patrones LACOMET'!$D$4,(VLOOKUP(B44,'BLOQUES PATRON (mm)'!$D$5:$H$126,5,FALSE())),"No existe el patrón"))))</f>
        <v/>
      </c>
      <c r="I44" s="676" t="str">
        <f aca="false">IF(B44="","",0.42^2)</f>
        <v/>
      </c>
      <c r="J44" s="676" t="str">
        <f aca="false">IF(B44="","",IF('conversion datos'!$L$30='Patrones LACOMET'!$D$3,LOOKUP(B44,'BLOQUES PATRON (pulg) '!$S$5:$S$86,'BLOQUES PATRON (pulg) '!$Z$5:$Z$86),IF('conversion datos'!$L$30='Patrones LACOMET'!$D$4,LOOKUP(B44,'BLOQUES PATRON (mm)'!$O$5:$O$126,'BLOQUES PATRON (mm)'!$U$5:$U$126),"No existe el patrón")))</f>
        <v/>
      </c>
      <c r="K44" s="677" t="str">
        <f aca="false">IF(B44="","",SQRT((H44^2)+(J44^2)+(I44^2)))</f>
        <v/>
      </c>
      <c r="L44" s="695" t="str">
        <f aca="false">IF(B44="","",$G$4)</f>
        <v/>
      </c>
      <c r="M44" s="695" t="str">
        <f aca="false">IF(B44="","",($G$5))</f>
        <v/>
      </c>
      <c r="N44" s="695" t="str">
        <f aca="false">IF(B44="","",($G$6))</f>
        <v/>
      </c>
      <c r="O44" s="696" t="str">
        <f aca="false">IF(B44="","",(($G$7)))</f>
        <v/>
      </c>
      <c r="P44" s="697" t="str">
        <f aca="false">IF(B44="","",$G$8)</f>
        <v/>
      </c>
      <c r="Q44" s="698" t="str">
        <f aca="false">IF(B44="","",SQRT((L44^2)*(M44^2)+(N44^2)+(O44^2)+(P44^2)))</f>
        <v/>
      </c>
      <c r="R44" s="699" t="str">
        <f aca="false">IF(B44="","",($G$12))</f>
        <v/>
      </c>
      <c r="S44" s="699" t="str">
        <f aca="false">IF(B44="","",($G$13))</f>
        <v/>
      </c>
      <c r="T44" s="700" t="str">
        <f aca="false">IF(B44="","",+$F$14/SQRT(12))</f>
        <v/>
      </c>
      <c r="U44" s="684" t="str">
        <f aca="false">IF(B44="","",(($M$17)/2)*1000)</f>
        <v/>
      </c>
      <c r="V44" s="685" t="str">
        <f aca="false">+IF(B44="","",+$G$15)</f>
        <v/>
      </c>
      <c r="W44" s="685" t="str">
        <f aca="false">+IF(B44="","",+$G$16)</f>
        <v/>
      </c>
      <c r="X44" s="685" t="str">
        <f aca="false">+IF(B44="","",+$G$17)</f>
        <v/>
      </c>
      <c r="Y44" s="686" t="str">
        <f aca="false">+IF(B44="","",K44*$G$9)</f>
        <v/>
      </c>
      <c r="Z44" s="686" t="str">
        <f aca="false">+IF(B44="","",K44*$G$12)</f>
        <v/>
      </c>
      <c r="AA44" s="686" t="str">
        <f aca="false">+IF(B44="","",K44*$G$13)</f>
        <v/>
      </c>
      <c r="AB44" s="686" t="str">
        <f aca="false">+IF(B44="","",K44*T44)</f>
        <v/>
      </c>
      <c r="AC44" s="687" t="str">
        <f aca="false">IF(B44="","",('SENSIBILIDAD 2'!B21^2)*(G44^2))</f>
        <v/>
      </c>
      <c r="AD44" s="688" t="str">
        <f aca="false">IF(B44="","",('SENSIBILIDAD 2'!C21^2)*(K44^2))</f>
        <v/>
      </c>
      <c r="AE44" s="688" t="str">
        <f aca="false">IF(B44="","",'SENSIBILIDAD 2'!D21^2*(R44^2))</f>
        <v/>
      </c>
      <c r="AF44" s="688" t="str">
        <f aca="false">IF(B44="","",'SENSIBILIDAD 2'!E21^2*(S44^2))</f>
        <v/>
      </c>
      <c r="AG44" s="688" t="str">
        <f aca="false">IF(B44="","",'SENSIBILIDAD 2'!F21^2*(T44^2))</f>
        <v/>
      </c>
      <c r="AH44" s="688" t="str">
        <f aca="false">IF(B44="","",(('SENSIBILIDAD 2'!G21)^2)*(Q44^2))</f>
        <v/>
      </c>
      <c r="AI44" s="688" t="str">
        <f aca="false">IF(B44="","",'SENSIBILIDAD 2'!H21^2*(U44^2))</f>
        <v/>
      </c>
      <c r="AJ44" s="688" t="str">
        <f aca="false">IF(B44="","",'SENSIBILIDAD 2'!M21^2*(V44^2))</f>
        <v/>
      </c>
      <c r="AK44" s="688" t="str">
        <f aca="false">IF(B44="","",'SENSIBILIDAD 2'!N21^2*(W44^2))</f>
        <v/>
      </c>
      <c r="AL44" s="688" t="str">
        <f aca="false">IF(B44="","",'SENSIBILIDAD 2'!O21^2*(X44^2))</f>
        <v/>
      </c>
      <c r="AM44" s="688" t="str">
        <f aca="false">IF($B44="","",(Y44^2)*('SENSIBILIDAD 2'!K21^2))</f>
        <v/>
      </c>
      <c r="AN44" s="688" t="str">
        <f aca="false">IF($B44="","",(Z44^2)*('SENSIBILIDAD 2'!I21^2))</f>
        <v/>
      </c>
      <c r="AO44" s="688" t="str">
        <f aca="false">IF($B44="","",(AA44^2)*('SENSIBILIDAD 2'!J21^2))</f>
        <v/>
      </c>
      <c r="AP44" s="688" t="str">
        <f aca="false">IF($B44="","",(AB44^2)*('SENSIBILIDAD 2'!L21^2))</f>
        <v/>
      </c>
      <c r="AQ44" s="689" t="str">
        <f aca="false">IF(B44="","",SQRT(AC44+AD44+AE44+AF44+AG44+AH44+AI44+AJ44+AK44+AL44+AM44+AN44+AO44+AP44))</f>
        <v/>
      </c>
      <c r="AR44" s="701" t="str">
        <f aca="false">IF(B44="","",2*AQ44)</f>
        <v/>
      </c>
      <c r="AS44" s="702" t="str">
        <f aca="false">IF(B44="","",+AR44/1000)</f>
        <v/>
      </c>
      <c r="AT44" s="692" t="str">
        <f aca="false">IF('conversion datos'!$L$30='Patrones LACOMET'!$D$3,(IF(N44="","",AS44*39.37008)),IF('conversion datos'!$L$30='Patrones LACOMET'!$D$4,AS44,"No existe el patrón"))</f>
        <v/>
      </c>
      <c r="BI44" s="564"/>
      <c r="BJ44" s="564"/>
      <c r="BK44" s="564"/>
      <c r="BL44" s="564"/>
      <c r="BM44" s="655"/>
      <c r="BN44" s="655"/>
    </row>
    <row r="45" customFormat="false" ht="19.5" hidden="false" customHeight="true" outlineLevel="0" collapsed="false">
      <c r="A45" s="81" t="n">
        <f aca="false">+CALIBRACION!A28</f>
        <v>17</v>
      </c>
      <c r="B45" s="672" t="str">
        <f aca="false">IF(CALIBRACION!H28="","",CALIBRACION!H28)</f>
        <v/>
      </c>
      <c r="C45" s="693" t="str">
        <f aca="false">IF(B45="","",+($F$20)/SQRT((5)))</f>
        <v/>
      </c>
      <c r="D45" s="693" t="str">
        <f aca="false">IF(B45="","",$F$21/SQRT((3)))</f>
        <v/>
      </c>
      <c r="E45" s="693" t="str">
        <f aca="false">IF(B45="","",$F$22/(SQRT(12)))</f>
        <v/>
      </c>
      <c r="F45" s="693" t="str">
        <f aca="false">IF(B45="","",$F$23/(SQRT(3)))</f>
        <v/>
      </c>
      <c r="G45" s="694" t="str">
        <f aca="false">IF(B45="","",(SQRT((+C45^2+D45^2+E45^2+F45^2))/(10^-3)))</f>
        <v/>
      </c>
      <c r="H45" s="675" t="str">
        <f aca="false">IF(B45="","",(IF('conversion datos'!$L$30='Patrones LACOMET'!$D$3,(VLOOKUP(B45,'BLOQUES PATRON (pulg) '!$K$5:$Q$91,6,FALSE())*1000),IF('conversion datos'!$L$30='Patrones LACOMET'!$D$4,(VLOOKUP(B45,'BLOQUES PATRON (mm)'!$D$5:$H$126,5,FALSE())),"No existe el patrón"))))</f>
        <v/>
      </c>
      <c r="I45" s="676" t="str">
        <f aca="false">IF(B45="","",0.42^2)</f>
        <v/>
      </c>
      <c r="J45" s="676" t="str">
        <f aca="false">IF(B45="","",IF('conversion datos'!$L$30='Patrones LACOMET'!$D$3,LOOKUP(B45,'BLOQUES PATRON (pulg) '!$S$5:$S$86,'BLOQUES PATRON (pulg) '!$Z$5:$Z$86),IF('conversion datos'!$L$30='Patrones LACOMET'!$D$4,LOOKUP(B45,'BLOQUES PATRON (mm)'!$O$5:$O$126,'BLOQUES PATRON (mm)'!$U$5:$U$126),"No existe el patrón")))</f>
        <v/>
      </c>
      <c r="K45" s="677" t="str">
        <f aca="false">IF(B45="","",SQRT((H45^2)+(J45^2)+(I45^2)))</f>
        <v/>
      </c>
      <c r="L45" s="695" t="str">
        <f aca="false">IF(B45="","",$G$4)</f>
        <v/>
      </c>
      <c r="M45" s="695" t="str">
        <f aca="false">IF(B45="","",($G$5))</f>
        <v/>
      </c>
      <c r="N45" s="695" t="str">
        <f aca="false">IF(B45="","",($G$6))</f>
        <v/>
      </c>
      <c r="O45" s="696" t="str">
        <f aca="false">IF(B45="","",(($G$7)))</f>
        <v/>
      </c>
      <c r="P45" s="697" t="str">
        <f aca="false">IF(B45="","",$G$8)</f>
        <v/>
      </c>
      <c r="Q45" s="698" t="str">
        <f aca="false">IF(B45="","",SQRT((L45^2)*(M45^2)+(N45^2)+(O45^2)+(P45^2)))</f>
        <v/>
      </c>
      <c r="R45" s="699" t="str">
        <f aca="false">IF(B45="","",($G$12))</f>
        <v/>
      </c>
      <c r="S45" s="699" t="str">
        <f aca="false">IF(B45="","",($G$13))</f>
        <v/>
      </c>
      <c r="T45" s="700" t="str">
        <f aca="false">IF(B45="","",+$F$14/SQRT(12))</f>
        <v/>
      </c>
      <c r="U45" s="684" t="str">
        <f aca="false">IF(B45="","",(($M$17)/2)*1000)</f>
        <v/>
      </c>
      <c r="V45" s="685" t="str">
        <f aca="false">+IF(B45="","",+$G$15)</f>
        <v/>
      </c>
      <c r="W45" s="685" t="str">
        <f aca="false">+IF(B45="","",+$G$16)</f>
        <v/>
      </c>
      <c r="X45" s="685" t="str">
        <f aca="false">+IF(B45="","",+$G$17)</f>
        <v/>
      </c>
      <c r="Y45" s="686" t="str">
        <f aca="false">+IF(B45="","",K45*$G$9)</f>
        <v/>
      </c>
      <c r="Z45" s="686" t="str">
        <f aca="false">+IF(B45="","",K45*$G$12)</f>
        <v/>
      </c>
      <c r="AA45" s="686" t="str">
        <f aca="false">+IF(B45="","",K45*$G$13)</f>
        <v/>
      </c>
      <c r="AB45" s="686" t="str">
        <f aca="false">+IF(B45="","",K45*T45)</f>
        <v/>
      </c>
      <c r="AC45" s="687" t="str">
        <f aca="false">IF(B45="","",('SENSIBILIDAD 2'!B22^2)*(G45^2))</f>
        <v/>
      </c>
      <c r="AD45" s="688" t="str">
        <f aca="false">IF(B45="","",('SENSIBILIDAD 2'!C22^2)*(K45^2))</f>
        <v/>
      </c>
      <c r="AE45" s="688" t="str">
        <f aca="false">IF(B45="","",'SENSIBILIDAD 2'!D22^2*(R45^2))</f>
        <v/>
      </c>
      <c r="AF45" s="688" t="str">
        <f aca="false">IF(B45="","",'SENSIBILIDAD 2'!E22^2*(S45^2))</f>
        <v/>
      </c>
      <c r="AG45" s="688" t="str">
        <f aca="false">IF(B45="","",'SENSIBILIDAD 2'!F22^2*(T45^2))</f>
        <v/>
      </c>
      <c r="AH45" s="688" t="str">
        <f aca="false">IF(B45="","",(('SENSIBILIDAD 2'!G22)^2)*(Q45^2))</f>
        <v/>
      </c>
      <c r="AI45" s="688" t="str">
        <f aca="false">IF(B45="","",'SENSIBILIDAD 2'!H22^2*(U45^2))</f>
        <v/>
      </c>
      <c r="AJ45" s="688" t="str">
        <f aca="false">IF(B45="","",'SENSIBILIDAD 2'!M22^2*(V45^2))</f>
        <v/>
      </c>
      <c r="AK45" s="688" t="str">
        <f aca="false">IF(B45="","",'SENSIBILIDAD 2'!N22^2*(W45^2))</f>
        <v/>
      </c>
      <c r="AL45" s="688" t="str">
        <f aca="false">IF(B45="","",'SENSIBILIDAD 2'!O22^2*(X45^2))</f>
        <v/>
      </c>
      <c r="AM45" s="688" t="str">
        <f aca="false">IF($B45="","",(Y45^2)*('SENSIBILIDAD 2'!K22^2))</f>
        <v/>
      </c>
      <c r="AN45" s="688" t="str">
        <f aca="false">IF($B45="","",(Z45^2)*('SENSIBILIDAD 2'!I22^2))</f>
        <v/>
      </c>
      <c r="AO45" s="688" t="str">
        <f aca="false">IF($B45="","",(AA45^2)*('SENSIBILIDAD 2'!J22^2))</f>
        <v/>
      </c>
      <c r="AP45" s="688" t="str">
        <f aca="false">IF($B45="","",(AB45^2)*('SENSIBILIDAD 2'!L22^2))</f>
        <v/>
      </c>
      <c r="AQ45" s="689" t="str">
        <f aca="false">IF(B45="","",SQRT(AC45+AD45+AE45+AF45+AG45+AH45+AI45+AJ45+AK45+AL45+AM45+AN45+AO45+AP45))</f>
        <v/>
      </c>
      <c r="AR45" s="701" t="str">
        <f aca="false">IF(B45="","",2*AQ45)</f>
        <v/>
      </c>
      <c r="AS45" s="702" t="str">
        <f aca="false">IF(B45="","",+AR45/1000)</f>
        <v/>
      </c>
      <c r="AT45" s="692" t="str">
        <f aca="false">IF('conversion datos'!$L$30='Patrones LACOMET'!$D$3,(IF(N45="","",AS45*39.37008)),IF('conversion datos'!$L$30='Patrones LACOMET'!$D$4,AS45,"No existe el patrón"))</f>
        <v/>
      </c>
      <c r="BI45" s="564"/>
      <c r="BJ45" s="564"/>
      <c r="BK45" s="564"/>
      <c r="BL45" s="564"/>
      <c r="BM45" s="655"/>
      <c r="BN45" s="655"/>
    </row>
    <row r="46" customFormat="false" ht="19.5" hidden="false" customHeight="true" outlineLevel="0" collapsed="false">
      <c r="A46" s="81" t="n">
        <f aca="false">+CALIBRACION!A29</f>
        <v>18</v>
      </c>
      <c r="B46" s="672" t="str">
        <f aca="false">IF(CALIBRACION!H29="","",CALIBRACION!H29)</f>
        <v/>
      </c>
      <c r="C46" s="693" t="str">
        <f aca="false">IF(B46="","",+($F$20)/SQRT((5)))</f>
        <v/>
      </c>
      <c r="D46" s="693" t="str">
        <f aca="false">IF(B46="","",$F$21/SQRT((3)))</f>
        <v/>
      </c>
      <c r="E46" s="693" t="str">
        <f aca="false">IF(B46="","",$F$22/(SQRT(12)))</f>
        <v/>
      </c>
      <c r="F46" s="693" t="str">
        <f aca="false">IF(B46="","",$F$23/(SQRT(3)))</f>
        <v/>
      </c>
      <c r="G46" s="694" t="str">
        <f aca="false">IF(B46="","",(SQRT((+C46^2+D46^2+E46^2+F46^2))/(10^-3)))</f>
        <v/>
      </c>
      <c r="H46" s="675" t="str">
        <f aca="false">IF(B46="","",(IF('conversion datos'!$L$30='Patrones LACOMET'!$D$3,(VLOOKUP(B46,'BLOQUES PATRON (pulg) '!$K$5:$Q$91,6,FALSE())*1000),IF('conversion datos'!$L$30='Patrones LACOMET'!$D$4,(VLOOKUP(B46,'BLOQUES PATRON (mm)'!$D$5:$H$126,5,FALSE())),"No existe el patrón"))))</f>
        <v/>
      </c>
      <c r="I46" s="676" t="str">
        <f aca="false">IF(B46="","",0.42^2)</f>
        <v/>
      </c>
      <c r="J46" s="676" t="str">
        <f aca="false">IF(B46="","",IF('conversion datos'!$L$30='Patrones LACOMET'!$D$3,LOOKUP(B46,'BLOQUES PATRON (pulg) '!$S$5:$S$86,'BLOQUES PATRON (pulg) '!$Z$5:$Z$86),IF('conversion datos'!$L$30='Patrones LACOMET'!$D$4,LOOKUP(B46,'BLOQUES PATRON (mm)'!$O$5:$O$126,'BLOQUES PATRON (mm)'!$U$5:$U$126),"No existe el patrón")))</f>
        <v/>
      </c>
      <c r="K46" s="677" t="str">
        <f aca="false">IF(B46="","",SQRT((H46^2)+(J46^2)+(I46^2)))</f>
        <v/>
      </c>
      <c r="L46" s="695" t="str">
        <f aca="false">IF(B46="","",$G$4)</f>
        <v/>
      </c>
      <c r="M46" s="695" t="str">
        <f aca="false">IF(B46="","",($G$5))</f>
        <v/>
      </c>
      <c r="N46" s="695" t="str">
        <f aca="false">IF(B46="","",($G$6))</f>
        <v/>
      </c>
      <c r="O46" s="696" t="str">
        <f aca="false">IF(B46="","",(($G$7)))</f>
        <v/>
      </c>
      <c r="P46" s="697" t="str">
        <f aca="false">IF(B46="","",$G$8)</f>
        <v/>
      </c>
      <c r="Q46" s="698" t="str">
        <f aca="false">IF(B46="","",SQRT((L46^2)*(M46^2)+(N46^2)+(O46^2)+(P46^2)))</f>
        <v/>
      </c>
      <c r="R46" s="699" t="str">
        <f aca="false">IF(B46="","",($G$12))</f>
        <v/>
      </c>
      <c r="S46" s="699" t="str">
        <f aca="false">IF(B46="","",($G$13))</f>
        <v/>
      </c>
      <c r="T46" s="700" t="str">
        <f aca="false">IF(B46="","",+$F$14/SQRT(12))</f>
        <v/>
      </c>
      <c r="U46" s="684" t="str">
        <f aca="false">IF(B46="","",(($M$17)/2)*1000)</f>
        <v/>
      </c>
      <c r="V46" s="685" t="str">
        <f aca="false">+IF(B46="","",+$G$15)</f>
        <v/>
      </c>
      <c r="W46" s="685" t="str">
        <f aca="false">+IF(B46="","",+$G$16)</f>
        <v/>
      </c>
      <c r="X46" s="685" t="str">
        <f aca="false">+IF(B46="","",+$G$17)</f>
        <v/>
      </c>
      <c r="Y46" s="686" t="str">
        <f aca="false">+IF(B46="","",K46*$G$9)</f>
        <v/>
      </c>
      <c r="Z46" s="686" t="str">
        <f aca="false">+IF(B46="","",K46*$G$12)</f>
        <v/>
      </c>
      <c r="AA46" s="686" t="str">
        <f aca="false">+IF(B46="","",K46*$G$13)</f>
        <v/>
      </c>
      <c r="AB46" s="686" t="str">
        <f aca="false">+IF(B46="","",K46*T46)</f>
        <v/>
      </c>
      <c r="AC46" s="687" t="str">
        <f aca="false">IF(B46="","",('SENSIBILIDAD 2'!B23^2)*(G46^2))</f>
        <v/>
      </c>
      <c r="AD46" s="688" t="str">
        <f aca="false">IF(B46="","",('SENSIBILIDAD 2'!C23^2)*(K46^2))</f>
        <v/>
      </c>
      <c r="AE46" s="688" t="str">
        <f aca="false">IF(B46="","",'SENSIBILIDAD 2'!D23^2*(R46^2))</f>
        <v/>
      </c>
      <c r="AF46" s="688" t="str">
        <f aca="false">IF(B46="","",'SENSIBILIDAD 2'!E23^2*(S46^2))</f>
        <v/>
      </c>
      <c r="AG46" s="688" t="str">
        <f aca="false">IF(B46="","",'SENSIBILIDAD 2'!F23^2*(T46^2))</f>
        <v/>
      </c>
      <c r="AH46" s="688" t="str">
        <f aca="false">IF(B46="","",(('SENSIBILIDAD 2'!G23)^2)*(Q46^2))</f>
        <v/>
      </c>
      <c r="AI46" s="688" t="str">
        <f aca="false">IF(B46="","",'SENSIBILIDAD 2'!H23^2*(U46^2))</f>
        <v/>
      </c>
      <c r="AJ46" s="688" t="str">
        <f aca="false">IF(B46="","",'SENSIBILIDAD 2'!M23^2*(V46^2))</f>
        <v/>
      </c>
      <c r="AK46" s="688" t="str">
        <f aca="false">IF(B46="","",'SENSIBILIDAD 2'!N23^2*(W46^2))</f>
        <v/>
      </c>
      <c r="AL46" s="688" t="str">
        <f aca="false">IF(B46="","",'SENSIBILIDAD 2'!O23^2*(X46^2))</f>
        <v/>
      </c>
      <c r="AM46" s="688" t="str">
        <f aca="false">IF($B46="","",(Y46^2)*('SENSIBILIDAD 2'!K23^2))</f>
        <v/>
      </c>
      <c r="AN46" s="688" t="str">
        <f aca="false">IF($B46="","",(Z46^2)*('SENSIBILIDAD 2'!I23^2))</f>
        <v/>
      </c>
      <c r="AO46" s="688" t="str">
        <f aca="false">IF($B46="","",(AA46^2)*('SENSIBILIDAD 2'!J23^2))</f>
        <v/>
      </c>
      <c r="AP46" s="688" t="str">
        <f aca="false">IF($B46="","",(AB46^2)*('SENSIBILIDAD 2'!L23^2))</f>
        <v/>
      </c>
      <c r="AQ46" s="689" t="str">
        <f aca="false">IF(B46="","",SQRT(AC46+AD46+AE46+AF46+AG46+AH46+AI46+AJ46+AK46+AL46+AM46+AN46+AO46+AP46))</f>
        <v/>
      </c>
      <c r="AR46" s="701" t="str">
        <f aca="false">IF(B46="","",2*AQ46)</f>
        <v/>
      </c>
      <c r="AS46" s="702" t="str">
        <f aca="false">IF(B46="","",+AR46/1000)</f>
        <v/>
      </c>
      <c r="AT46" s="692" t="str">
        <f aca="false">IF('conversion datos'!$L$30='Patrones LACOMET'!$D$3,(IF(N46="","",AS46*39.37008)),IF('conversion datos'!$L$30='Patrones LACOMET'!$D$4,AS46,"No existe el patrón"))</f>
        <v/>
      </c>
      <c r="BI46" s="564"/>
      <c r="BJ46" s="564"/>
      <c r="BK46" s="564"/>
      <c r="BL46" s="564"/>
      <c r="BM46" s="655"/>
      <c r="BN46" s="655"/>
    </row>
    <row r="47" customFormat="false" ht="19.5" hidden="false" customHeight="true" outlineLevel="0" collapsed="false">
      <c r="A47" s="81" t="n">
        <f aca="false">+CALIBRACION!A30</f>
        <v>19</v>
      </c>
      <c r="B47" s="672" t="str">
        <f aca="false">IF(CALIBRACION!H30="","",CALIBRACION!H30)</f>
        <v/>
      </c>
      <c r="C47" s="693" t="str">
        <f aca="false">IF(B47="","",+($F$20)/SQRT((5)))</f>
        <v/>
      </c>
      <c r="D47" s="693" t="str">
        <f aca="false">IF(B47="","",$F$21/SQRT((3)))</f>
        <v/>
      </c>
      <c r="E47" s="693" t="str">
        <f aca="false">IF(B47="","",$F$22/(SQRT(12)))</f>
        <v/>
      </c>
      <c r="F47" s="693" t="str">
        <f aca="false">IF(B47="","",$F$23/(SQRT(3)))</f>
        <v/>
      </c>
      <c r="G47" s="694" t="str">
        <f aca="false">IF(B47="","",(SQRT((+C47^2+D47^2+E47^2+F47^2))/(10^-3)))</f>
        <v/>
      </c>
      <c r="H47" s="675" t="str">
        <f aca="false">IF(B47="","",(IF('conversion datos'!$L$30='Patrones LACOMET'!$D$3,(VLOOKUP(B47,'BLOQUES PATRON (pulg) '!$K$5:$Q$91,6,FALSE())*1000),IF('conversion datos'!$L$30='Patrones LACOMET'!$D$4,(VLOOKUP(B47,'BLOQUES PATRON (mm)'!$D$5:$H$126,5,FALSE())),"No existe el patrón"))))</f>
        <v/>
      </c>
      <c r="I47" s="676" t="str">
        <f aca="false">IF(B47="","",0.42^2)</f>
        <v/>
      </c>
      <c r="J47" s="676" t="str">
        <f aca="false">IF(B47="","",IF('conversion datos'!$L$30='Patrones LACOMET'!$D$3,LOOKUP(B47,'BLOQUES PATRON (pulg) '!$S$5:$S$86,'BLOQUES PATRON (pulg) '!$Z$5:$Z$86),IF('conversion datos'!$L$30='Patrones LACOMET'!$D$4,LOOKUP(B47,'BLOQUES PATRON (mm)'!$O$5:$O$126,'BLOQUES PATRON (mm)'!$U$5:$U$126),"No existe el patrón")))</f>
        <v/>
      </c>
      <c r="K47" s="677" t="str">
        <f aca="false">IF(B47="","",SQRT((H47^2)+(J47^2)+(I47^2)))</f>
        <v/>
      </c>
      <c r="L47" s="695" t="str">
        <f aca="false">IF(B47="","",$G$4)</f>
        <v/>
      </c>
      <c r="M47" s="695" t="str">
        <f aca="false">IF(B47="","",($G$5))</f>
        <v/>
      </c>
      <c r="N47" s="695" t="str">
        <f aca="false">IF(B47="","",($G$6))</f>
        <v/>
      </c>
      <c r="O47" s="696" t="str">
        <f aca="false">IF(B47="","",(($G$7)))</f>
        <v/>
      </c>
      <c r="P47" s="697" t="str">
        <f aca="false">IF(B47="","",$G$8)</f>
        <v/>
      </c>
      <c r="Q47" s="698" t="str">
        <f aca="false">IF(B47="","",SQRT((L47^2)*(M47^2)+(N47^2)+(O47^2)+(P47^2)))</f>
        <v/>
      </c>
      <c r="R47" s="699" t="str">
        <f aca="false">IF(B47="","",($G$12))</f>
        <v/>
      </c>
      <c r="S47" s="699" t="str">
        <f aca="false">IF(B47="","",($G$13))</f>
        <v/>
      </c>
      <c r="T47" s="700" t="str">
        <f aca="false">IF(B47="","",+$F$14/SQRT(12))</f>
        <v/>
      </c>
      <c r="U47" s="684" t="str">
        <f aca="false">IF(B47="","",(($M$17)/2)*1000)</f>
        <v/>
      </c>
      <c r="V47" s="685" t="str">
        <f aca="false">+IF(B47="","",+$G$15)</f>
        <v/>
      </c>
      <c r="W47" s="685" t="str">
        <f aca="false">+IF(B47="","",+$G$16)</f>
        <v/>
      </c>
      <c r="X47" s="685" t="str">
        <f aca="false">+IF(B47="","",+$G$17)</f>
        <v/>
      </c>
      <c r="Y47" s="686" t="str">
        <f aca="false">+IF(B47="","",K47*$G$9)</f>
        <v/>
      </c>
      <c r="Z47" s="686" t="str">
        <f aca="false">+IF(B47="","",K47*$G$12)</f>
        <v/>
      </c>
      <c r="AA47" s="686" t="str">
        <f aca="false">+IF(B47="","",K47*$G$13)</f>
        <v/>
      </c>
      <c r="AB47" s="686" t="str">
        <f aca="false">+IF(B47="","",K47*T47)</f>
        <v/>
      </c>
      <c r="AC47" s="687" t="str">
        <f aca="false">IF(B47="","",('SENSIBILIDAD 2'!B24^2)*(G47^2))</f>
        <v/>
      </c>
      <c r="AD47" s="688" t="str">
        <f aca="false">IF(B47="","",('SENSIBILIDAD 2'!C24^2)*(K47^2))</f>
        <v/>
      </c>
      <c r="AE47" s="688" t="str">
        <f aca="false">IF(B47="","",'SENSIBILIDAD 2'!D24^2*(R47^2))</f>
        <v/>
      </c>
      <c r="AF47" s="688" t="str">
        <f aca="false">IF(B47="","",'SENSIBILIDAD 2'!E24^2*(S47^2))</f>
        <v/>
      </c>
      <c r="AG47" s="688" t="str">
        <f aca="false">IF(B47="","",'SENSIBILIDAD 2'!F24^2*(T47^2))</f>
        <v/>
      </c>
      <c r="AH47" s="688" t="str">
        <f aca="false">IF(B47="","",(('SENSIBILIDAD 2'!G24)^2)*(Q47^2))</f>
        <v/>
      </c>
      <c r="AI47" s="688" t="str">
        <f aca="false">IF(B47="","",'SENSIBILIDAD 2'!H24^2*(U47^2))</f>
        <v/>
      </c>
      <c r="AJ47" s="688" t="str">
        <f aca="false">IF(B47="","",'SENSIBILIDAD 2'!M24^2*(V47^2))</f>
        <v/>
      </c>
      <c r="AK47" s="688" t="str">
        <f aca="false">IF(B47="","",'SENSIBILIDAD 2'!N24^2*(W47^2))</f>
        <v/>
      </c>
      <c r="AL47" s="688" t="str">
        <f aca="false">IF(B47="","",'SENSIBILIDAD 2'!O24^2*(X47^2))</f>
        <v/>
      </c>
      <c r="AM47" s="688" t="str">
        <f aca="false">IF($B47="","",(Y47^2)*('SENSIBILIDAD 2'!K24^2))</f>
        <v/>
      </c>
      <c r="AN47" s="688" t="str">
        <f aca="false">IF($B47="","",(Z47^2)*('SENSIBILIDAD 2'!I24^2))</f>
        <v/>
      </c>
      <c r="AO47" s="688" t="str">
        <f aca="false">IF($B47="","",(AA47^2)*('SENSIBILIDAD 2'!J24^2))</f>
        <v/>
      </c>
      <c r="AP47" s="688" t="str">
        <f aca="false">IF($B47="","",(AB47^2)*('SENSIBILIDAD 2'!L24^2))</f>
        <v/>
      </c>
      <c r="AQ47" s="689" t="str">
        <f aca="false">IF(B47="","",SQRT(AC47+AD47+AE47+AF47+AG47+AH47+AI47+AJ47+AK47+AL47+AM47+AN47+AO47+AP47))</f>
        <v/>
      </c>
      <c r="AR47" s="701" t="str">
        <f aca="false">IF(B47="","",2*AQ47)</f>
        <v/>
      </c>
      <c r="AS47" s="702" t="str">
        <f aca="false">IF(B47="","",+AR47/1000)</f>
        <v/>
      </c>
      <c r="AT47" s="692" t="str">
        <f aca="false">IF('conversion datos'!$L$30='Patrones LACOMET'!$D$3,(IF(N47="","",AS47*39.37008)),IF('conversion datos'!$L$30='Patrones LACOMET'!$D$4,AS47,"No existe el patrón"))</f>
        <v/>
      </c>
      <c r="BI47" s="564"/>
      <c r="BJ47" s="564"/>
      <c r="BK47" s="564"/>
      <c r="BL47" s="564"/>
      <c r="BM47" s="655"/>
      <c r="BN47" s="655"/>
    </row>
    <row r="48" customFormat="false" ht="19.5" hidden="false" customHeight="true" outlineLevel="0" collapsed="false">
      <c r="A48" s="81" t="n">
        <f aca="false">+CALIBRACION!A31</f>
        <v>20</v>
      </c>
      <c r="B48" s="672" t="str">
        <f aca="false">IF(CALIBRACION!H31="","",CALIBRACION!H31)</f>
        <v/>
      </c>
      <c r="C48" s="693" t="str">
        <f aca="false">IF(B48="","",+($F$20)/SQRT((5)))</f>
        <v/>
      </c>
      <c r="D48" s="693" t="str">
        <f aca="false">IF(B48="","",$F$21/SQRT((3)))</f>
        <v/>
      </c>
      <c r="E48" s="693" t="str">
        <f aca="false">IF(B48="","",$F$22/(SQRT(12)))</f>
        <v/>
      </c>
      <c r="F48" s="693" t="str">
        <f aca="false">IF(B48="","",$F$23/(SQRT(3)))</f>
        <v/>
      </c>
      <c r="G48" s="694" t="str">
        <f aca="false">IF(B48="","",(SQRT((+C48^2+D48^2+E48^2+F48^2))/(10^-3)))</f>
        <v/>
      </c>
      <c r="H48" s="675" t="str">
        <f aca="false">IF(B48="","",(IF('conversion datos'!$L$30='Patrones LACOMET'!$D$3,(VLOOKUP(B48,'BLOQUES PATRON (pulg) '!$K$5:$Q$91,6,FALSE())*1000),IF('conversion datos'!$L$30='Patrones LACOMET'!$D$4,(VLOOKUP(B48,'BLOQUES PATRON (mm)'!$D$5:$H$126,5,FALSE())),"No existe el patrón"))))</f>
        <v/>
      </c>
      <c r="I48" s="676" t="str">
        <f aca="false">IF(B48="","",0.42^2)</f>
        <v/>
      </c>
      <c r="J48" s="676" t="str">
        <f aca="false">IF(B48="","",IF('conversion datos'!$L$30='Patrones LACOMET'!$D$3,LOOKUP(B48,'BLOQUES PATRON (pulg) '!$S$5:$S$86,'BLOQUES PATRON (pulg) '!$Z$5:$Z$86),IF('conversion datos'!$L$30='Patrones LACOMET'!$D$4,LOOKUP(B48,'BLOQUES PATRON (mm)'!$O$5:$O$126,'BLOQUES PATRON (mm)'!$U$5:$U$126),"No existe el patrón")))</f>
        <v/>
      </c>
      <c r="K48" s="677" t="str">
        <f aca="false">IF(B48="","",SQRT((H48^2)+(J48^2)+(I48^2)))</f>
        <v/>
      </c>
      <c r="L48" s="695" t="str">
        <f aca="false">IF(B48="","",$G$4)</f>
        <v/>
      </c>
      <c r="M48" s="695" t="str">
        <f aca="false">IF(B48="","",($G$5))</f>
        <v/>
      </c>
      <c r="N48" s="695" t="str">
        <f aca="false">IF(B48="","",($G$6))</f>
        <v/>
      </c>
      <c r="O48" s="696" t="str">
        <f aca="false">IF(B48="","",(($G$7)))</f>
        <v/>
      </c>
      <c r="P48" s="697" t="str">
        <f aca="false">IF(B48="","",$G$8)</f>
        <v/>
      </c>
      <c r="Q48" s="698" t="str">
        <f aca="false">IF(B48="","",SQRT((L48^2)*(M48^2)+(N48^2)+(O48^2)+(P48^2)))</f>
        <v/>
      </c>
      <c r="R48" s="699" t="str">
        <f aca="false">IF(B48="","",($G$12))</f>
        <v/>
      </c>
      <c r="S48" s="699" t="str">
        <f aca="false">IF(B48="","",($G$13))</f>
        <v/>
      </c>
      <c r="T48" s="700" t="str">
        <f aca="false">IF(B48="","",+$F$14/SQRT(12))</f>
        <v/>
      </c>
      <c r="U48" s="684" t="str">
        <f aca="false">IF(B48="","",(($M$17)/2)*1000)</f>
        <v/>
      </c>
      <c r="V48" s="685" t="str">
        <f aca="false">+IF(B48="","",+$G$15)</f>
        <v/>
      </c>
      <c r="W48" s="685" t="str">
        <f aca="false">+IF(B48="","",+$G$16)</f>
        <v/>
      </c>
      <c r="X48" s="685" t="str">
        <f aca="false">+IF(B48="","",+$G$17)</f>
        <v/>
      </c>
      <c r="Y48" s="686" t="str">
        <f aca="false">+IF(B48="","",K48*$G$9)</f>
        <v/>
      </c>
      <c r="Z48" s="686" t="str">
        <f aca="false">+IF(B48="","",K48*$G$12)</f>
        <v/>
      </c>
      <c r="AA48" s="686" t="str">
        <f aca="false">+IF(B48="","",K48*$G$13)</f>
        <v/>
      </c>
      <c r="AB48" s="686" t="str">
        <f aca="false">+IF(B48="","",K48*T48)</f>
        <v/>
      </c>
      <c r="AC48" s="687" t="str">
        <f aca="false">IF(B48="","",('SENSIBILIDAD 2'!B25^2)*(G48^2))</f>
        <v/>
      </c>
      <c r="AD48" s="688" t="str">
        <f aca="false">IF(B48="","",('SENSIBILIDAD 2'!C25^2)*(K48^2))</f>
        <v/>
      </c>
      <c r="AE48" s="688" t="str">
        <f aca="false">IF(B48="","",'SENSIBILIDAD 2'!D25^2*(R48^2))</f>
        <v/>
      </c>
      <c r="AF48" s="688" t="str">
        <f aca="false">IF(B48="","",'SENSIBILIDAD 2'!E25^2*(S48^2))</f>
        <v/>
      </c>
      <c r="AG48" s="688" t="str">
        <f aca="false">IF(B48="","",'SENSIBILIDAD 2'!F25^2*(T48^2))</f>
        <v/>
      </c>
      <c r="AH48" s="688" t="str">
        <f aca="false">IF(B48="","",(('SENSIBILIDAD 2'!G25)^2)*(Q48^2))</f>
        <v/>
      </c>
      <c r="AI48" s="688" t="str">
        <f aca="false">IF(B48="","",'SENSIBILIDAD 2'!H25^2*(U48^2))</f>
        <v/>
      </c>
      <c r="AJ48" s="688" t="str">
        <f aca="false">IF(B48="","",'SENSIBILIDAD 2'!M25^2*(V48^2))</f>
        <v/>
      </c>
      <c r="AK48" s="688" t="str">
        <f aca="false">IF(B48="","",'SENSIBILIDAD 2'!N25^2*(W48^2))</f>
        <v/>
      </c>
      <c r="AL48" s="688" t="str">
        <f aca="false">IF(B48="","",'SENSIBILIDAD 2'!O25^2*(X48^2))</f>
        <v/>
      </c>
      <c r="AM48" s="688" t="str">
        <f aca="false">IF($B48="","",(Y48^2)*('SENSIBILIDAD 2'!K25^2))</f>
        <v/>
      </c>
      <c r="AN48" s="688" t="str">
        <f aca="false">IF($B48="","",(Z48^2)*('SENSIBILIDAD 2'!I25^2))</f>
        <v/>
      </c>
      <c r="AO48" s="688" t="str">
        <f aca="false">IF($B48="","",(AA48^2)*('SENSIBILIDAD 2'!J25^2))</f>
        <v/>
      </c>
      <c r="AP48" s="688" t="str">
        <f aca="false">IF($B48="","",(AB48^2)*('SENSIBILIDAD 2'!L25^2))</f>
        <v/>
      </c>
      <c r="AQ48" s="689" t="str">
        <f aca="false">IF(B48="","",SQRT(AC48+AD48+AE48+AF48+AG48+AH48+AI48+AJ48+AK48+AL48+AM48+AN48+AO48+AP48))</f>
        <v/>
      </c>
      <c r="AR48" s="701" t="str">
        <f aca="false">IF(B48="","",2*AQ48)</f>
        <v/>
      </c>
      <c r="AS48" s="702" t="str">
        <f aca="false">IF(B48="","",+AR48/1000)</f>
        <v/>
      </c>
      <c r="AT48" s="692" t="str">
        <f aca="false">IF('conversion datos'!$L$30='Patrones LACOMET'!$D$3,(IF(N48="","",AS48*39.37008)),IF('conversion datos'!$L$30='Patrones LACOMET'!$D$4,AS48,"No existe el patrón"))</f>
        <v/>
      </c>
      <c r="BI48" s="564"/>
      <c r="BJ48" s="564"/>
      <c r="BK48" s="564"/>
      <c r="BL48" s="564"/>
      <c r="BM48" s="655"/>
      <c r="BN48" s="655"/>
    </row>
    <row r="49" customFormat="false" ht="19.5" hidden="false" customHeight="true" outlineLevel="0" collapsed="false">
      <c r="A49" s="81" t="n">
        <f aca="false">+CALIBRACION!A32</f>
        <v>21</v>
      </c>
      <c r="B49" s="672" t="str">
        <f aca="false">IF(CALIBRACION!H32="","",CALIBRACION!H32)</f>
        <v/>
      </c>
      <c r="C49" s="693" t="str">
        <f aca="false">IF(B49="","",+($F$20)/SQRT((5)))</f>
        <v/>
      </c>
      <c r="D49" s="693" t="str">
        <f aca="false">IF(B49="","",$F$21/SQRT((3)))</f>
        <v/>
      </c>
      <c r="E49" s="693" t="str">
        <f aca="false">IF(B49="","",$F$22/(SQRT(12)))</f>
        <v/>
      </c>
      <c r="F49" s="693" t="str">
        <f aca="false">IF(B49="","",$F$23/(SQRT(3)))</f>
        <v/>
      </c>
      <c r="G49" s="694" t="str">
        <f aca="false">IF(B49="","",(SQRT((+C49^2+D49^2+E49^2+F49^2))/(10^-3)))</f>
        <v/>
      </c>
      <c r="H49" s="675" t="str">
        <f aca="false">IF(B49="","",(IF('conversion datos'!$L$30='Patrones LACOMET'!$D$3,(VLOOKUP(B49,'BLOQUES PATRON (pulg) '!$K$5:$Q$91,6,FALSE())*1000),IF('conversion datos'!$L$30='Patrones LACOMET'!$D$4,(VLOOKUP(B49,'BLOQUES PATRON (mm)'!$D$5:$H$126,5,FALSE())),"No existe el patrón"))))</f>
        <v/>
      </c>
      <c r="I49" s="676" t="str">
        <f aca="false">IF(B49="","",0.42^2)</f>
        <v/>
      </c>
      <c r="J49" s="676" t="str">
        <f aca="false">IF(B49="","",IF('conversion datos'!$L$30='Patrones LACOMET'!$D$3,LOOKUP(B49,'BLOQUES PATRON (pulg) '!$S$5:$S$86,'BLOQUES PATRON (pulg) '!$Z$5:$Z$86),IF('conversion datos'!$L$30='Patrones LACOMET'!$D$4,LOOKUP(B49,'BLOQUES PATRON (mm)'!$O$5:$O$126,'BLOQUES PATRON (mm)'!$U$5:$U$126),"No existe el patrón")))</f>
        <v/>
      </c>
      <c r="K49" s="677" t="str">
        <f aca="false">IF(B49="","",SQRT((H49^2)+(J49^2)+(I49^2)))</f>
        <v/>
      </c>
      <c r="L49" s="695" t="str">
        <f aca="false">IF(B49="","",$G$4)</f>
        <v/>
      </c>
      <c r="M49" s="695" t="str">
        <f aca="false">IF(B49="","",($G$5))</f>
        <v/>
      </c>
      <c r="N49" s="695" t="str">
        <f aca="false">IF(B49="","",($G$6))</f>
        <v/>
      </c>
      <c r="O49" s="696" t="str">
        <f aca="false">IF(B49="","",(($G$7)))</f>
        <v/>
      </c>
      <c r="P49" s="697" t="str">
        <f aca="false">IF(B49="","",$G$8)</f>
        <v/>
      </c>
      <c r="Q49" s="698" t="str">
        <f aca="false">IF(B49="","",SQRT((L49^2)*(M49^2)+(N49^2)+(O49^2)+(P49^2)))</f>
        <v/>
      </c>
      <c r="R49" s="699" t="str">
        <f aca="false">IF(B49="","",($G$12))</f>
        <v/>
      </c>
      <c r="S49" s="699" t="str">
        <f aca="false">IF(B49="","",($G$13))</f>
        <v/>
      </c>
      <c r="T49" s="700" t="str">
        <f aca="false">IF(B49="","",+$F$14/SQRT(12))</f>
        <v/>
      </c>
      <c r="U49" s="684" t="str">
        <f aca="false">IF(B49="","",(($M$17)/2)*1000)</f>
        <v/>
      </c>
      <c r="V49" s="685" t="str">
        <f aca="false">+IF(B49="","",+$G$15)</f>
        <v/>
      </c>
      <c r="W49" s="685" t="str">
        <f aca="false">+IF(B49="","",+$G$16)</f>
        <v/>
      </c>
      <c r="X49" s="685" t="str">
        <f aca="false">+IF(B49="","",+$G$17)</f>
        <v/>
      </c>
      <c r="Y49" s="686" t="str">
        <f aca="false">+IF(B49="","",K49*$G$9)</f>
        <v/>
      </c>
      <c r="Z49" s="686" t="str">
        <f aca="false">+IF(B49="","",K49*$G$12)</f>
        <v/>
      </c>
      <c r="AA49" s="686" t="str">
        <f aca="false">+IF(B49="","",K49*$G$13)</f>
        <v/>
      </c>
      <c r="AB49" s="686" t="str">
        <f aca="false">+IF(B49="","",K49*T49)</f>
        <v/>
      </c>
      <c r="AC49" s="687" t="str">
        <f aca="false">IF(B49="","",('SENSIBILIDAD 2'!B26^2)*(G49^2))</f>
        <v/>
      </c>
      <c r="AD49" s="688" t="str">
        <f aca="false">IF(B49="","",('SENSIBILIDAD 2'!C26^2)*(K49^2))</f>
        <v/>
      </c>
      <c r="AE49" s="688" t="str">
        <f aca="false">IF(B49="","",'SENSIBILIDAD 2'!D26^2*(R49^2))</f>
        <v/>
      </c>
      <c r="AF49" s="688" t="str">
        <f aca="false">IF(B49="","",'SENSIBILIDAD 2'!E26^2*(S49^2))</f>
        <v/>
      </c>
      <c r="AG49" s="688" t="str">
        <f aca="false">IF(B49="","",'SENSIBILIDAD 2'!F26^2*(T49^2))</f>
        <v/>
      </c>
      <c r="AH49" s="688" t="str">
        <f aca="false">IF(B49="","",(('SENSIBILIDAD 2'!G26)^2)*(Q49^2))</f>
        <v/>
      </c>
      <c r="AI49" s="688" t="str">
        <f aca="false">IF(B49="","",'SENSIBILIDAD 2'!H26^2*(U49^2))</f>
        <v/>
      </c>
      <c r="AJ49" s="688" t="str">
        <f aca="false">IF(B49="","",'SENSIBILIDAD 2'!M26^2*(V49^2))</f>
        <v/>
      </c>
      <c r="AK49" s="688" t="str">
        <f aca="false">IF(B49="","",'SENSIBILIDAD 2'!N26^2*(W49^2))</f>
        <v/>
      </c>
      <c r="AL49" s="688" t="str">
        <f aca="false">IF(B49="","",'SENSIBILIDAD 2'!O26^2*(X49^2))</f>
        <v/>
      </c>
      <c r="AM49" s="688" t="str">
        <f aca="false">IF($B49="","",(Y49^2)*('SENSIBILIDAD 2'!K26^2))</f>
        <v/>
      </c>
      <c r="AN49" s="688" t="str">
        <f aca="false">IF($B49="","",(Z49^2)*('SENSIBILIDAD 2'!I26^2))</f>
        <v/>
      </c>
      <c r="AO49" s="688" t="str">
        <f aca="false">IF($B49="","",(AA49^2)*('SENSIBILIDAD 2'!J26^2))</f>
        <v/>
      </c>
      <c r="AP49" s="688" t="str">
        <f aca="false">IF($B49="","",(AB49^2)*('SENSIBILIDAD 2'!L26^2))</f>
        <v/>
      </c>
      <c r="AQ49" s="689" t="str">
        <f aca="false">IF(B49="","",SQRT(AC49+AD49+AE49+AF49+AG49+AH49+AI49+AJ49+AK49+AL49+AM49+AN49+AO49+AP49))</f>
        <v/>
      </c>
      <c r="AR49" s="701" t="str">
        <f aca="false">IF(B49="","",2*AQ49)</f>
        <v/>
      </c>
      <c r="AS49" s="702" t="str">
        <f aca="false">IF(B49="","",+AR49/1000)</f>
        <v/>
      </c>
      <c r="AT49" s="692" t="str">
        <f aca="false">IF('conversion datos'!$L$30='Patrones LACOMET'!$D$3,(IF(N49="","",AS49*39.37008)),IF('conversion datos'!$L$30='Patrones LACOMET'!$D$4,AS49,"No existe el patrón"))</f>
        <v/>
      </c>
      <c r="BI49" s="564"/>
      <c r="BJ49" s="564"/>
      <c r="BK49" s="564"/>
      <c r="BL49" s="564"/>
      <c r="BM49" s="655"/>
      <c r="BN49" s="655"/>
    </row>
    <row r="50" customFormat="false" ht="19.5" hidden="false" customHeight="true" outlineLevel="0" collapsed="false">
      <c r="A50" s="81" t="n">
        <f aca="false">+CALIBRACION!A33</f>
        <v>22</v>
      </c>
      <c r="B50" s="672" t="str">
        <f aca="false">IF(CALIBRACION!H33="","",CALIBRACION!H33)</f>
        <v/>
      </c>
      <c r="C50" s="693" t="str">
        <f aca="false">IF(B50="","",+($F$20)/SQRT((5)))</f>
        <v/>
      </c>
      <c r="D50" s="693" t="str">
        <f aca="false">IF(B50="","",$F$21/SQRT((3)))</f>
        <v/>
      </c>
      <c r="E50" s="693" t="str">
        <f aca="false">IF(B50="","",$F$22/(SQRT(12)))</f>
        <v/>
      </c>
      <c r="F50" s="693" t="str">
        <f aca="false">IF(B50="","",$F$23/(SQRT(3)))</f>
        <v/>
      </c>
      <c r="G50" s="694" t="str">
        <f aca="false">IF(B50="","",(SQRT((+C50^2+D50^2+E50^2+F50^2))/(10^-3)))</f>
        <v/>
      </c>
      <c r="H50" s="675" t="str">
        <f aca="false">IF(B50="","",(IF('conversion datos'!$L$30='Patrones LACOMET'!$D$3,(VLOOKUP(B50,'BLOQUES PATRON (pulg) '!$K$5:$Q$91,6,FALSE())*1000),IF('conversion datos'!$L$30='Patrones LACOMET'!$D$4,(VLOOKUP(B50,'BLOQUES PATRON (mm)'!$D$5:$H$126,5,FALSE())),"No existe el patrón"))))</f>
        <v/>
      </c>
      <c r="I50" s="676" t="str">
        <f aca="false">IF(B50="","",0.42^2)</f>
        <v/>
      </c>
      <c r="J50" s="676" t="str">
        <f aca="false">IF(B50="","",IF('conversion datos'!$L$30='Patrones LACOMET'!$D$3,LOOKUP(B50,'BLOQUES PATRON (pulg) '!$S$5:$S$86,'BLOQUES PATRON (pulg) '!$Z$5:$Z$86),IF('conversion datos'!$L$30='Patrones LACOMET'!$D$4,LOOKUP(B50,'BLOQUES PATRON (mm)'!$O$5:$O$126,'BLOQUES PATRON (mm)'!$U$5:$U$126),"No existe el patrón")))</f>
        <v/>
      </c>
      <c r="K50" s="677" t="str">
        <f aca="false">IF(B50="","",SQRT((H50^2)+(J50^2)+(I50^2)))</f>
        <v/>
      </c>
      <c r="L50" s="695" t="str">
        <f aca="false">IF(B50="","",$G$4)</f>
        <v/>
      </c>
      <c r="M50" s="695" t="str">
        <f aca="false">IF(B50="","",($G$5))</f>
        <v/>
      </c>
      <c r="N50" s="695" t="str">
        <f aca="false">IF(B50="","",($G$6))</f>
        <v/>
      </c>
      <c r="O50" s="696" t="str">
        <f aca="false">IF(B50="","",(($G$7)))</f>
        <v/>
      </c>
      <c r="P50" s="697" t="str">
        <f aca="false">IF(B50="","",$G$8)</f>
        <v/>
      </c>
      <c r="Q50" s="698" t="str">
        <f aca="false">IF(B50="","",SQRT((L50^2)*(M50^2)+(N50^2)+(O50^2)+(P50^2)))</f>
        <v/>
      </c>
      <c r="R50" s="699" t="str">
        <f aca="false">IF(B50="","",($G$12))</f>
        <v/>
      </c>
      <c r="S50" s="699" t="str">
        <f aca="false">IF(B50="","",($G$13))</f>
        <v/>
      </c>
      <c r="T50" s="700" t="str">
        <f aca="false">IF(B50="","",+$F$14/SQRT(12))</f>
        <v/>
      </c>
      <c r="U50" s="684" t="str">
        <f aca="false">IF(B50="","",(($M$17)/2)*1000)</f>
        <v/>
      </c>
      <c r="V50" s="685" t="str">
        <f aca="false">+IF(B50="","",+$G$15)</f>
        <v/>
      </c>
      <c r="W50" s="685" t="str">
        <f aca="false">+IF(B50="","",+$G$16)</f>
        <v/>
      </c>
      <c r="X50" s="685" t="str">
        <f aca="false">+IF(B50="","",+$G$17)</f>
        <v/>
      </c>
      <c r="Y50" s="686" t="str">
        <f aca="false">+IF(B50="","",K50*$G$9)</f>
        <v/>
      </c>
      <c r="Z50" s="686" t="str">
        <f aca="false">+IF(B50="","",K50*$G$12)</f>
        <v/>
      </c>
      <c r="AA50" s="686" t="str">
        <f aca="false">+IF(B50="","",K50*$G$13)</f>
        <v/>
      </c>
      <c r="AB50" s="686" t="str">
        <f aca="false">+IF(B50="","",K50*T50)</f>
        <v/>
      </c>
      <c r="AC50" s="687" t="str">
        <f aca="false">IF(B50="","",('SENSIBILIDAD 2'!B27^2)*(G50^2))</f>
        <v/>
      </c>
      <c r="AD50" s="688" t="str">
        <f aca="false">IF(B50="","",('SENSIBILIDAD 2'!C27^2)*(K50^2))</f>
        <v/>
      </c>
      <c r="AE50" s="688" t="str">
        <f aca="false">IF(B50="","",'SENSIBILIDAD 2'!D27^2*(R50^2))</f>
        <v/>
      </c>
      <c r="AF50" s="688" t="str">
        <f aca="false">IF(B50="","",'SENSIBILIDAD 2'!E27^2*(S50^2))</f>
        <v/>
      </c>
      <c r="AG50" s="688" t="str">
        <f aca="false">IF(B50="","",'SENSIBILIDAD 2'!F27^2*(T50^2))</f>
        <v/>
      </c>
      <c r="AH50" s="688" t="str">
        <f aca="false">IF(B50="","",(('SENSIBILIDAD 2'!G27)^2)*(Q50^2))</f>
        <v/>
      </c>
      <c r="AI50" s="688" t="str">
        <f aca="false">IF(B50="","",'SENSIBILIDAD 2'!H27^2*(U50^2))</f>
        <v/>
      </c>
      <c r="AJ50" s="688" t="str">
        <f aca="false">IF(B50="","",'SENSIBILIDAD 2'!M27^2*(V50^2))</f>
        <v/>
      </c>
      <c r="AK50" s="688" t="str">
        <f aca="false">IF(B50="","",'SENSIBILIDAD 2'!N27^2*(W50^2))</f>
        <v/>
      </c>
      <c r="AL50" s="688" t="str">
        <f aca="false">IF(B50="","",'SENSIBILIDAD 2'!O27^2*(X50^2))</f>
        <v/>
      </c>
      <c r="AM50" s="688" t="str">
        <f aca="false">IF($B50="","",(Y50^2)*('SENSIBILIDAD 2'!K27^2))</f>
        <v/>
      </c>
      <c r="AN50" s="688" t="str">
        <f aca="false">IF($B50="","",(Z50^2)*('SENSIBILIDAD 2'!I27^2))</f>
        <v/>
      </c>
      <c r="AO50" s="688" t="str">
        <f aca="false">IF($B50="","",(AA50^2)*('SENSIBILIDAD 2'!J27^2))</f>
        <v/>
      </c>
      <c r="AP50" s="688" t="str">
        <f aca="false">IF($B50="","",(AB50^2)*('SENSIBILIDAD 2'!L27^2))</f>
        <v/>
      </c>
      <c r="AQ50" s="689" t="str">
        <f aca="false">IF(B50="","",SQRT(AC50+AD50+AE50+AF50+AG50+AH50+AI50+AJ50+AK50+AL50+AM50+AN50+AO50+AP50))</f>
        <v/>
      </c>
      <c r="AR50" s="701" t="str">
        <f aca="false">IF(B50="","",2*AQ50)</f>
        <v/>
      </c>
      <c r="AS50" s="702" t="str">
        <f aca="false">IF(B50="","",+AR50/1000)</f>
        <v/>
      </c>
      <c r="AT50" s="692" t="str">
        <f aca="false">IF('conversion datos'!$L$30='Patrones LACOMET'!$D$3,(IF(N50="","",AS50*39.37008)),IF('conversion datos'!$L$30='Patrones LACOMET'!$D$4,AS50,"No existe el patrón"))</f>
        <v/>
      </c>
      <c r="BI50" s="564"/>
      <c r="BJ50" s="564"/>
      <c r="BK50" s="564"/>
      <c r="BL50" s="564"/>
      <c r="BM50" s="655"/>
      <c r="BN50" s="655"/>
    </row>
    <row r="51" customFormat="false" ht="19.5" hidden="false" customHeight="true" outlineLevel="0" collapsed="false">
      <c r="A51" s="81" t="n">
        <f aca="false">+CALIBRACION!A34</f>
        <v>23</v>
      </c>
      <c r="B51" s="672" t="str">
        <f aca="false">IF(CALIBRACION!H34="","",CALIBRACION!H34)</f>
        <v/>
      </c>
      <c r="C51" s="693" t="str">
        <f aca="false">IF(B51="","",+($F$20)/SQRT((5)))</f>
        <v/>
      </c>
      <c r="D51" s="693" t="str">
        <f aca="false">IF(B51="","",$F$21/SQRT((3)))</f>
        <v/>
      </c>
      <c r="E51" s="693" t="str">
        <f aca="false">IF(B51="","",$F$22/(SQRT(12)))</f>
        <v/>
      </c>
      <c r="F51" s="693" t="str">
        <f aca="false">IF(B51="","",$F$23/(SQRT(3)))</f>
        <v/>
      </c>
      <c r="G51" s="694" t="str">
        <f aca="false">IF(B51="","",(SQRT((+C51^2+D51^2+E51^2+F51^2))/(10^-3)))</f>
        <v/>
      </c>
      <c r="H51" s="675" t="str">
        <f aca="false">IF(B51="","",(IF('conversion datos'!$L$30='Patrones LACOMET'!$D$3,(VLOOKUP(B51,'BLOQUES PATRON (pulg) '!$K$5:$Q$91,6,FALSE())*1000),IF('conversion datos'!$L$30='Patrones LACOMET'!$D$4,(VLOOKUP(B51,'BLOQUES PATRON (mm)'!$D$5:$H$126,5,FALSE())),"No existe el patrón"))))</f>
        <v/>
      </c>
      <c r="I51" s="676" t="str">
        <f aca="false">IF(B51="","",0.42^2)</f>
        <v/>
      </c>
      <c r="J51" s="676" t="str">
        <f aca="false">IF(B51="","",IF('conversion datos'!$L$30='Patrones LACOMET'!$D$3,LOOKUP(B51,'BLOQUES PATRON (pulg) '!$S$5:$S$86,'BLOQUES PATRON (pulg) '!$Z$5:$Z$86),IF('conversion datos'!$L$30='Patrones LACOMET'!$D$4,LOOKUP(B51,'BLOQUES PATRON (mm)'!$O$5:$O$126,'BLOQUES PATRON (mm)'!$U$5:$U$126),"No existe el patrón")))</f>
        <v/>
      </c>
      <c r="K51" s="677" t="str">
        <f aca="false">IF(B51="","",SQRT((H51^2)+(J51^2)+(I51^2)))</f>
        <v/>
      </c>
      <c r="L51" s="695" t="str">
        <f aca="false">IF(B51="","",$G$4)</f>
        <v/>
      </c>
      <c r="M51" s="695" t="str">
        <f aca="false">IF(B51="","",($G$5))</f>
        <v/>
      </c>
      <c r="N51" s="695" t="str">
        <f aca="false">IF(B51="","",($G$6))</f>
        <v/>
      </c>
      <c r="O51" s="696" t="str">
        <f aca="false">IF(B51="","",(($G$7)))</f>
        <v/>
      </c>
      <c r="P51" s="697" t="str">
        <f aca="false">IF(B51="","",$G$8)</f>
        <v/>
      </c>
      <c r="Q51" s="698" t="str">
        <f aca="false">IF(B51="","",SQRT((L51^2)*(M51^2)+(N51^2)+(O51^2)+(P51^2)))</f>
        <v/>
      </c>
      <c r="R51" s="699" t="str">
        <f aca="false">IF(B51="","",($G$12))</f>
        <v/>
      </c>
      <c r="S51" s="699" t="str">
        <f aca="false">IF(B51="","",($G$13))</f>
        <v/>
      </c>
      <c r="T51" s="700" t="str">
        <f aca="false">IF(B51="","",+$F$14/SQRT(12))</f>
        <v/>
      </c>
      <c r="U51" s="684" t="str">
        <f aca="false">IF(B51="","",(($M$17)/2)*1000)</f>
        <v/>
      </c>
      <c r="V51" s="685" t="str">
        <f aca="false">+IF(B51="","",+$G$15)</f>
        <v/>
      </c>
      <c r="W51" s="685" t="str">
        <f aca="false">+IF(B51="","",+$G$16)</f>
        <v/>
      </c>
      <c r="X51" s="685" t="str">
        <f aca="false">+IF(B51="","",+$G$17)</f>
        <v/>
      </c>
      <c r="Y51" s="686" t="str">
        <f aca="false">+IF(B51="","",K51*$G$9)</f>
        <v/>
      </c>
      <c r="Z51" s="686" t="str">
        <f aca="false">+IF(B51="","",K51*$G$12)</f>
        <v/>
      </c>
      <c r="AA51" s="686" t="str">
        <f aca="false">+IF(B51="","",K51*$G$13)</f>
        <v/>
      </c>
      <c r="AB51" s="686" t="str">
        <f aca="false">+IF(B51="","",K51*T51)</f>
        <v/>
      </c>
      <c r="AC51" s="687" t="str">
        <f aca="false">IF(B51="","",('SENSIBILIDAD 2'!B28^2)*(G51^2))</f>
        <v/>
      </c>
      <c r="AD51" s="688" t="str">
        <f aca="false">IF(B51="","",('SENSIBILIDAD 2'!C28^2)*(K51^2))</f>
        <v/>
      </c>
      <c r="AE51" s="688" t="str">
        <f aca="false">IF(B51="","",'SENSIBILIDAD 2'!D28^2*(R51^2))</f>
        <v/>
      </c>
      <c r="AF51" s="688" t="str">
        <f aca="false">IF(B51="","",'SENSIBILIDAD 2'!E28^2*(S51^2))</f>
        <v/>
      </c>
      <c r="AG51" s="688" t="str">
        <f aca="false">IF(B51="","",'SENSIBILIDAD 2'!F28^2*(T51^2))</f>
        <v/>
      </c>
      <c r="AH51" s="688" t="str">
        <f aca="false">IF(B51="","",(('SENSIBILIDAD 2'!G28)^2)*(Q51^2))</f>
        <v/>
      </c>
      <c r="AI51" s="688" t="str">
        <f aca="false">IF(B51="","",'SENSIBILIDAD 2'!H28^2*(U51^2))</f>
        <v/>
      </c>
      <c r="AJ51" s="688" t="str">
        <f aca="false">IF(B51="","",'SENSIBILIDAD 2'!M28^2*(V51^2))</f>
        <v/>
      </c>
      <c r="AK51" s="688" t="str">
        <f aca="false">IF(B51="","",'SENSIBILIDAD 2'!N28^2*(W51^2))</f>
        <v/>
      </c>
      <c r="AL51" s="688" t="str">
        <f aca="false">IF(B51="","",'SENSIBILIDAD 2'!O28^2*(X51^2))</f>
        <v/>
      </c>
      <c r="AM51" s="688" t="str">
        <f aca="false">IF($B51="","",(Y51^2)*('SENSIBILIDAD 2'!K28^2))</f>
        <v/>
      </c>
      <c r="AN51" s="688" t="str">
        <f aca="false">IF($B51="","",(Z51^2)*('SENSIBILIDAD 2'!I28^2))</f>
        <v/>
      </c>
      <c r="AO51" s="688" t="str">
        <f aca="false">IF($B51="","",(AA51^2)*('SENSIBILIDAD 2'!J28^2))</f>
        <v/>
      </c>
      <c r="AP51" s="688" t="str">
        <f aca="false">IF($B51="","",(AB51^2)*('SENSIBILIDAD 2'!L28^2))</f>
        <v/>
      </c>
      <c r="AQ51" s="689" t="str">
        <f aca="false">IF(B51="","",SQRT(AC51+AD51+AE51+AF51+AG51+AH51+AI51+AJ51+AK51+AL51+AM51+AN51+AO51+AP51))</f>
        <v/>
      </c>
      <c r="AR51" s="701" t="str">
        <f aca="false">IF(B51="","",2*AQ51)</f>
        <v/>
      </c>
      <c r="AS51" s="702" t="str">
        <f aca="false">IF(B51="","",+AR51/1000)</f>
        <v/>
      </c>
      <c r="AT51" s="692" t="str">
        <f aca="false">IF('conversion datos'!$L$30='Patrones LACOMET'!$D$3,(IF(N51="","",AS51*39.37008)),IF('conversion datos'!$L$30='Patrones LACOMET'!$D$4,AS51,"No existe el patrón"))</f>
        <v/>
      </c>
      <c r="BI51" s="564"/>
      <c r="BJ51" s="564"/>
      <c r="BK51" s="564"/>
      <c r="BL51" s="564"/>
      <c r="BM51" s="655"/>
      <c r="BN51" s="655"/>
    </row>
    <row r="52" customFormat="false" ht="19.5" hidden="false" customHeight="true" outlineLevel="0" collapsed="false">
      <c r="A52" s="81" t="n">
        <f aca="false">+CALIBRACION!A35</f>
        <v>24</v>
      </c>
      <c r="B52" s="672" t="str">
        <f aca="false">IF(CALIBRACION!H35="","",CALIBRACION!H35)</f>
        <v/>
      </c>
      <c r="C52" s="693" t="str">
        <f aca="false">IF(B52="","",+($F$20)/SQRT((5)))</f>
        <v/>
      </c>
      <c r="D52" s="693" t="str">
        <f aca="false">IF(B52="","",$F$21/SQRT((3)))</f>
        <v/>
      </c>
      <c r="E52" s="693" t="str">
        <f aca="false">IF(B52="","",$F$22/(SQRT(12)))</f>
        <v/>
      </c>
      <c r="F52" s="693" t="str">
        <f aca="false">IF(B52="","",$F$23/(SQRT(3)))</f>
        <v/>
      </c>
      <c r="G52" s="694" t="str">
        <f aca="false">IF(B52="","",(SQRT((+C52^2+D52^2+E52^2+F52^2))/(10^-3)))</f>
        <v/>
      </c>
      <c r="H52" s="675" t="str">
        <f aca="false">IF(B52="","",(IF('conversion datos'!$L$30='Patrones LACOMET'!$D$3,(VLOOKUP(B52,'BLOQUES PATRON (pulg) '!$K$5:$Q$91,6,FALSE())*1000),IF('conversion datos'!$L$30='Patrones LACOMET'!$D$4,(VLOOKUP(B52,'BLOQUES PATRON (mm)'!$D$5:$H$126,5,FALSE())),"No existe el patrón"))))</f>
        <v/>
      </c>
      <c r="I52" s="676" t="str">
        <f aca="false">IF(B52="","",0.42^2)</f>
        <v/>
      </c>
      <c r="J52" s="676" t="str">
        <f aca="false">IF(B52="","",IF('conversion datos'!$L$30='Patrones LACOMET'!$D$3,LOOKUP(B52,'BLOQUES PATRON (pulg) '!$S$5:$S$86,'BLOQUES PATRON (pulg) '!$Z$5:$Z$86),IF('conversion datos'!$L$30='Patrones LACOMET'!$D$4,LOOKUP(B52,'BLOQUES PATRON (mm)'!$O$5:$O$126,'BLOQUES PATRON (mm)'!$U$5:$U$126),"No existe el patrón")))</f>
        <v/>
      </c>
      <c r="K52" s="677" t="str">
        <f aca="false">IF(B52="","",SQRT((H52^2)+(J52^2)+(I52^2)))</f>
        <v/>
      </c>
      <c r="L52" s="695" t="str">
        <f aca="false">IF(B52="","",$G$4)</f>
        <v/>
      </c>
      <c r="M52" s="695" t="str">
        <f aca="false">IF(B52="","",($G$5))</f>
        <v/>
      </c>
      <c r="N52" s="695" t="str">
        <f aca="false">IF(B52="","",($G$6))</f>
        <v/>
      </c>
      <c r="O52" s="696" t="str">
        <f aca="false">IF(B52="","",(($G$7)))</f>
        <v/>
      </c>
      <c r="P52" s="697" t="str">
        <f aca="false">IF(B52="","",$G$8)</f>
        <v/>
      </c>
      <c r="Q52" s="698" t="str">
        <f aca="false">IF(B52="","",SQRT((L52^2)*(M52^2)+(N52^2)+(O52^2)+(P52^2)))</f>
        <v/>
      </c>
      <c r="R52" s="699" t="str">
        <f aca="false">IF(B52="","",($G$12))</f>
        <v/>
      </c>
      <c r="S52" s="699" t="str">
        <f aca="false">IF(B52="","",($G$13))</f>
        <v/>
      </c>
      <c r="T52" s="700" t="str">
        <f aca="false">IF(B52="","",+$F$14/SQRT(12))</f>
        <v/>
      </c>
      <c r="U52" s="684" t="str">
        <f aca="false">IF(B52="","",(($M$17)/2)*1000)</f>
        <v/>
      </c>
      <c r="V52" s="685" t="str">
        <f aca="false">+IF(B52="","",+$G$15)</f>
        <v/>
      </c>
      <c r="W52" s="685" t="str">
        <f aca="false">+IF(B52="","",+$G$16)</f>
        <v/>
      </c>
      <c r="X52" s="685" t="str">
        <f aca="false">+IF(B52="","",+$G$17)</f>
        <v/>
      </c>
      <c r="Y52" s="686" t="str">
        <f aca="false">+IF(B52="","",K52*$G$9)</f>
        <v/>
      </c>
      <c r="Z52" s="686" t="str">
        <f aca="false">+IF(B52="","",K52*$G$12)</f>
        <v/>
      </c>
      <c r="AA52" s="686" t="str">
        <f aca="false">+IF(B52="","",K52*$G$13)</f>
        <v/>
      </c>
      <c r="AB52" s="686" t="str">
        <f aca="false">+IF(B52="","",K52*T52)</f>
        <v/>
      </c>
      <c r="AC52" s="687" t="str">
        <f aca="false">IF(B52="","",('SENSIBILIDAD 2'!B29^2)*(G52^2))</f>
        <v/>
      </c>
      <c r="AD52" s="688" t="str">
        <f aca="false">IF(B52="","",('SENSIBILIDAD 2'!C29^2)*(K52^2))</f>
        <v/>
      </c>
      <c r="AE52" s="688" t="str">
        <f aca="false">IF(B52="","",'SENSIBILIDAD 2'!D29^2*(R52^2))</f>
        <v/>
      </c>
      <c r="AF52" s="688" t="str">
        <f aca="false">IF(B52="","",'SENSIBILIDAD 2'!E29^2*(S52^2))</f>
        <v/>
      </c>
      <c r="AG52" s="688" t="str">
        <f aca="false">IF(B52="","",'SENSIBILIDAD 2'!F29^2*(T52^2))</f>
        <v/>
      </c>
      <c r="AH52" s="688" t="str">
        <f aca="false">IF(B52="","",(('SENSIBILIDAD 2'!G29)^2)*(Q52^2))</f>
        <v/>
      </c>
      <c r="AI52" s="688" t="str">
        <f aca="false">IF(B52="","",'SENSIBILIDAD 2'!H29^2*(U52^2))</f>
        <v/>
      </c>
      <c r="AJ52" s="688" t="str">
        <f aca="false">IF(B52="","",'SENSIBILIDAD 2'!M29^2*(V52^2))</f>
        <v/>
      </c>
      <c r="AK52" s="688" t="str">
        <f aca="false">IF(B52="","",'SENSIBILIDAD 2'!N29^2*(W52^2))</f>
        <v/>
      </c>
      <c r="AL52" s="688" t="str">
        <f aca="false">IF(B52="","",'SENSIBILIDAD 2'!O29^2*(X52^2))</f>
        <v/>
      </c>
      <c r="AM52" s="688" t="str">
        <f aca="false">IF($B52="","",(Y52^2)*('SENSIBILIDAD 2'!K29^2))</f>
        <v/>
      </c>
      <c r="AN52" s="688" t="str">
        <f aca="false">IF($B52="","",(Z52^2)*('SENSIBILIDAD 2'!I29^2))</f>
        <v/>
      </c>
      <c r="AO52" s="688" t="str">
        <f aca="false">IF($B52="","",(AA52^2)*('SENSIBILIDAD 2'!J29^2))</f>
        <v/>
      </c>
      <c r="AP52" s="688" t="str">
        <f aca="false">IF($B52="","",(AB52^2)*('SENSIBILIDAD 2'!L29^2))</f>
        <v/>
      </c>
      <c r="AQ52" s="689" t="str">
        <f aca="false">IF(B52="","",SQRT(AC52+AD52+AE52+AF52+AG52+AH52+AI52+AJ52+AK52+AL52+AM52+AN52+AO52+AP52))</f>
        <v/>
      </c>
      <c r="AR52" s="701" t="str">
        <f aca="false">IF(B52="","",2*AQ52)</f>
        <v/>
      </c>
      <c r="AS52" s="702" t="str">
        <f aca="false">IF(B52="","",+AR52/1000)</f>
        <v/>
      </c>
      <c r="AT52" s="692" t="str">
        <f aca="false">IF('conversion datos'!$L$30='Patrones LACOMET'!$D$3,(IF(N52="","",AS52*39.37008)),IF('conversion datos'!$L$30='Patrones LACOMET'!$D$4,AS52,"No existe el patrón"))</f>
        <v/>
      </c>
      <c r="BI52" s="564"/>
      <c r="BJ52" s="564"/>
      <c r="BK52" s="564"/>
      <c r="BL52" s="564"/>
      <c r="BM52" s="655"/>
      <c r="BN52" s="655"/>
    </row>
    <row r="53" customFormat="false" ht="19.5" hidden="false" customHeight="true" outlineLevel="0" collapsed="false">
      <c r="A53" s="81" t="n">
        <f aca="false">+CALIBRACION!A36</f>
        <v>25</v>
      </c>
      <c r="B53" s="672" t="str">
        <f aca="false">IF(CALIBRACION!H36="","",CALIBRACION!H36)</f>
        <v/>
      </c>
      <c r="C53" s="693" t="str">
        <f aca="false">IF(B53="","",+($F$20)/SQRT((5)))</f>
        <v/>
      </c>
      <c r="D53" s="693" t="str">
        <f aca="false">IF(B53="","",$F$21/SQRT((3)))</f>
        <v/>
      </c>
      <c r="E53" s="693" t="str">
        <f aca="false">IF(B53="","",$F$22/(SQRT(12)))</f>
        <v/>
      </c>
      <c r="F53" s="693" t="str">
        <f aca="false">IF(B53="","",$F$23/(SQRT(3)))</f>
        <v/>
      </c>
      <c r="G53" s="694" t="str">
        <f aca="false">IF(B53="","",(SQRT((+C53^2+D53^2+E53^2+F53^2))/(10^-3)))</f>
        <v/>
      </c>
      <c r="H53" s="675" t="str">
        <f aca="false">IF(B53="","",(IF('conversion datos'!$L$30='Patrones LACOMET'!$D$3,(VLOOKUP(B53,'BLOQUES PATRON (pulg) '!$K$5:$Q$91,6,FALSE())*1000),IF('conversion datos'!$L$30='Patrones LACOMET'!$D$4,(VLOOKUP(B53,'BLOQUES PATRON (mm)'!$D$5:$H$126,5,FALSE())),"No existe el patrón"))))</f>
        <v/>
      </c>
      <c r="I53" s="676" t="str">
        <f aca="false">IF(B53="","",0.42^2)</f>
        <v/>
      </c>
      <c r="J53" s="676" t="str">
        <f aca="false">IF(B53="","",IF('conversion datos'!$L$30='Patrones LACOMET'!$D$3,LOOKUP(B53,'BLOQUES PATRON (pulg) '!$S$5:$S$86,'BLOQUES PATRON (pulg) '!$Z$5:$Z$86),IF('conversion datos'!$L$30='Patrones LACOMET'!$D$4,LOOKUP(B53,'BLOQUES PATRON (mm)'!$O$5:$O$126,'BLOQUES PATRON (mm)'!$U$5:$U$126),"No existe el patrón")))</f>
        <v/>
      </c>
      <c r="K53" s="677" t="str">
        <f aca="false">IF(B53="","",SQRT((H53^2)+(J53^2)+(I53^2)))</f>
        <v/>
      </c>
      <c r="L53" s="695" t="str">
        <f aca="false">IF(B53="","",$G$4)</f>
        <v/>
      </c>
      <c r="M53" s="695" t="str">
        <f aca="false">IF(B53="","",($G$5))</f>
        <v/>
      </c>
      <c r="N53" s="695" t="str">
        <f aca="false">IF(B53="","",($G$6))</f>
        <v/>
      </c>
      <c r="O53" s="696" t="str">
        <f aca="false">IF(B53="","",(($G$7)))</f>
        <v/>
      </c>
      <c r="P53" s="697" t="str">
        <f aca="false">IF(B53="","",$G$8)</f>
        <v/>
      </c>
      <c r="Q53" s="698" t="str">
        <f aca="false">IF(B53="","",SQRT((L53^2)*(M53^2)+(N53^2)+(O53^2)+(P53^2)))</f>
        <v/>
      </c>
      <c r="R53" s="699" t="str">
        <f aca="false">IF(B53="","",($G$12))</f>
        <v/>
      </c>
      <c r="S53" s="699" t="str">
        <f aca="false">IF(B53="","",($G$13))</f>
        <v/>
      </c>
      <c r="T53" s="700" t="str">
        <f aca="false">IF(B53="","",+$F$14/SQRT(12))</f>
        <v/>
      </c>
      <c r="U53" s="684" t="str">
        <f aca="false">IF(B53="","",(($M$17)/2)*1000)</f>
        <v/>
      </c>
      <c r="V53" s="685" t="str">
        <f aca="false">+IF(B53="","",+$G$15)</f>
        <v/>
      </c>
      <c r="W53" s="685" t="str">
        <f aca="false">+IF(B53="","",+$G$16)</f>
        <v/>
      </c>
      <c r="X53" s="685" t="str">
        <f aca="false">+IF(B53="","",+$G$17)</f>
        <v/>
      </c>
      <c r="Y53" s="686" t="str">
        <f aca="false">+IF(B53="","",K53*$G$9)</f>
        <v/>
      </c>
      <c r="Z53" s="686" t="str">
        <f aca="false">+IF(B53="","",K53*$G$12)</f>
        <v/>
      </c>
      <c r="AA53" s="686" t="str">
        <f aca="false">+IF(B53="","",K53*$G$13)</f>
        <v/>
      </c>
      <c r="AB53" s="686" t="str">
        <f aca="false">+IF(B53="","",K53*T53)</f>
        <v/>
      </c>
      <c r="AC53" s="687" t="str">
        <f aca="false">IF(B53="","",('SENSIBILIDAD 2'!B30^2)*(G53^2))</f>
        <v/>
      </c>
      <c r="AD53" s="688" t="str">
        <f aca="false">IF(B53="","",('SENSIBILIDAD 2'!C30^2)*(K53^2))</f>
        <v/>
      </c>
      <c r="AE53" s="688" t="str">
        <f aca="false">IF(B53="","",'SENSIBILIDAD 2'!D30^2*(R53^2))</f>
        <v/>
      </c>
      <c r="AF53" s="688" t="str">
        <f aca="false">IF(B53="","",'SENSIBILIDAD 2'!E30^2*(S53^2))</f>
        <v/>
      </c>
      <c r="AG53" s="688" t="str">
        <f aca="false">IF(B53="","",'SENSIBILIDAD 2'!F30^2*(T53^2))</f>
        <v/>
      </c>
      <c r="AH53" s="688" t="str">
        <f aca="false">IF(B53="","",(('SENSIBILIDAD 2'!G30)^2)*(Q53^2))</f>
        <v/>
      </c>
      <c r="AI53" s="688" t="str">
        <f aca="false">IF(B53="","",'SENSIBILIDAD 2'!H30^2*(U53^2))</f>
        <v/>
      </c>
      <c r="AJ53" s="688" t="str">
        <f aca="false">IF(B53="","",'SENSIBILIDAD 2'!M30^2*(V53^2))</f>
        <v/>
      </c>
      <c r="AK53" s="688" t="str">
        <f aca="false">IF(B53="","",'SENSIBILIDAD 2'!N30^2*(W53^2))</f>
        <v/>
      </c>
      <c r="AL53" s="688" t="str">
        <f aca="false">IF(B53="","",'SENSIBILIDAD 2'!O30^2*(X53^2))</f>
        <v/>
      </c>
      <c r="AM53" s="688" t="str">
        <f aca="false">IF($B53="","",(Y53^2)*('SENSIBILIDAD 2'!K30^2))</f>
        <v/>
      </c>
      <c r="AN53" s="688" t="str">
        <f aca="false">IF($B53="","",(Z53^2)*('SENSIBILIDAD 2'!I30^2))</f>
        <v/>
      </c>
      <c r="AO53" s="688" t="str">
        <f aca="false">IF($B53="","",(AA53^2)*('SENSIBILIDAD 2'!J30^2))</f>
        <v/>
      </c>
      <c r="AP53" s="688" t="str">
        <f aca="false">IF($B53="","",(AB53^2)*('SENSIBILIDAD 2'!L30^2))</f>
        <v/>
      </c>
      <c r="AQ53" s="689" t="str">
        <f aca="false">IF(B53="","",SQRT(AC53+AD53+AE53+AF53+AG53+AH53+AI53+AJ53+AK53+AL53+AM53+AN53+AO53+AP53))</f>
        <v/>
      </c>
      <c r="AR53" s="701" t="str">
        <f aca="false">IF(B53="","",2*AQ53)</f>
        <v/>
      </c>
      <c r="AS53" s="702" t="str">
        <f aca="false">IF(B53="","",+AR53/1000)</f>
        <v/>
      </c>
      <c r="AT53" s="692" t="str">
        <f aca="false">IF('conversion datos'!$L$30='Patrones LACOMET'!$D$3,(IF(N53="","",AS53*39.37008)),IF('conversion datos'!$L$30='Patrones LACOMET'!$D$4,AS53,"No existe el patrón"))</f>
        <v/>
      </c>
      <c r="BI53" s="564"/>
      <c r="BJ53" s="564"/>
      <c r="BK53" s="564"/>
      <c r="BL53" s="564"/>
      <c r="BM53" s="655"/>
      <c r="BN53" s="655"/>
    </row>
    <row r="54" customFormat="false" ht="19.5" hidden="false" customHeight="true" outlineLevel="0" collapsed="false">
      <c r="A54" s="81" t="n">
        <f aca="false">+CALIBRACION!A37</f>
        <v>26</v>
      </c>
      <c r="B54" s="672" t="str">
        <f aca="false">IF(CALIBRACION!H37="","",CALIBRACION!H37)</f>
        <v/>
      </c>
      <c r="C54" s="693" t="str">
        <f aca="false">IF(B54="","",+($F$20)/SQRT((5)))</f>
        <v/>
      </c>
      <c r="D54" s="693" t="str">
        <f aca="false">IF(B54="","",$F$21/SQRT((3)))</f>
        <v/>
      </c>
      <c r="E54" s="693" t="str">
        <f aca="false">IF(B54="","",$F$22/(SQRT(12)))</f>
        <v/>
      </c>
      <c r="F54" s="693" t="str">
        <f aca="false">IF(B54="","",$F$23/(SQRT(3)))</f>
        <v/>
      </c>
      <c r="G54" s="694" t="str">
        <f aca="false">IF(B54="","",(SQRT((+C54^2+D54^2+E54^2+F54^2))/(10^-3)))</f>
        <v/>
      </c>
      <c r="H54" s="675" t="str">
        <f aca="false">IF(B54="","",(IF('conversion datos'!$L$30='Patrones LACOMET'!$D$3,(VLOOKUP(B54,'BLOQUES PATRON (pulg) '!$K$5:$Q$91,6,FALSE())*1000),IF('conversion datos'!$L$30='Patrones LACOMET'!$D$4,(VLOOKUP(B54,'BLOQUES PATRON (mm)'!$D$5:$H$126,5,FALSE())),"No existe el patrón"))))</f>
        <v/>
      </c>
      <c r="I54" s="676" t="str">
        <f aca="false">IF(B54="","",0.42^2)</f>
        <v/>
      </c>
      <c r="J54" s="676" t="str">
        <f aca="false">IF(B54="","",IF('conversion datos'!$L$30='Patrones LACOMET'!$D$3,LOOKUP(B54,'BLOQUES PATRON (pulg) '!$S$5:$S$86,'BLOQUES PATRON (pulg) '!$Z$5:$Z$86),IF('conversion datos'!$L$30='Patrones LACOMET'!$D$4,LOOKUP(B54,'BLOQUES PATRON (mm)'!$O$5:$O$126,'BLOQUES PATRON (mm)'!$U$5:$U$126),"No existe el patrón")))</f>
        <v/>
      </c>
      <c r="K54" s="677" t="str">
        <f aca="false">IF(B54="","",SQRT((H54^2)+(J54^2)+(I54^2)))</f>
        <v/>
      </c>
      <c r="L54" s="695" t="str">
        <f aca="false">IF(B54="","",$G$4)</f>
        <v/>
      </c>
      <c r="M54" s="695" t="str">
        <f aca="false">IF(B54="","",($G$5))</f>
        <v/>
      </c>
      <c r="N54" s="695" t="str">
        <f aca="false">IF(B54="","",($G$6))</f>
        <v/>
      </c>
      <c r="O54" s="696" t="str">
        <f aca="false">IF(B54="","",(($G$7)))</f>
        <v/>
      </c>
      <c r="P54" s="697" t="str">
        <f aca="false">IF(B54="","",$G$8)</f>
        <v/>
      </c>
      <c r="Q54" s="698" t="str">
        <f aca="false">IF(B54="","",SQRT((L54^2)*(M54^2)+(N54^2)+(O54^2)+(P54^2)))</f>
        <v/>
      </c>
      <c r="R54" s="699" t="str">
        <f aca="false">IF(B54="","",($G$12))</f>
        <v/>
      </c>
      <c r="S54" s="699" t="str">
        <f aca="false">IF(B54="","",($G$13))</f>
        <v/>
      </c>
      <c r="T54" s="700" t="str">
        <f aca="false">IF(B54="","",+$F$14/SQRT(12))</f>
        <v/>
      </c>
      <c r="U54" s="684" t="str">
        <f aca="false">IF(B54="","",(($M$17)/2)*1000)</f>
        <v/>
      </c>
      <c r="V54" s="685" t="str">
        <f aca="false">+IF(B54="","",+$G$15)</f>
        <v/>
      </c>
      <c r="W54" s="685" t="str">
        <f aca="false">+IF(B54="","",+$G$16)</f>
        <v/>
      </c>
      <c r="X54" s="685" t="str">
        <f aca="false">+IF(B54="","",+$G$17)</f>
        <v/>
      </c>
      <c r="Y54" s="686" t="str">
        <f aca="false">+IF(B54="","",K54*$G$9)</f>
        <v/>
      </c>
      <c r="Z54" s="686" t="str">
        <f aca="false">+IF(B54="","",K54*$G$12)</f>
        <v/>
      </c>
      <c r="AA54" s="686" t="str">
        <f aca="false">+IF(B54="","",K54*$G$13)</f>
        <v/>
      </c>
      <c r="AB54" s="686" t="str">
        <f aca="false">+IF(B54="","",K54*T54)</f>
        <v/>
      </c>
      <c r="AC54" s="687" t="str">
        <f aca="false">IF(B54="","",('SENSIBILIDAD 2'!B31^2)*(G54^2))</f>
        <v/>
      </c>
      <c r="AD54" s="688" t="str">
        <f aca="false">IF(B54="","",('SENSIBILIDAD 2'!C31^2)*(K54^2))</f>
        <v/>
      </c>
      <c r="AE54" s="688" t="str">
        <f aca="false">IF(B54="","",'SENSIBILIDAD 2'!D31^2*(R54^2))</f>
        <v/>
      </c>
      <c r="AF54" s="688" t="str">
        <f aca="false">IF(B54="","",'SENSIBILIDAD 2'!E31^2*(S54^2))</f>
        <v/>
      </c>
      <c r="AG54" s="688" t="str">
        <f aca="false">IF(B54="","",'SENSIBILIDAD 2'!F31^2*(T54^2))</f>
        <v/>
      </c>
      <c r="AH54" s="688" t="str">
        <f aca="false">IF(B54="","",(('SENSIBILIDAD 2'!G31)^2)*(Q54^2))</f>
        <v/>
      </c>
      <c r="AI54" s="688" t="str">
        <f aca="false">IF(B54="","",'SENSIBILIDAD 2'!H31^2*(U54^2))</f>
        <v/>
      </c>
      <c r="AJ54" s="688" t="str">
        <f aca="false">IF(B54="","",'SENSIBILIDAD 2'!M31^2*(V54^2))</f>
        <v/>
      </c>
      <c r="AK54" s="688" t="str">
        <f aca="false">IF(B54="","",'SENSIBILIDAD 2'!N31^2*(W54^2))</f>
        <v/>
      </c>
      <c r="AL54" s="688" t="str">
        <f aca="false">IF(B54="","",'SENSIBILIDAD 2'!O31^2*(X54^2))</f>
        <v/>
      </c>
      <c r="AM54" s="688" t="str">
        <f aca="false">IF($B54="","",(Y54^2)*('SENSIBILIDAD 2'!K31^2))</f>
        <v/>
      </c>
      <c r="AN54" s="688" t="str">
        <f aca="false">IF($B54="","",(Z54^2)*('SENSIBILIDAD 2'!I31^2))</f>
        <v/>
      </c>
      <c r="AO54" s="688" t="str">
        <f aca="false">IF($B54="","",(AA54^2)*('SENSIBILIDAD 2'!J31^2))</f>
        <v/>
      </c>
      <c r="AP54" s="688" t="str">
        <f aca="false">IF($B54="","",(AB54^2)*('SENSIBILIDAD 2'!L31^2))</f>
        <v/>
      </c>
      <c r="AQ54" s="689" t="str">
        <f aca="false">IF(B54="","",SQRT(AC54+AD54+AE54+AF54+AG54+AH54+AI54+AJ54+AK54+AL54+AM54+AN54+AO54+AP54))</f>
        <v/>
      </c>
      <c r="AR54" s="701" t="str">
        <f aca="false">IF(B54="","",2*AQ54)</f>
        <v/>
      </c>
      <c r="AS54" s="702" t="str">
        <f aca="false">IF(B54="","",+AR54/1000)</f>
        <v/>
      </c>
      <c r="AT54" s="692" t="str">
        <f aca="false">IF('conversion datos'!$L$30='Patrones LACOMET'!$D$3,(IF(N54="","",AS54*39.37008)),IF('conversion datos'!$L$30='Patrones LACOMET'!$D$4,AS54,"No existe el patrón"))</f>
        <v/>
      </c>
      <c r="BI54" s="564"/>
      <c r="BJ54" s="564"/>
      <c r="BK54" s="564"/>
      <c r="BL54" s="564"/>
      <c r="BM54" s="655"/>
      <c r="BN54" s="655"/>
    </row>
    <row r="55" customFormat="false" ht="19.5" hidden="false" customHeight="true" outlineLevel="0" collapsed="false">
      <c r="A55" s="81" t="n">
        <f aca="false">+CALIBRACION!A38</f>
        <v>27</v>
      </c>
      <c r="B55" s="672" t="str">
        <f aca="false">IF(CALIBRACION!H38="","",CALIBRACION!H38)</f>
        <v/>
      </c>
      <c r="C55" s="693" t="str">
        <f aca="false">IF(B55="","",+($F$20)/SQRT((5)))</f>
        <v/>
      </c>
      <c r="D55" s="693" t="str">
        <f aca="false">IF(B55="","",$F$21/SQRT((3)))</f>
        <v/>
      </c>
      <c r="E55" s="693" t="str">
        <f aca="false">IF(B55="","",$F$22/(SQRT(12)))</f>
        <v/>
      </c>
      <c r="F55" s="693" t="str">
        <f aca="false">IF(B55="","",$F$23/(SQRT(3)))</f>
        <v/>
      </c>
      <c r="G55" s="694" t="str">
        <f aca="false">IF(B55="","",(SQRT((+C55^2+D55^2+E55^2+F55^2))/(10^-3)))</f>
        <v/>
      </c>
      <c r="H55" s="675" t="str">
        <f aca="false">IF(B55="","",(IF('conversion datos'!$L$30='Patrones LACOMET'!$D$3,(VLOOKUP(B55,'BLOQUES PATRON (pulg) '!$K$5:$Q$91,6,FALSE())*1000),IF('conversion datos'!$L$30='Patrones LACOMET'!$D$4,(VLOOKUP(B55,'BLOQUES PATRON (mm)'!$D$5:$H$126,5,FALSE())),"No existe el patrón"))))</f>
        <v/>
      </c>
      <c r="I55" s="676" t="str">
        <f aca="false">IF(B55="","",0.42^2)</f>
        <v/>
      </c>
      <c r="J55" s="676" t="str">
        <f aca="false">IF(B55="","",IF('conversion datos'!$L$30='Patrones LACOMET'!$D$3,LOOKUP(B55,'BLOQUES PATRON (pulg) '!$S$5:$S$86,'BLOQUES PATRON (pulg) '!$Z$5:$Z$86),IF('conversion datos'!$L$30='Patrones LACOMET'!$D$4,LOOKUP(B55,'BLOQUES PATRON (mm)'!$O$5:$O$126,'BLOQUES PATRON (mm)'!$U$5:$U$126),"No existe el patrón")))</f>
        <v/>
      </c>
      <c r="K55" s="677" t="str">
        <f aca="false">IF(B55="","",SQRT((H55^2)+(J55^2)+(I55^2)))</f>
        <v/>
      </c>
      <c r="L55" s="695" t="str">
        <f aca="false">IF(B55="","",$G$4)</f>
        <v/>
      </c>
      <c r="M55" s="695" t="str">
        <f aca="false">IF(B55="","",($G$5))</f>
        <v/>
      </c>
      <c r="N55" s="695" t="str">
        <f aca="false">IF(B55="","",($G$6))</f>
        <v/>
      </c>
      <c r="O55" s="696" t="str">
        <f aca="false">IF(B55="","",(($G$7)))</f>
        <v/>
      </c>
      <c r="P55" s="697" t="str">
        <f aca="false">IF(B55="","",$G$8)</f>
        <v/>
      </c>
      <c r="Q55" s="698" t="str">
        <f aca="false">IF(B55="","",SQRT((L55^2)*(M55^2)+(N55^2)+(O55^2)+(P55^2)))</f>
        <v/>
      </c>
      <c r="R55" s="699" t="str">
        <f aca="false">IF(B55="","",($G$12))</f>
        <v/>
      </c>
      <c r="S55" s="699" t="str">
        <f aca="false">IF(B55="","",($G$13))</f>
        <v/>
      </c>
      <c r="T55" s="700" t="str">
        <f aca="false">IF(B55="","",+$F$14/SQRT(12))</f>
        <v/>
      </c>
      <c r="U55" s="684" t="str">
        <f aca="false">IF(B55="","",(($M$17)/2)*1000)</f>
        <v/>
      </c>
      <c r="V55" s="685" t="str">
        <f aca="false">+IF(B55="","",+$G$15)</f>
        <v/>
      </c>
      <c r="W55" s="685" t="str">
        <f aca="false">+IF(B55="","",+$G$16)</f>
        <v/>
      </c>
      <c r="X55" s="685" t="str">
        <f aca="false">+IF(B55="","",+$G$17)</f>
        <v/>
      </c>
      <c r="Y55" s="686" t="str">
        <f aca="false">+IF(B55="","",K55*$G$9)</f>
        <v/>
      </c>
      <c r="Z55" s="686" t="str">
        <f aca="false">+IF(B55="","",K55*$G$12)</f>
        <v/>
      </c>
      <c r="AA55" s="686" t="str">
        <f aca="false">+IF(B55="","",K55*$G$13)</f>
        <v/>
      </c>
      <c r="AB55" s="686" t="str">
        <f aca="false">+IF(B55="","",K55*T55)</f>
        <v/>
      </c>
      <c r="AC55" s="687" t="str">
        <f aca="false">IF(B55="","",('SENSIBILIDAD 2'!B32^2)*(G55^2))</f>
        <v/>
      </c>
      <c r="AD55" s="688" t="str">
        <f aca="false">IF(B55="","",('SENSIBILIDAD 2'!C32^2)*(K55^2))</f>
        <v/>
      </c>
      <c r="AE55" s="688" t="str">
        <f aca="false">IF(B55="","",'SENSIBILIDAD 2'!D32^2*(R55^2))</f>
        <v/>
      </c>
      <c r="AF55" s="688" t="str">
        <f aca="false">IF(B55="","",'SENSIBILIDAD 2'!E32^2*(S55^2))</f>
        <v/>
      </c>
      <c r="AG55" s="688" t="str">
        <f aca="false">IF(B55="","",'SENSIBILIDAD 2'!F32^2*(T55^2))</f>
        <v/>
      </c>
      <c r="AH55" s="688" t="str">
        <f aca="false">IF(B55="","",(('SENSIBILIDAD 2'!G32)^2)*(Q55^2))</f>
        <v/>
      </c>
      <c r="AI55" s="688" t="str">
        <f aca="false">IF(B55="","",'SENSIBILIDAD 2'!H32^2*(U55^2))</f>
        <v/>
      </c>
      <c r="AJ55" s="688" t="str">
        <f aca="false">IF(B55="","",'SENSIBILIDAD 2'!M32^2*(V55^2))</f>
        <v/>
      </c>
      <c r="AK55" s="688" t="str">
        <f aca="false">IF(B55="","",'SENSIBILIDAD 2'!N32^2*(W55^2))</f>
        <v/>
      </c>
      <c r="AL55" s="688" t="str">
        <f aca="false">IF(B55="","",'SENSIBILIDAD 2'!O32^2*(X55^2))</f>
        <v/>
      </c>
      <c r="AM55" s="688" t="str">
        <f aca="false">IF($B55="","",(Y55^2)*('SENSIBILIDAD 2'!K32^2))</f>
        <v/>
      </c>
      <c r="AN55" s="688" t="str">
        <f aca="false">IF($B55="","",(Z55^2)*('SENSIBILIDAD 2'!I32^2))</f>
        <v/>
      </c>
      <c r="AO55" s="688" t="str">
        <f aca="false">IF($B55="","",(AA55^2)*('SENSIBILIDAD 2'!J32^2))</f>
        <v/>
      </c>
      <c r="AP55" s="688" t="str">
        <f aca="false">IF($B55="","",(AB55^2)*('SENSIBILIDAD 2'!L32^2))</f>
        <v/>
      </c>
      <c r="AQ55" s="689" t="str">
        <f aca="false">IF(B55="","",SQRT(AC55+AD55+AE55+AF55+AG55+AH55+AI55+AJ55+AK55+AL55+AM55+AN55+AO55+AP55))</f>
        <v/>
      </c>
      <c r="AR55" s="701" t="str">
        <f aca="false">IF(B55="","",2*AQ55)</f>
        <v/>
      </c>
      <c r="AS55" s="702" t="str">
        <f aca="false">IF(B55="","",+AR55/1000)</f>
        <v/>
      </c>
      <c r="AT55" s="692" t="str">
        <f aca="false">IF('conversion datos'!$L$30='Patrones LACOMET'!$D$3,(IF(N55="","",AS55*39.37008)),IF('conversion datos'!$L$30='Patrones LACOMET'!$D$4,AS55,"No existe el patrón"))</f>
        <v/>
      </c>
      <c r="BI55" s="564"/>
      <c r="BJ55" s="564"/>
      <c r="BK55" s="564"/>
      <c r="BL55" s="564"/>
      <c r="BM55" s="655"/>
      <c r="BN55" s="655"/>
    </row>
    <row r="56" customFormat="false" ht="19.5" hidden="false" customHeight="true" outlineLevel="0" collapsed="false">
      <c r="A56" s="81" t="n">
        <f aca="false">+CALIBRACION!A39</f>
        <v>28</v>
      </c>
      <c r="B56" s="672" t="str">
        <f aca="false">IF(CALIBRACION!H39="","",CALIBRACION!H39)</f>
        <v/>
      </c>
      <c r="C56" s="693" t="str">
        <f aca="false">IF(B56="","",+($F$20)/SQRT((5)))</f>
        <v/>
      </c>
      <c r="D56" s="693" t="str">
        <f aca="false">IF(B56="","",$F$21/SQRT((3)))</f>
        <v/>
      </c>
      <c r="E56" s="693" t="str">
        <f aca="false">IF(B56="","",$F$22/(SQRT(12)))</f>
        <v/>
      </c>
      <c r="F56" s="693" t="str">
        <f aca="false">IF(B56="","",$F$23/(SQRT(3)))</f>
        <v/>
      </c>
      <c r="G56" s="694" t="str">
        <f aca="false">IF(B56="","",(SQRT((+C56^2+D56^2+E56^2+F56^2))/(10^-3)))</f>
        <v/>
      </c>
      <c r="H56" s="675" t="str">
        <f aca="false">IF(B56="","",(IF('conversion datos'!$L$30='Patrones LACOMET'!$D$3,(VLOOKUP(B56,'BLOQUES PATRON (pulg) '!$K$5:$Q$91,6,FALSE())*1000),IF('conversion datos'!$L$30='Patrones LACOMET'!$D$4,(VLOOKUP(B56,'BLOQUES PATRON (mm)'!$D$5:$H$126,5,FALSE())),"No existe el patrón"))))</f>
        <v/>
      </c>
      <c r="I56" s="676" t="str">
        <f aca="false">IF(B56="","",0.42^2)</f>
        <v/>
      </c>
      <c r="J56" s="676" t="str">
        <f aca="false">IF(B56="","",IF('conversion datos'!$L$30='Patrones LACOMET'!$D$3,LOOKUP(B56,'BLOQUES PATRON (pulg) '!$S$5:$S$86,'BLOQUES PATRON (pulg) '!$Z$5:$Z$86),IF('conversion datos'!$L$30='Patrones LACOMET'!$D$4,LOOKUP(B56,'BLOQUES PATRON (mm)'!$O$5:$O$126,'BLOQUES PATRON (mm)'!$U$5:$U$126),"No existe el patrón")))</f>
        <v/>
      </c>
      <c r="K56" s="677" t="str">
        <f aca="false">IF(B56="","",SQRT((H56^2)+(J56^2)+(I56^2)))</f>
        <v/>
      </c>
      <c r="L56" s="695" t="str">
        <f aca="false">IF(B56="","",$G$4)</f>
        <v/>
      </c>
      <c r="M56" s="695" t="str">
        <f aca="false">IF(B56="","",($G$5))</f>
        <v/>
      </c>
      <c r="N56" s="695" t="str">
        <f aca="false">IF(B56="","",($G$6))</f>
        <v/>
      </c>
      <c r="O56" s="696" t="str">
        <f aca="false">IF(B56="","",(($G$7)))</f>
        <v/>
      </c>
      <c r="P56" s="697" t="str">
        <f aca="false">IF(B56="","",$G$8)</f>
        <v/>
      </c>
      <c r="Q56" s="698" t="str">
        <f aca="false">IF(B56="","",SQRT((L56^2)*(M56^2)+(N56^2)+(O56^2)+(P56^2)))</f>
        <v/>
      </c>
      <c r="R56" s="699" t="str">
        <f aca="false">IF(B56="","",($G$12))</f>
        <v/>
      </c>
      <c r="S56" s="699" t="str">
        <f aca="false">IF(B56="","",($G$13))</f>
        <v/>
      </c>
      <c r="T56" s="700" t="str">
        <f aca="false">IF(B56="","",+$F$14/SQRT(12))</f>
        <v/>
      </c>
      <c r="U56" s="684" t="str">
        <f aca="false">IF(B56="","",(($M$17)/2)*1000)</f>
        <v/>
      </c>
      <c r="V56" s="685" t="str">
        <f aca="false">+IF(B56="","",+$G$15)</f>
        <v/>
      </c>
      <c r="W56" s="685" t="str">
        <f aca="false">+IF(B56="","",+$G$16)</f>
        <v/>
      </c>
      <c r="X56" s="685" t="str">
        <f aca="false">+IF(B56="","",+$G$17)</f>
        <v/>
      </c>
      <c r="Y56" s="686" t="str">
        <f aca="false">+IF(B56="","",K56*$G$9)</f>
        <v/>
      </c>
      <c r="Z56" s="686" t="str">
        <f aca="false">+IF(B56="","",K56*$G$12)</f>
        <v/>
      </c>
      <c r="AA56" s="686" t="str">
        <f aca="false">+IF(B56="","",K56*$G$13)</f>
        <v/>
      </c>
      <c r="AB56" s="686" t="str">
        <f aca="false">+IF(B56="","",K56*T56)</f>
        <v/>
      </c>
      <c r="AC56" s="687" t="str">
        <f aca="false">IF(B56="","",('SENSIBILIDAD 2'!B33^2)*(G56^2))</f>
        <v/>
      </c>
      <c r="AD56" s="688" t="str">
        <f aca="false">IF(B56="","",('SENSIBILIDAD 2'!C33^2)*(K56^2))</f>
        <v/>
      </c>
      <c r="AE56" s="688" t="str">
        <f aca="false">IF(B56="","",'SENSIBILIDAD 2'!D33^2*(R56^2))</f>
        <v/>
      </c>
      <c r="AF56" s="688" t="str">
        <f aca="false">IF(B56="","",'SENSIBILIDAD 2'!E33^2*(S56^2))</f>
        <v/>
      </c>
      <c r="AG56" s="688" t="str">
        <f aca="false">IF(B56="","",'SENSIBILIDAD 2'!F33^2*(T56^2))</f>
        <v/>
      </c>
      <c r="AH56" s="688" t="str">
        <f aca="false">IF(B56="","",(('SENSIBILIDAD 2'!G33)^2)*(Q56^2))</f>
        <v/>
      </c>
      <c r="AI56" s="688" t="str">
        <f aca="false">IF(B56="","",'SENSIBILIDAD 2'!H33^2*(U56^2))</f>
        <v/>
      </c>
      <c r="AJ56" s="688" t="str">
        <f aca="false">IF(B56="","",'SENSIBILIDAD 2'!M33^2*(V56^2))</f>
        <v/>
      </c>
      <c r="AK56" s="688" t="str">
        <f aca="false">IF(B56="","",'SENSIBILIDAD 2'!N33^2*(W56^2))</f>
        <v/>
      </c>
      <c r="AL56" s="688" t="str">
        <f aca="false">IF(B56="","",'SENSIBILIDAD 2'!O33^2*(X56^2))</f>
        <v/>
      </c>
      <c r="AM56" s="688" t="str">
        <f aca="false">IF($B56="","",(Y56^2)*('SENSIBILIDAD 2'!K33^2))</f>
        <v/>
      </c>
      <c r="AN56" s="688" t="str">
        <f aca="false">IF($B56="","",(Z56^2)*('SENSIBILIDAD 2'!I33^2))</f>
        <v/>
      </c>
      <c r="AO56" s="688" t="str">
        <f aca="false">IF($B56="","",(AA56^2)*('SENSIBILIDAD 2'!J33^2))</f>
        <v/>
      </c>
      <c r="AP56" s="688" t="str">
        <f aca="false">IF($B56="","",(AB56^2)*('SENSIBILIDAD 2'!L33^2))</f>
        <v/>
      </c>
      <c r="AQ56" s="689" t="str">
        <f aca="false">IF(B56="","",SQRT(AC56+AD56+AE56+AF56+AG56+AH56+AI56+AJ56+AK56+AL56+AM56+AN56+AO56+AP56))</f>
        <v/>
      </c>
      <c r="AR56" s="701" t="str">
        <f aca="false">IF(B56="","",2*AQ56)</f>
        <v/>
      </c>
      <c r="AS56" s="702" t="str">
        <f aca="false">IF(B56="","",+AR56/1000)</f>
        <v/>
      </c>
      <c r="AT56" s="692" t="str">
        <f aca="false">IF('conversion datos'!$L$30='Patrones LACOMET'!$D$3,(IF(N56="","",AS56*39.37008)),IF('conversion datos'!$L$30='Patrones LACOMET'!$D$4,AS56,"No existe el patrón"))</f>
        <v/>
      </c>
      <c r="BI56" s="564"/>
      <c r="BJ56" s="564"/>
      <c r="BK56" s="564"/>
      <c r="BL56" s="564"/>
      <c r="BM56" s="655"/>
      <c r="BN56" s="655"/>
    </row>
    <row r="57" customFormat="false" ht="19.5" hidden="false" customHeight="true" outlineLevel="0" collapsed="false">
      <c r="A57" s="81" t="n">
        <f aca="false">+CALIBRACION!A40</f>
        <v>29</v>
      </c>
      <c r="B57" s="672" t="str">
        <f aca="false">IF(CALIBRACION!H40="","",CALIBRACION!H40)</f>
        <v/>
      </c>
      <c r="C57" s="693" t="str">
        <f aca="false">IF(B57="","",+($F$20)/SQRT((5)))</f>
        <v/>
      </c>
      <c r="D57" s="693" t="str">
        <f aca="false">IF(B57="","",$F$21/SQRT((3)))</f>
        <v/>
      </c>
      <c r="E57" s="693" t="str">
        <f aca="false">IF(B57="","",$F$22/(SQRT(12)))</f>
        <v/>
      </c>
      <c r="F57" s="693" t="str">
        <f aca="false">IF(B57="","",$F$23/(SQRT(3)))</f>
        <v/>
      </c>
      <c r="G57" s="694" t="str">
        <f aca="false">IF(B57="","",(SQRT((+C57^2+D57^2+E57^2+F57^2))/(10^-3)))</f>
        <v/>
      </c>
      <c r="H57" s="675" t="str">
        <f aca="false">IF(B57="","",(IF('conversion datos'!$L$30='Patrones LACOMET'!$D$3,(VLOOKUP(B57,'BLOQUES PATRON (pulg) '!$K$5:$Q$91,6,FALSE())*1000),IF('conversion datos'!$L$30='Patrones LACOMET'!$D$4,(VLOOKUP(B57,'BLOQUES PATRON (mm)'!$D$5:$H$126,5,FALSE())),"No existe el patrón"))))</f>
        <v/>
      </c>
      <c r="I57" s="676" t="str">
        <f aca="false">IF(B57="","",0.42^2)</f>
        <v/>
      </c>
      <c r="J57" s="676" t="str">
        <f aca="false">IF(B57="","",IF('conversion datos'!$L$30='Patrones LACOMET'!$D$3,LOOKUP(B57,'BLOQUES PATRON (pulg) '!$S$5:$S$86,'BLOQUES PATRON (pulg) '!$Z$5:$Z$86),IF('conversion datos'!$L$30='Patrones LACOMET'!$D$4,LOOKUP(B57,'BLOQUES PATRON (mm)'!$O$5:$O$126,'BLOQUES PATRON (mm)'!$U$5:$U$126),"No existe el patrón")))</f>
        <v/>
      </c>
      <c r="K57" s="677" t="str">
        <f aca="false">IF(B57="","",SQRT((H57^2)+(J57^2)+(I57^2)))</f>
        <v/>
      </c>
      <c r="L57" s="695" t="str">
        <f aca="false">IF(B57="","",$G$4)</f>
        <v/>
      </c>
      <c r="M57" s="695" t="str">
        <f aca="false">IF(B57="","",($G$5))</f>
        <v/>
      </c>
      <c r="N57" s="695" t="str">
        <f aca="false">IF(B57="","",($G$6))</f>
        <v/>
      </c>
      <c r="O57" s="696" t="str">
        <f aca="false">IF(B57="","",(($G$7)))</f>
        <v/>
      </c>
      <c r="P57" s="697" t="str">
        <f aca="false">IF(B57="","",$G$8)</f>
        <v/>
      </c>
      <c r="Q57" s="698" t="str">
        <f aca="false">IF(B57="","",SQRT((L57^2)*(M57^2)+(N57^2)+(O57^2)+(P57^2)))</f>
        <v/>
      </c>
      <c r="R57" s="699" t="str">
        <f aca="false">IF(B57="","",($G$12))</f>
        <v/>
      </c>
      <c r="S57" s="699" t="str">
        <f aca="false">IF(B57="","",($G$13))</f>
        <v/>
      </c>
      <c r="T57" s="700" t="str">
        <f aca="false">IF(B57="","",+$F$14/SQRT(12))</f>
        <v/>
      </c>
      <c r="U57" s="684" t="str">
        <f aca="false">IF(B57="","",(($M$17)/2)*1000)</f>
        <v/>
      </c>
      <c r="V57" s="685" t="str">
        <f aca="false">+IF(B57="","",+$G$15)</f>
        <v/>
      </c>
      <c r="W57" s="685" t="str">
        <f aca="false">+IF(B57="","",+$G$16)</f>
        <v/>
      </c>
      <c r="X57" s="685" t="str">
        <f aca="false">+IF(B57="","",+$G$17)</f>
        <v/>
      </c>
      <c r="Y57" s="686" t="str">
        <f aca="false">+IF(B57="","",K57*$G$9)</f>
        <v/>
      </c>
      <c r="Z57" s="686" t="str">
        <f aca="false">+IF(B57="","",K57*$G$12)</f>
        <v/>
      </c>
      <c r="AA57" s="686" t="str">
        <f aca="false">+IF(B57="","",K57*$G$13)</f>
        <v/>
      </c>
      <c r="AB57" s="686" t="str">
        <f aca="false">+IF(B57="","",K57*T57)</f>
        <v/>
      </c>
      <c r="AC57" s="687" t="str">
        <f aca="false">IF(B57="","",('SENSIBILIDAD 2'!B34^2)*(G57^2))</f>
        <v/>
      </c>
      <c r="AD57" s="688" t="str">
        <f aca="false">IF(B57="","",('SENSIBILIDAD 2'!C34^2)*(K57^2))</f>
        <v/>
      </c>
      <c r="AE57" s="688" t="str">
        <f aca="false">IF(B57="","",'SENSIBILIDAD 2'!D34^2*(R57^2))</f>
        <v/>
      </c>
      <c r="AF57" s="688" t="str">
        <f aca="false">IF(B57="","",'SENSIBILIDAD 2'!E34^2*(S57^2))</f>
        <v/>
      </c>
      <c r="AG57" s="688" t="str">
        <f aca="false">IF(B57="","",'SENSIBILIDAD 2'!F34^2*(T57^2))</f>
        <v/>
      </c>
      <c r="AH57" s="688" t="str">
        <f aca="false">IF(B57="","",(('SENSIBILIDAD 2'!G34)^2)*(Q57^2))</f>
        <v/>
      </c>
      <c r="AI57" s="688" t="str">
        <f aca="false">IF(B57="","",'SENSIBILIDAD 2'!H34^2*(U57^2))</f>
        <v/>
      </c>
      <c r="AJ57" s="688" t="str">
        <f aca="false">IF(B57="","",'SENSIBILIDAD 2'!M34^2*(V57^2))</f>
        <v/>
      </c>
      <c r="AK57" s="688" t="str">
        <f aca="false">IF(B57="","",'SENSIBILIDAD 2'!N34^2*(W57^2))</f>
        <v/>
      </c>
      <c r="AL57" s="688" t="str">
        <f aca="false">IF(B57="","",'SENSIBILIDAD 2'!O34^2*(X57^2))</f>
        <v/>
      </c>
      <c r="AM57" s="688" t="str">
        <f aca="false">IF($B57="","",(Y57^2)*('SENSIBILIDAD 2'!K34^2))</f>
        <v/>
      </c>
      <c r="AN57" s="688" t="str">
        <f aca="false">IF($B57="","",(Z57^2)*('SENSIBILIDAD 2'!I34^2))</f>
        <v/>
      </c>
      <c r="AO57" s="688" t="str">
        <f aca="false">IF($B57="","",(AA57^2)*('SENSIBILIDAD 2'!J34^2))</f>
        <v/>
      </c>
      <c r="AP57" s="688" t="str">
        <f aca="false">IF($B57="","",(AB57^2)*('SENSIBILIDAD 2'!L34^2))</f>
        <v/>
      </c>
      <c r="AQ57" s="689" t="str">
        <f aca="false">IF(B57="","",SQRT(AC57+AD57+AE57+AF57+AG57+AH57+AI57+AJ57+AK57+AL57+AM57+AN57+AO57+AP57))</f>
        <v/>
      </c>
      <c r="AR57" s="701" t="str">
        <f aca="false">IF(B57="","",2*AQ57)</f>
        <v/>
      </c>
      <c r="AS57" s="702" t="str">
        <f aca="false">IF(B57="","",+AR57/1000)</f>
        <v/>
      </c>
      <c r="AT57" s="692" t="str">
        <f aca="false">IF('conversion datos'!$L$30='Patrones LACOMET'!$D$3,(IF(N57="","",AS57*39.37008)),IF('conversion datos'!$L$30='Patrones LACOMET'!$D$4,AS57,"No existe el patrón"))</f>
        <v/>
      </c>
      <c r="BI57" s="564"/>
      <c r="BJ57" s="564"/>
      <c r="BK57" s="564"/>
      <c r="BL57" s="564"/>
      <c r="BM57" s="655"/>
      <c r="BN57" s="655"/>
    </row>
    <row r="58" customFormat="false" ht="19.5" hidden="false" customHeight="true" outlineLevel="0" collapsed="false">
      <c r="A58" s="81" t="n">
        <f aca="false">+CALIBRACION!A41</f>
        <v>30</v>
      </c>
      <c r="B58" s="672" t="str">
        <f aca="false">IF(CALIBRACION!H41="","",CALIBRACION!H41)</f>
        <v/>
      </c>
      <c r="C58" s="693" t="str">
        <f aca="false">IF(B58="","",+($F$20)/SQRT((5)))</f>
        <v/>
      </c>
      <c r="D58" s="693" t="str">
        <f aca="false">IF(B58="","",$F$21/SQRT((3)))</f>
        <v/>
      </c>
      <c r="E58" s="693" t="str">
        <f aca="false">IF(B58="","",$F$22/(SQRT(12)))</f>
        <v/>
      </c>
      <c r="F58" s="693" t="str">
        <f aca="false">IF(B58="","",$F$23/(SQRT(3)))</f>
        <v/>
      </c>
      <c r="G58" s="694" t="str">
        <f aca="false">IF(B58="","",(SQRT((+C58^2+D58^2+E58^2+F58^2))/(10^-3)))</f>
        <v/>
      </c>
      <c r="H58" s="675" t="str">
        <f aca="false">IF(B58="","",(IF('conversion datos'!$L$30='Patrones LACOMET'!$D$3,(VLOOKUP(B58,'BLOQUES PATRON (pulg) '!$K$5:$Q$91,6,FALSE())*1000),IF('conversion datos'!$L$30='Patrones LACOMET'!$D$4,(VLOOKUP(B58,'BLOQUES PATRON (mm)'!$D$5:$H$126,5,FALSE())),"No existe el patrón"))))</f>
        <v/>
      </c>
      <c r="I58" s="676" t="str">
        <f aca="false">IF(B58="","",0.42^2)</f>
        <v/>
      </c>
      <c r="J58" s="676" t="str">
        <f aca="false">IF(B58="","",IF('conversion datos'!$L$30='Patrones LACOMET'!$D$3,LOOKUP(B58,'BLOQUES PATRON (pulg) '!$S$5:$S$86,'BLOQUES PATRON (pulg) '!$Z$5:$Z$86),IF('conversion datos'!$L$30='Patrones LACOMET'!$D$4,LOOKUP(B58,'BLOQUES PATRON (mm)'!$O$5:$O$126,'BLOQUES PATRON (mm)'!$U$5:$U$126),"No existe el patrón")))</f>
        <v/>
      </c>
      <c r="K58" s="677" t="str">
        <f aca="false">IF(B58="","",SQRT((H58^2)+(J58^2)+(I58^2)))</f>
        <v/>
      </c>
      <c r="L58" s="695" t="str">
        <f aca="false">IF(B58="","",$G$4)</f>
        <v/>
      </c>
      <c r="M58" s="695" t="str">
        <f aca="false">IF(B58="","",($G$5))</f>
        <v/>
      </c>
      <c r="N58" s="695" t="str">
        <f aca="false">IF(B58="","",($G$6))</f>
        <v/>
      </c>
      <c r="O58" s="696" t="str">
        <f aca="false">IF(B58="","",(($G$7)))</f>
        <v/>
      </c>
      <c r="P58" s="697" t="str">
        <f aca="false">IF(B58="","",$G$8)</f>
        <v/>
      </c>
      <c r="Q58" s="698" t="str">
        <f aca="false">IF(B58="","",SQRT((L58^2)*(M58^2)+(N58^2)+(O58^2)+(P58^2)))</f>
        <v/>
      </c>
      <c r="R58" s="699" t="str">
        <f aca="false">IF(B58="","",($G$12))</f>
        <v/>
      </c>
      <c r="S58" s="699" t="str">
        <f aca="false">IF(B58="","",($G$13))</f>
        <v/>
      </c>
      <c r="T58" s="700" t="str">
        <f aca="false">IF(B58="","",+$F$14/SQRT(12))</f>
        <v/>
      </c>
      <c r="U58" s="684" t="str">
        <f aca="false">IF(B58="","",(($M$17)/2)*1000)</f>
        <v/>
      </c>
      <c r="V58" s="685" t="str">
        <f aca="false">+IF(B58="","",+$G$15)</f>
        <v/>
      </c>
      <c r="W58" s="685" t="str">
        <f aca="false">+IF(B58="","",+$G$16)</f>
        <v/>
      </c>
      <c r="X58" s="685" t="str">
        <f aca="false">+IF(B58="","",+$G$17)</f>
        <v/>
      </c>
      <c r="Y58" s="686" t="str">
        <f aca="false">+IF(B58="","",K58*$G$9)</f>
        <v/>
      </c>
      <c r="Z58" s="686" t="str">
        <f aca="false">+IF(B58="","",K58*$G$12)</f>
        <v/>
      </c>
      <c r="AA58" s="686" t="str">
        <f aca="false">+IF(B58="","",K58*$G$13)</f>
        <v/>
      </c>
      <c r="AB58" s="686" t="str">
        <f aca="false">+IF(B58="","",K58*T58)</f>
        <v/>
      </c>
      <c r="AC58" s="687" t="str">
        <f aca="false">IF(B58="","",('SENSIBILIDAD 2'!B35^2)*(G58^2))</f>
        <v/>
      </c>
      <c r="AD58" s="688" t="str">
        <f aca="false">IF(B58="","",('SENSIBILIDAD 2'!C35^2)*(K58^2))</f>
        <v/>
      </c>
      <c r="AE58" s="688" t="str">
        <f aca="false">IF(B58="","",'SENSIBILIDAD 2'!D35^2*(R58^2))</f>
        <v/>
      </c>
      <c r="AF58" s="688" t="str">
        <f aca="false">IF(B58="","",'SENSIBILIDAD 2'!E35^2*(S58^2))</f>
        <v/>
      </c>
      <c r="AG58" s="688" t="str">
        <f aca="false">IF(B58="","",'SENSIBILIDAD 2'!F35^2*(T58^2))</f>
        <v/>
      </c>
      <c r="AH58" s="688" t="str">
        <f aca="false">IF(B58="","",(('SENSIBILIDAD 2'!G35)^2)*(Q58^2))</f>
        <v/>
      </c>
      <c r="AI58" s="688" t="str">
        <f aca="false">IF(B58="","",'SENSIBILIDAD 2'!H35^2*(U58^2))</f>
        <v/>
      </c>
      <c r="AJ58" s="688" t="str">
        <f aca="false">IF(B58="","",'SENSIBILIDAD 2'!M35^2*(V58^2))</f>
        <v/>
      </c>
      <c r="AK58" s="688" t="str">
        <f aca="false">IF(B58="","",'SENSIBILIDAD 2'!N35^2*(W58^2))</f>
        <v/>
      </c>
      <c r="AL58" s="688" t="str">
        <f aca="false">IF(B58="","",'SENSIBILIDAD 2'!O35^2*(X58^2))</f>
        <v/>
      </c>
      <c r="AM58" s="688" t="str">
        <f aca="false">IF($B58="","",(Y58^2)*('SENSIBILIDAD 2'!K35^2))</f>
        <v/>
      </c>
      <c r="AN58" s="688" t="str">
        <f aca="false">IF($B58="","",(Z58^2)*('SENSIBILIDAD 2'!I35^2))</f>
        <v/>
      </c>
      <c r="AO58" s="688" t="str">
        <f aca="false">IF($B58="","",(AA58^2)*('SENSIBILIDAD 2'!J35^2))</f>
        <v/>
      </c>
      <c r="AP58" s="688" t="str">
        <f aca="false">IF($B58="","",(AB58^2)*('SENSIBILIDAD 2'!L35^2))</f>
        <v/>
      </c>
      <c r="AQ58" s="689" t="str">
        <f aca="false">IF(B58="","",SQRT(AC58+AD58+AE58+AF58+AG58+AH58+AI58+AJ58+AK58+AL58+AM58+AN58+AO58+AP58))</f>
        <v/>
      </c>
      <c r="AR58" s="701" t="str">
        <f aca="false">IF(B58="","",2*AQ58)</f>
        <v/>
      </c>
      <c r="AS58" s="702" t="str">
        <f aca="false">IF(B58="","",+AR58/1000)</f>
        <v/>
      </c>
      <c r="AT58" s="692" t="str">
        <f aca="false">IF('conversion datos'!$L$30='Patrones LACOMET'!$D$3,(IF(N58="","",AS58*39.37008)),IF('conversion datos'!$L$30='Patrones LACOMET'!$D$4,AS58,"No existe el patrón"))</f>
        <v/>
      </c>
      <c r="BI58" s="564"/>
      <c r="BJ58" s="564"/>
      <c r="BK58" s="564"/>
      <c r="BL58" s="564"/>
      <c r="BM58" s="655"/>
      <c r="BN58" s="655"/>
    </row>
    <row r="59" customFormat="false" ht="19.5" hidden="false" customHeight="true" outlineLevel="0" collapsed="false">
      <c r="A59" s="81" t="n">
        <f aca="false">+CALIBRACION!A42</f>
        <v>31</v>
      </c>
      <c r="B59" s="672" t="str">
        <f aca="false">IF(CALIBRACION!H42="","",CALIBRACION!H42)</f>
        <v/>
      </c>
      <c r="C59" s="693" t="str">
        <f aca="false">IF(B59="","",+($F$20)/SQRT((5)))</f>
        <v/>
      </c>
      <c r="D59" s="693" t="str">
        <f aca="false">IF(B59="","",$F$21/SQRT((3)))</f>
        <v/>
      </c>
      <c r="E59" s="693" t="str">
        <f aca="false">IF(B59="","",$F$22/(SQRT(12)))</f>
        <v/>
      </c>
      <c r="F59" s="693" t="str">
        <f aca="false">IF(B59="","",$F$23/(SQRT(3)))</f>
        <v/>
      </c>
      <c r="G59" s="694" t="str">
        <f aca="false">IF(B59="","",(SQRT((+C59^2+D59^2+E59^2+F59^2))/(10^-3)))</f>
        <v/>
      </c>
      <c r="H59" s="675" t="str">
        <f aca="false">IF(B59="","",(IF('conversion datos'!$L$30='Patrones LACOMET'!$D$3,(VLOOKUP(B59,'BLOQUES PATRON (pulg) '!$K$5:$Q$91,6,FALSE())*1000),IF('conversion datos'!$L$30='Patrones LACOMET'!$D$4,(VLOOKUP(B59,'BLOQUES PATRON (mm)'!$D$5:$H$126,5,FALSE())),"No existe el patrón"))))</f>
        <v/>
      </c>
      <c r="I59" s="676" t="str">
        <f aca="false">IF(B59="","",0.42^2)</f>
        <v/>
      </c>
      <c r="J59" s="676" t="str">
        <f aca="false">IF(B59="","",IF('conversion datos'!$L$30='Patrones LACOMET'!$D$3,LOOKUP(B59,'BLOQUES PATRON (pulg) '!$S$5:$S$86,'BLOQUES PATRON (pulg) '!$Z$5:$Z$86),IF('conversion datos'!$L$30='Patrones LACOMET'!$D$4,LOOKUP(B59,'BLOQUES PATRON (mm)'!$O$5:$O$126,'BLOQUES PATRON (mm)'!$U$5:$U$126),"No existe el patrón")))</f>
        <v/>
      </c>
      <c r="K59" s="677" t="str">
        <f aca="false">IF(B59="","",SQRT((H59^2)+(J59^2)+(I59^2)))</f>
        <v/>
      </c>
      <c r="L59" s="695" t="str">
        <f aca="false">IF(B59="","",$G$4)</f>
        <v/>
      </c>
      <c r="M59" s="695" t="str">
        <f aca="false">IF(B59="","",($G$5))</f>
        <v/>
      </c>
      <c r="N59" s="695" t="str">
        <f aca="false">IF(B59="","",($G$6))</f>
        <v/>
      </c>
      <c r="O59" s="696" t="str">
        <f aca="false">IF(B59="","",(($G$7)))</f>
        <v/>
      </c>
      <c r="P59" s="697" t="str">
        <f aca="false">IF(B59="","",$G$8)</f>
        <v/>
      </c>
      <c r="Q59" s="698" t="str">
        <f aca="false">IF(B59="","",SQRT((L59^2)*(M59^2)+(N59^2)+(O59^2)+(P59^2)))</f>
        <v/>
      </c>
      <c r="R59" s="699" t="str">
        <f aca="false">IF(B59="","",($G$12))</f>
        <v/>
      </c>
      <c r="S59" s="699" t="str">
        <f aca="false">IF(B59="","",($G$13))</f>
        <v/>
      </c>
      <c r="T59" s="700" t="str">
        <f aca="false">IF(B59="","",+$F$14/SQRT(12))</f>
        <v/>
      </c>
      <c r="U59" s="684" t="str">
        <f aca="false">IF(B59="","",(($M$17)/2)*1000)</f>
        <v/>
      </c>
      <c r="V59" s="685" t="str">
        <f aca="false">+IF(B59="","",+$G$15)</f>
        <v/>
      </c>
      <c r="W59" s="685" t="str">
        <f aca="false">+IF(B59="","",+$G$16)</f>
        <v/>
      </c>
      <c r="X59" s="685" t="str">
        <f aca="false">+IF(B59="","",+$G$17)</f>
        <v/>
      </c>
      <c r="Y59" s="686" t="str">
        <f aca="false">+IF(B59="","",K59*$G$9)</f>
        <v/>
      </c>
      <c r="Z59" s="686" t="str">
        <f aca="false">+IF(B59="","",K59*$G$12)</f>
        <v/>
      </c>
      <c r="AA59" s="686" t="str">
        <f aca="false">+IF(B59="","",K59*$G$13)</f>
        <v/>
      </c>
      <c r="AB59" s="686" t="str">
        <f aca="false">+IF(B59="","",K59*T59)</f>
        <v/>
      </c>
      <c r="AC59" s="687" t="str">
        <f aca="false">IF(B59="","",('SENSIBILIDAD 2'!B36^2)*(G59^2))</f>
        <v/>
      </c>
      <c r="AD59" s="688" t="str">
        <f aca="false">IF(B59="","",('SENSIBILIDAD 2'!C36^2)*(K59^2))</f>
        <v/>
      </c>
      <c r="AE59" s="688" t="str">
        <f aca="false">IF(B59="","",'SENSIBILIDAD 2'!D36^2*(R59^2))</f>
        <v/>
      </c>
      <c r="AF59" s="688" t="str">
        <f aca="false">IF(B59="","",'SENSIBILIDAD 2'!E36^2*(S59^2))</f>
        <v/>
      </c>
      <c r="AG59" s="688" t="str">
        <f aca="false">IF(B59="","",'SENSIBILIDAD 2'!F36^2*(T59^2))</f>
        <v/>
      </c>
      <c r="AH59" s="688" t="str">
        <f aca="false">IF(B59="","",(('SENSIBILIDAD 2'!G36)^2)*(Q59^2))</f>
        <v/>
      </c>
      <c r="AI59" s="688" t="str">
        <f aca="false">IF(B59="","",'SENSIBILIDAD 2'!H36^2*(U59^2))</f>
        <v/>
      </c>
      <c r="AJ59" s="688" t="str">
        <f aca="false">IF(B59="","",'SENSIBILIDAD 2'!M36^2*(V59^2))</f>
        <v/>
      </c>
      <c r="AK59" s="688" t="str">
        <f aca="false">IF(B59="","",'SENSIBILIDAD 2'!N36^2*(W59^2))</f>
        <v/>
      </c>
      <c r="AL59" s="688" t="str">
        <f aca="false">IF(B59="","",'SENSIBILIDAD 2'!O36^2*(X59^2))</f>
        <v/>
      </c>
      <c r="AM59" s="688" t="str">
        <f aca="false">IF($B59="","",(Y59^2)*('SENSIBILIDAD 2'!K36^2))</f>
        <v/>
      </c>
      <c r="AN59" s="688" t="str">
        <f aca="false">IF($B59="","",(Z59^2)*('SENSIBILIDAD 2'!I36^2))</f>
        <v/>
      </c>
      <c r="AO59" s="688" t="str">
        <f aca="false">IF($B59="","",(AA59^2)*('SENSIBILIDAD 2'!J36^2))</f>
        <v/>
      </c>
      <c r="AP59" s="688" t="str">
        <f aca="false">IF($B59="","",(AB59^2)*('SENSIBILIDAD 2'!L36^2))</f>
        <v/>
      </c>
      <c r="AQ59" s="689" t="str">
        <f aca="false">IF(B59="","",SQRT(AC59+AD59+AE59+AF59+AG59+AH59+AI59+AJ59+AK59+AL59+AM59+AN59+AO59+AP59))</f>
        <v/>
      </c>
      <c r="AR59" s="701" t="str">
        <f aca="false">IF(B59="","",2*AQ59)</f>
        <v/>
      </c>
      <c r="AS59" s="702" t="str">
        <f aca="false">IF(B59="","",+AR59/1000)</f>
        <v/>
      </c>
      <c r="AT59" s="692" t="str">
        <f aca="false">IF('conversion datos'!$L$30='Patrones LACOMET'!$D$3,(IF(N59="","",AS59*39.37008)),IF('conversion datos'!$L$30='Patrones LACOMET'!$D$4,AS59,"No existe el patrón"))</f>
        <v/>
      </c>
      <c r="BI59" s="564"/>
      <c r="BJ59" s="564"/>
      <c r="BK59" s="564"/>
      <c r="BL59" s="564"/>
      <c r="BM59" s="655"/>
      <c r="BN59" s="655"/>
    </row>
    <row r="60" customFormat="false" ht="19.5" hidden="false" customHeight="true" outlineLevel="0" collapsed="false">
      <c r="A60" s="81" t="n">
        <f aca="false">+CALIBRACION!A43</f>
        <v>32</v>
      </c>
      <c r="B60" s="672" t="str">
        <f aca="false">IF(CALIBRACION!H43="","",CALIBRACION!H43)</f>
        <v/>
      </c>
      <c r="C60" s="693" t="str">
        <f aca="false">IF(B60="","",+($F$20)/SQRT((5)))</f>
        <v/>
      </c>
      <c r="D60" s="693" t="str">
        <f aca="false">IF(B60="","",$F$21/SQRT((3)))</f>
        <v/>
      </c>
      <c r="E60" s="693" t="str">
        <f aca="false">IF(B60="","",$F$22/(SQRT(12)))</f>
        <v/>
      </c>
      <c r="F60" s="693" t="str">
        <f aca="false">IF(B60="","",$F$23/(SQRT(3)))</f>
        <v/>
      </c>
      <c r="G60" s="694" t="str">
        <f aca="false">IF(B60="","",(SQRT((+C60^2+D60^2+E60^2+F60^2))/(10^-3)))</f>
        <v/>
      </c>
      <c r="H60" s="675" t="str">
        <f aca="false">IF(B60="","",(IF('conversion datos'!$L$30='Patrones LACOMET'!$D$3,(VLOOKUP(B60,'BLOQUES PATRON (pulg) '!$K$5:$Q$91,6,FALSE())*1000),IF('conversion datos'!$L$30='Patrones LACOMET'!$D$4,(VLOOKUP(B60,'BLOQUES PATRON (mm)'!$D$5:$H$126,5,FALSE())),"No existe el patrón"))))</f>
        <v/>
      </c>
      <c r="I60" s="676" t="str">
        <f aca="false">IF(B60="","",0.42^2)</f>
        <v/>
      </c>
      <c r="J60" s="676" t="str">
        <f aca="false">IF(B60="","",IF('conversion datos'!$L$30='Patrones LACOMET'!$D$3,LOOKUP(B60,'BLOQUES PATRON (pulg) '!$S$5:$S$86,'BLOQUES PATRON (pulg) '!$Z$5:$Z$86),IF('conversion datos'!$L$30='Patrones LACOMET'!$D$4,LOOKUP(B60,'BLOQUES PATRON (mm)'!$O$5:$O$126,'BLOQUES PATRON (mm)'!$U$5:$U$126),"No existe el patrón")))</f>
        <v/>
      </c>
      <c r="K60" s="677" t="str">
        <f aca="false">IF(B60="","",SQRT((H60^2)+(J60^2)+(I60^2)))</f>
        <v/>
      </c>
      <c r="L60" s="695" t="str">
        <f aca="false">IF(B60="","",$G$4)</f>
        <v/>
      </c>
      <c r="M60" s="695" t="str">
        <f aca="false">IF(B60="","",($G$5))</f>
        <v/>
      </c>
      <c r="N60" s="695" t="str">
        <f aca="false">IF(B60="","",($G$6))</f>
        <v/>
      </c>
      <c r="O60" s="696" t="str">
        <f aca="false">IF(B60="","",(($G$7)))</f>
        <v/>
      </c>
      <c r="P60" s="697" t="str">
        <f aca="false">IF(B60="","",$G$8)</f>
        <v/>
      </c>
      <c r="Q60" s="698" t="str">
        <f aca="false">IF(B60="","",SQRT((L60^2)*(M60^2)+(N60^2)+(O60^2)+(P60^2)))</f>
        <v/>
      </c>
      <c r="R60" s="699" t="str">
        <f aca="false">IF(B60="","",($G$12))</f>
        <v/>
      </c>
      <c r="S60" s="699" t="str">
        <f aca="false">IF(B60="","",($G$13))</f>
        <v/>
      </c>
      <c r="T60" s="700" t="str">
        <f aca="false">IF(B60="","",+$F$14/SQRT(12))</f>
        <v/>
      </c>
      <c r="U60" s="684" t="str">
        <f aca="false">IF(B60="","",(($M$17)/2)*1000)</f>
        <v/>
      </c>
      <c r="V60" s="685" t="str">
        <f aca="false">+IF(B60="","",+$G$15)</f>
        <v/>
      </c>
      <c r="W60" s="685" t="str">
        <f aca="false">+IF(B60="","",+$G$16)</f>
        <v/>
      </c>
      <c r="X60" s="685" t="str">
        <f aca="false">+IF(B60="","",+$G$17)</f>
        <v/>
      </c>
      <c r="Y60" s="686" t="str">
        <f aca="false">+IF(B60="","",K60*$G$9)</f>
        <v/>
      </c>
      <c r="Z60" s="686" t="str">
        <f aca="false">+IF(B60="","",K60*$G$12)</f>
        <v/>
      </c>
      <c r="AA60" s="686" t="str">
        <f aca="false">+IF(B60="","",K60*$G$13)</f>
        <v/>
      </c>
      <c r="AB60" s="686" t="str">
        <f aca="false">+IF(B60="","",K60*T60)</f>
        <v/>
      </c>
      <c r="AC60" s="687" t="str">
        <f aca="false">IF(B60="","",('SENSIBILIDAD 2'!B37^2)*(G60^2))</f>
        <v/>
      </c>
      <c r="AD60" s="688" t="str">
        <f aca="false">IF(B60="","",('SENSIBILIDAD 2'!C37^2)*(K60^2))</f>
        <v/>
      </c>
      <c r="AE60" s="688" t="str">
        <f aca="false">IF(B60="","",'SENSIBILIDAD 2'!D37^2*(R60^2))</f>
        <v/>
      </c>
      <c r="AF60" s="688" t="str">
        <f aca="false">IF(B60="","",'SENSIBILIDAD 2'!E37^2*(S60^2))</f>
        <v/>
      </c>
      <c r="AG60" s="688" t="str">
        <f aca="false">IF(B60="","",'SENSIBILIDAD 2'!F37^2*(T60^2))</f>
        <v/>
      </c>
      <c r="AH60" s="688" t="str">
        <f aca="false">IF(B60="","",(('SENSIBILIDAD 2'!G37)^2)*(Q60^2))</f>
        <v/>
      </c>
      <c r="AI60" s="688" t="str">
        <f aca="false">IF(B60="","",'SENSIBILIDAD 2'!H37^2*(U60^2))</f>
        <v/>
      </c>
      <c r="AJ60" s="688" t="str">
        <f aca="false">IF(B60="","",'SENSIBILIDAD 2'!M37^2*(V60^2))</f>
        <v/>
      </c>
      <c r="AK60" s="688" t="str">
        <f aca="false">IF(B60="","",'SENSIBILIDAD 2'!N37^2*(W60^2))</f>
        <v/>
      </c>
      <c r="AL60" s="688" t="str">
        <f aca="false">IF(B60="","",'SENSIBILIDAD 2'!O37^2*(X60^2))</f>
        <v/>
      </c>
      <c r="AM60" s="688" t="str">
        <f aca="false">IF($B60="","",(Y60^2)*('SENSIBILIDAD 2'!K37^2))</f>
        <v/>
      </c>
      <c r="AN60" s="688" t="str">
        <f aca="false">IF($B60="","",(Z60^2)*('SENSIBILIDAD 2'!I37^2))</f>
        <v/>
      </c>
      <c r="AO60" s="688" t="str">
        <f aca="false">IF($B60="","",(AA60^2)*('SENSIBILIDAD 2'!J37^2))</f>
        <v/>
      </c>
      <c r="AP60" s="688" t="str">
        <f aca="false">IF($B60="","",(AB60^2)*('SENSIBILIDAD 2'!L37^2))</f>
        <v/>
      </c>
      <c r="AQ60" s="689" t="str">
        <f aca="false">IF(B60="","",SQRT(AC60+AD60+AE60+AF60+AG60+AH60+AI60+AJ60+AK60+AL60+AM60+AN60+AO60+AP60))</f>
        <v/>
      </c>
      <c r="AR60" s="701" t="str">
        <f aca="false">IF(B60="","",2*AQ60)</f>
        <v/>
      </c>
      <c r="AS60" s="702" t="str">
        <f aca="false">IF(B60="","",+AR60/1000)</f>
        <v/>
      </c>
      <c r="AT60" s="692" t="str">
        <f aca="false">IF('conversion datos'!$L$30='Patrones LACOMET'!$D$3,(IF(N60="","",AS60*39.37008)),IF('conversion datos'!$L$30='Patrones LACOMET'!$D$4,AS60,"No existe el patrón"))</f>
        <v/>
      </c>
      <c r="BI60" s="564"/>
      <c r="BJ60" s="564"/>
      <c r="BK60" s="564"/>
      <c r="BL60" s="564"/>
      <c r="BM60" s="655"/>
      <c r="BN60" s="655"/>
    </row>
    <row r="61" customFormat="false" ht="19.5" hidden="false" customHeight="true" outlineLevel="0" collapsed="false">
      <c r="A61" s="81" t="n">
        <f aca="false">+CALIBRACION!A44</f>
        <v>33</v>
      </c>
      <c r="B61" s="672" t="str">
        <f aca="false">IF(CALIBRACION!H44="","",CALIBRACION!H44)</f>
        <v/>
      </c>
      <c r="C61" s="693" t="str">
        <f aca="false">IF(B61="","",+($F$20)/SQRT((5)))</f>
        <v/>
      </c>
      <c r="D61" s="693" t="str">
        <f aca="false">IF(B61="","",$F$21/SQRT((3)))</f>
        <v/>
      </c>
      <c r="E61" s="693" t="str">
        <f aca="false">IF(B61="","",$F$22/(SQRT(12)))</f>
        <v/>
      </c>
      <c r="F61" s="693" t="str">
        <f aca="false">IF(B61="","",$F$23/(SQRT(3)))</f>
        <v/>
      </c>
      <c r="G61" s="694" t="str">
        <f aca="false">IF(B61="","",(SQRT((+C61^2+D61^2+E61^2+F61^2))/(10^-3)))</f>
        <v/>
      </c>
      <c r="H61" s="675" t="str">
        <f aca="false">IF(B61="","",(IF('conversion datos'!$L$30='Patrones LACOMET'!$D$3,(VLOOKUP(B61,'BLOQUES PATRON (pulg) '!$K$5:$Q$91,6,FALSE())*1000),IF('conversion datos'!$L$30='Patrones LACOMET'!$D$4,(VLOOKUP(B61,'BLOQUES PATRON (mm)'!$D$5:$H$126,5,FALSE())),"No existe el patrón"))))</f>
        <v/>
      </c>
      <c r="I61" s="676" t="str">
        <f aca="false">IF(B61="","",0.42^2)</f>
        <v/>
      </c>
      <c r="J61" s="676" t="str">
        <f aca="false">IF(B61="","",IF('conversion datos'!$L$30='Patrones LACOMET'!$D$3,LOOKUP(B61,'BLOQUES PATRON (pulg) '!$S$5:$S$86,'BLOQUES PATRON (pulg) '!$Z$5:$Z$86),IF('conversion datos'!$L$30='Patrones LACOMET'!$D$4,LOOKUP(B61,'BLOQUES PATRON (mm)'!$O$5:$O$126,'BLOQUES PATRON (mm)'!$U$5:$U$126),"No existe el patrón")))</f>
        <v/>
      </c>
      <c r="K61" s="677" t="str">
        <f aca="false">IF(B61="","",SQRT((H61^2)+(J61^2)+(I61^2)))</f>
        <v/>
      </c>
      <c r="L61" s="695" t="str">
        <f aca="false">IF(B61="","",$G$4)</f>
        <v/>
      </c>
      <c r="M61" s="695" t="str">
        <f aca="false">IF(B61="","",($G$5))</f>
        <v/>
      </c>
      <c r="N61" s="695" t="str">
        <f aca="false">IF(B61="","",($G$6))</f>
        <v/>
      </c>
      <c r="O61" s="696" t="str">
        <f aca="false">IF(B61="","",(($G$7)))</f>
        <v/>
      </c>
      <c r="P61" s="697" t="str">
        <f aca="false">IF(B61="","",$G$8)</f>
        <v/>
      </c>
      <c r="Q61" s="698" t="str">
        <f aca="false">IF(B61="","",SQRT((L61^2)*(M61^2)+(N61^2)+(O61^2)+(P61^2)))</f>
        <v/>
      </c>
      <c r="R61" s="699" t="str">
        <f aca="false">IF(B61="","",($G$12))</f>
        <v/>
      </c>
      <c r="S61" s="699" t="str">
        <f aca="false">IF(B61="","",($G$13))</f>
        <v/>
      </c>
      <c r="T61" s="700" t="str">
        <f aca="false">IF(B61="","",+$F$14/SQRT(12))</f>
        <v/>
      </c>
      <c r="U61" s="684" t="str">
        <f aca="false">IF(B61="","",(($M$17)/2)*1000)</f>
        <v/>
      </c>
      <c r="V61" s="685" t="str">
        <f aca="false">+IF(B61="","",+$G$15)</f>
        <v/>
      </c>
      <c r="W61" s="685" t="str">
        <f aca="false">+IF(B61="","",+$G$16)</f>
        <v/>
      </c>
      <c r="X61" s="685" t="str">
        <f aca="false">+IF(B61="","",+$G$17)</f>
        <v/>
      </c>
      <c r="Y61" s="686" t="str">
        <f aca="false">+IF(B61="","",K61*$G$9)</f>
        <v/>
      </c>
      <c r="Z61" s="686" t="str">
        <f aca="false">+IF(B61="","",K61*$G$12)</f>
        <v/>
      </c>
      <c r="AA61" s="686" t="str">
        <f aca="false">+IF(B61="","",K61*$G$13)</f>
        <v/>
      </c>
      <c r="AB61" s="686" t="str">
        <f aca="false">+IF(B61="","",K61*T61)</f>
        <v/>
      </c>
      <c r="AC61" s="687" t="str">
        <f aca="false">IF(B61="","",('SENSIBILIDAD 2'!B38^2)*(G61^2))</f>
        <v/>
      </c>
      <c r="AD61" s="688" t="str">
        <f aca="false">IF(B61="","",('SENSIBILIDAD 2'!C38^2)*(K61^2))</f>
        <v/>
      </c>
      <c r="AE61" s="688" t="str">
        <f aca="false">IF(B61="","",'SENSIBILIDAD 2'!D38^2*(R61^2))</f>
        <v/>
      </c>
      <c r="AF61" s="688" t="str">
        <f aca="false">IF(B61="","",'SENSIBILIDAD 2'!E38^2*(S61^2))</f>
        <v/>
      </c>
      <c r="AG61" s="688" t="str">
        <f aca="false">IF(B61="","",'SENSIBILIDAD 2'!F38^2*(T61^2))</f>
        <v/>
      </c>
      <c r="AH61" s="688" t="str">
        <f aca="false">IF(B61="","",(('SENSIBILIDAD 2'!G38)^2)*(Q61^2))</f>
        <v/>
      </c>
      <c r="AI61" s="688" t="str">
        <f aca="false">IF(B61="","",'SENSIBILIDAD 2'!H38^2*(U61^2))</f>
        <v/>
      </c>
      <c r="AJ61" s="688" t="str">
        <f aca="false">IF(B61="","",'SENSIBILIDAD 2'!M38^2*(V61^2))</f>
        <v/>
      </c>
      <c r="AK61" s="688" t="str">
        <f aca="false">IF(B61="","",'SENSIBILIDAD 2'!N38^2*(W61^2))</f>
        <v/>
      </c>
      <c r="AL61" s="688" t="str">
        <f aca="false">IF(B61="","",'SENSIBILIDAD 2'!O38^2*(X61^2))</f>
        <v/>
      </c>
      <c r="AM61" s="688" t="str">
        <f aca="false">IF($B61="","",(Y61^2)*('SENSIBILIDAD 2'!K38^2))</f>
        <v/>
      </c>
      <c r="AN61" s="688" t="str">
        <f aca="false">IF($B61="","",(Z61^2)*('SENSIBILIDAD 2'!I38^2))</f>
        <v/>
      </c>
      <c r="AO61" s="688" t="str">
        <f aca="false">IF($B61="","",(AA61^2)*('SENSIBILIDAD 2'!J38^2))</f>
        <v/>
      </c>
      <c r="AP61" s="688" t="str">
        <f aca="false">IF($B61="","",(AB61^2)*('SENSIBILIDAD 2'!L38^2))</f>
        <v/>
      </c>
      <c r="AQ61" s="689" t="str">
        <f aca="false">IF(B61="","",SQRT(AC61+AD61+AE61+AF61+AG61+AH61+AI61+AJ61+AK61+AL61+AM61+AN61+AO61+AP61))</f>
        <v/>
      </c>
      <c r="AR61" s="701" t="str">
        <f aca="false">IF(B61="","",2*AQ61)</f>
        <v/>
      </c>
      <c r="AS61" s="702" t="str">
        <f aca="false">IF(B61="","",+AR61/1000)</f>
        <v/>
      </c>
      <c r="AT61" s="692" t="str">
        <f aca="false">IF('conversion datos'!$L$30='Patrones LACOMET'!$D$3,(IF(N61="","",AS61*39.37008)),IF('conversion datos'!$L$30='Patrones LACOMET'!$D$4,AS61,"No existe el patrón"))</f>
        <v/>
      </c>
      <c r="BI61" s="564"/>
      <c r="BJ61" s="564"/>
      <c r="BK61" s="564"/>
      <c r="BL61" s="564"/>
      <c r="BM61" s="655"/>
      <c r="BN61" s="655"/>
    </row>
    <row r="62" customFormat="false" ht="19.5" hidden="false" customHeight="true" outlineLevel="0" collapsed="false">
      <c r="A62" s="81" t="n">
        <f aca="false">+CALIBRACION!A45</f>
        <v>34</v>
      </c>
      <c r="B62" s="672" t="str">
        <f aca="false">IF(CALIBRACION!H45="","",CALIBRACION!H45)</f>
        <v/>
      </c>
      <c r="C62" s="693" t="str">
        <f aca="false">IF(B62="","",+($F$20)/SQRT((5)))</f>
        <v/>
      </c>
      <c r="D62" s="693" t="str">
        <f aca="false">IF(B62="","",$F$21/SQRT((3)))</f>
        <v/>
      </c>
      <c r="E62" s="693" t="str">
        <f aca="false">IF(B62="","",$F$22/(SQRT(12)))</f>
        <v/>
      </c>
      <c r="F62" s="693" t="str">
        <f aca="false">IF(B62="","",$F$23/(SQRT(3)))</f>
        <v/>
      </c>
      <c r="G62" s="694" t="str">
        <f aca="false">IF(B62="","",(SQRT((+C62^2+D62^2+E62^2+F62^2))/(10^-3)))</f>
        <v/>
      </c>
      <c r="H62" s="675" t="str">
        <f aca="false">IF(B62="","",(IF('conversion datos'!$L$30='Patrones LACOMET'!$D$3,(VLOOKUP(B62,'BLOQUES PATRON (pulg) '!$K$5:$Q$91,6,FALSE())*1000),IF('conversion datos'!$L$30='Patrones LACOMET'!$D$4,(VLOOKUP(B62,'BLOQUES PATRON (mm)'!$D$5:$H$126,5,FALSE())),"No existe el patrón"))))</f>
        <v/>
      </c>
      <c r="I62" s="676" t="str">
        <f aca="false">IF(B62="","",0.42^2)</f>
        <v/>
      </c>
      <c r="J62" s="676" t="str">
        <f aca="false">IF(B62="","",IF('conversion datos'!$L$30='Patrones LACOMET'!$D$3,LOOKUP(B62,'BLOQUES PATRON (pulg) '!$S$5:$S$86,'BLOQUES PATRON (pulg) '!$Z$5:$Z$86),IF('conversion datos'!$L$30='Patrones LACOMET'!$D$4,LOOKUP(B62,'BLOQUES PATRON (mm)'!$O$5:$O$126,'BLOQUES PATRON (mm)'!$U$5:$U$126),"No existe el patrón")))</f>
        <v/>
      </c>
      <c r="K62" s="677" t="str">
        <f aca="false">IF(B62="","",SQRT((H62^2)+(J62^2)+(I62^2)))</f>
        <v/>
      </c>
      <c r="L62" s="695" t="str">
        <f aca="false">IF(B62="","",$G$4)</f>
        <v/>
      </c>
      <c r="M62" s="695" t="str">
        <f aca="false">IF(B62="","",($G$5))</f>
        <v/>
      </c>
      <c r="N62" s="695" t="str">
        <f aca="false">IF(B62="","",($G$6))</f>
        <v/>
      </c>
      <c r="O62" s="696" t="str">
        <f aca="false">IF(B62="","",(($G$7)))</f>
        <v/>
      </c>
      <c r="P62" s="697" t="str">
        <f aca="false">IF(B62="","",$G$8)</f>
        <v/>
      </c>
      <c r="Q62" s="698" t="str">
        <f aca="false">IF(B62="","",SQRT((L62^2)*(M62^2)+(N62^2)+(O62^2)+(P62^2)))</f>
        <v/>
      </c>
      <c r="R62" s="699" t="str">
        <f aca="false">IF(B62="","",($G$12))</f>
        <v/>
      </c>
      <c r="S62" s="699" t="str">
        <f aca="false">IF(B62="","",($G$13))</f>
        <v/>
      </c>
      <c r="T62" s="700" t="str">
        <f aca="false">IF(B62="","",+$F$14/SQRT(12))</f>
        <v/>
      </c>
      <c r="U62" s="684" t="str">
        <f aca="false">IF(B62="","",(($M$17)/2)*1000)</f>
        <v/>
      </c>
      <c r="V62" s="685" t="str">
        <f aca="false">+IF(B62="","",+$G$15)</f>
        <v/>
      </c>
      <c r="W62" s="685" t="str">
        <f aca="false">+IF(B62="","",+$G$16)</f>
        <v/>
      </c>
      <c r="X62" s="685" t="str">
        <f aca="false">+IF(B62="","",+$G$17)</f>
        <v/>
      </c>
      <c r="Y62" s="686" t="str">
        <f aca="false">+IF(B62="","",K62*$G$9)</f>
        <v/>
      </c>
      <c r="Z62" s="686" t="str">
        <f aca="false">+IF(B62="","",K62*$G$12)</f>
        <v/>
      </c>
      <c r="AA62" s="686" t="str">
        <f aca="false">+IF(B62="","",K62*$G$13)</f>
        <v/>
      </c>
      <c r="AB62" s="686" t="str">
        <f aca="false">+IF(B62="","",K62*T62)</f>
        <v/>
      </c>
      <c r="AC62" s="687" t="str">
        <f aca="false">IF(B62="","",('SENSIBILIDAD 2'!B39^2)*(G62^2))</f>
        <v/>
      </c>
      <c r="AD62" s="688" t="str">
        <f aca="false">IF(B62="","",('SENSIBILIDAD 2'!C39^2)*(K62^2))</f>
        <v/>
      </c>
      <c r="AE62" s="688" t="str">
        <f aca="false">IF(B62="","",'SENSIBILIDAD 2'!D39^2*(R62^2))</f>
        <v/>
      </c>
      <c r="AF62" s="688" t="str">
        <f aca="false">IF(B62="","",'SENSIBILIDAD 2'!E39^2*(S62^2))</f>
        <v/>
      </c>
      <c r="AG62" s="688" t="str">
        <f aca="false">IF(B62="","",'SENSIBILIDAD 2'!F39^2*(T62^2))</f>
        <v/>
      </c>
      <c r="AH62" s="688" t="str">
        <f aca="false">IF(B62="","",(('SENSIBILIDAD 2'!G39)^2)*(Q62^2))</f>
        <v/>
      </c>
      <c r="AI62" s="688" t="str">
        <f aca="false">IF(B62="","",'SENSIBILIDAD 2'!H39^2*(U62^2))</f>
        <v/>
      </c>
      <c r="AJ62" s="688" t="str">
        <f aca="false">IF(B62="","",'SENSIBILIDAD 2'!M39^2*(V62^2))</f>
        <v/>
      </c>
      <c r="AK62" s="688" t="str">
        <f aca="false">IF(B62="","",'SENSIBILIDAD 2'!N39^2*(W62^2))</f>
        <v/>
      </c>
      <c r="AL62" s="688" t="str">
        <f aca="false">IF(B62="","",'SENSIBILIDAD 2'!O39^2*(X62^2))</f>
        <v/>
      </c>
      <c r="AM62" s="688" t="str">
        <f aca="false">IF($B62="","",(Y62^2)*('SENSIBILIDAD 2'!K39^2))</f>
        <v/>
      </c>
      <c r="AN62" s="688" t="str">
        <f aca="false">IF($B62="","",(Z62^2)*('SENSIBILIDAD 2'!I39^2))</f>
        <v/>
      </c>
      <c r="AO62" s="688" t="str">
        <f aca="false">IF($B62="","",(AA62^2)*('SENSIBILIDAD 2'!J39^2))</f>
        <v/>
      </c>
      <c r="AP62" s="688" t="str">
        <f aca="false">IF($B62="","",(AB62^2)*('SENSIBILIDAD 2'!L39^2))</f>
        <v/>
      </c>
      <c r="AQ62" s="689" t="str">
        <f aca="false">IF(B62="","",SQRT(AC62+AD62+AE62+AF62+AG62+AH62+AI62+AJ62+AK62+AL62+AM62+AN62+AO62+AP62))</f>
        <v/>
      </c>
      <c r="AR62" s="701" t="str">
        <f aca="false">IF(B62="","",2*AQ62)</f>
        <v/>
      </c>
      <c r="AS62" s="702" t="str">
        <f aca="false">IF(B62="","",+AR62/1000)</f>
        <v/>
      </c>
      <c r="AT62" s="692" t="str">
        <f aca="false">IF('conversion datos'!$L$30='Patrones LACOMET'!$D$3,(IF(N62="","",AS62*39.37008)),IF('conversion datos'!$L$30='Patrones LACOMET'!$D$4,AS62,"No existe el patrón"))</f>
        <v/>
      </c>
      <c r="BI62" s="564"/>
      <c r="BJ62" s="564"/>
      <c r="BK62" s="564"/>
      <c r="BL62" s="564"/>
      <c r="BM62" s="655"/>
      <c r="BN62" s="655"/>
    </row>
    <row r="63" customFormat="false" ht="19.5" hidden="false" customHeight="true" outlineLevel="0" collapsed="false">
      <c r="A63" s="81" t="n">
        <f aca="false">+CALIBRACION!A46</f>
        <v>35</v>
      </c>
      <c r="B63" s="672" t="str">
        <f aca="false">IF(CALIBRACION!H46="","",CALIBRACION!H46)</f>
        <v/>
      </c>
      <c r="C63" s="693" t="str">
        <f aca="false">IF(B63="","",+($F$20)/SQRT((5)))</f>
        <v/>
      </c>
      <c r="D63" s="693" t="str">
        <f aca="false">IF(B63="","",$F$21/SQRT((3)))</f>
        <v/>
      </c>
      <c r="E63" s="693" t="str">
        <f aca="false">IF(B63="","",$F$22/(SQRT(12)))</f>
        <v/>
      </c>
      <c r="F63" s="693" t="str">
        <f aca="false">IF(B63="","",$F$23/(SQRT(3)))</f>
        <v/>
      </c>
      <c r="G63" s="694" t="str">
        <f aca="false">IF(B63="","",(SQRT((+C63^2+D63^2+E63^2+F63^2))/(10^-3)))</f>
        <v/>
      </c>
      <c r="H63" s="675" t="str">
        <f aca="false">IF(B63="","",(IF('conversion datos'!$L$30='Patrones LACOMET'!$D$3,(VLOOKUP(B63,'BLOQUES PATRON (pulg) '!$K$5:$Q$91,6,FALSE())*1000),IF('conversion datos'!$L$30='Patrones LACOMET'!$D$4,(VLOOKUP(B63,'BLOQUES PATRON (mm)'!$D$5:$H$126,5,FALSE())),"No existe el patrón"))))</f>
        <v/>
      </c>
      <c r="I63" s="676" t="str">
        <f aca="false">IF(B63="","",0.42^2)</f>
        <v/>
      </c>
      <c r="J63" s="676" t="str">
        <f aca="false">IF(B63="","",IF('conversion datos'!$L$30='Patrones LACOMET'!$D$3,LOOKUP(B63,'BLOQUES PATRON (pulg) '!$S$5:$S$86,'BLOQUES PATRON (pulg) '!$Z$5:$Z$86),IF('conversion datos'!$L$30='Patrones LACOMET'!$D$4,LOOKUP(B63,'BLOQUES PATRON (mm)'!$O$5:$O$126,'BLOQUES PATRON (mm)'!$U$5:$U$126),"No existe el patrón")))</f>
        <v/>
      </c>
      <c r="K63" s="677" t="str">
        <f aca="false">IF(B63="","",SQRT((H63^2)+(J63^2)+(I63^2)))</f>
        <v/>
      </c>
      <c r="L63" s="695" t="str">
        <f aca="false">IF(B63="","",$G$4)</f>
        <v/>
      </c>
      <c r="M63" s="695" t="str">
        <f aca="false">IF(B63="","",($G$5))</f>
        <v/>
      </c>
      <c r="N63" s="695" t="str">
        <f aca="false">IF(B63="","",($G$6))</f>
        <v/>
      </c>
      <c r="O63" s="696" t="str">
        <f aca="false">IF(B63="","",(($G$7)))</f>
        <v/>
      </c>
      <c r="P63" s="697" t="str">
        <f aca="false">IF(B63="","",$G$8)</f>
        <v/>
      </c>
      <c r="Q63" s="698" t="str">
        <f aca="false">IF(B63="","",SQRT((L63^2)*(M63^2)+(N63^2)+(O63^2)+(P63^2)))</f>
        <v/>
      </c>
      <c r="R63" s="699" t="str">
        <f aca="false">IF(B63="","",($G$12))</f>
        <v/>
      </c>
      <c r="S63" s="699" t="str">
        <f aca="false">IF(B63="","",($G$13))</f>
        <v/>
      </c>
      <c r="T63" s="700" t="str">
        <f aca="false">IF(B63="","",+$F$14/SQRT(12))</f>
        <v/>
      </c>
      <c r="U63" s="684" t="str">
        <f aca="false">IF(B63="","",(($M$17)/2)*1000)</f>
        <v/>
      </c>
      <c r="V63" s="685" t="str">
        <f aca="false">+IF(B63="","",+$G$15)</f>
        <v/>
      </c>
      <c r="W63" s="685" t="str">
        <f aca="false">+IF(B63="","",+$G$16)</f>
        <v/>
      </c>
      <c r="X63" s="685" t="str">
        <f aca="false">+IF(B63="","",+$G$17)</f>
        <v/>
      </c>
      <c r="Y63" s="686" t="str">
        <f aca="false">+IF(B63="","",K63*$G$9)</f>
        <v/>
      </c>
      <c r="Z63" s="686" t="str">
        <f aca="false">+IF(B63="","",K63*$G$12)</f>
        <v/>
      </c>
      <c r="AA63" s="686" t="str">
        <f aca="false">+IF(B63="","",K63*$G$13)</f>
        <v/>
      </c>
      <c r="AB63" s="686" t="str">
        <f aca="false">+IF(B63="","",K63*T63)</f>
        <v/>
      </c>
      <c r="AC63" s="687" t="str">
        <f aca="false">IF(B63="","",('SENSIBILIDAD 2'!B40^2)*(G63^2))</f>
        <v/>
      </c>
      <c r="AD63" s="688" t="str">
        <f aca="false">IF(B63="","",('SENSIBILIDAD 2'!C40^2)*(K63^2))</f>
        <v/>
      </c>
      <c r="AE63" s="688" t="str">
        <f aca="false">IF(B63="","",'SENSIBILIDAD 2'!D40^2*(R63^2))</f>
        <v/>
      </c>
      <c r="AF63" s="688" t="str">
        <f aca="false">IF(B63="","",'SENSIBILIDAD 2'!E40^2*(S63^2))</f>
        <v/>
      </c>
      <c r="AG63" s="688" t="str">
        <f aca="false">IF(B63="","",'SENSIBILIDAD 2'!F40^2*(T63^2))</f>
        <v/>
      </c>
      <c r="AH63" s="688" t="str">
        <f aca="false">IF(B63="","",(('SENSIBILIDAD 2'!G40)^2)*(Q63^2))</f>
        <v/>
      </c>
      <c r="AI63" s="688" t="str">
        <f aca="false">IF(B63="","",'SENSIBILIDAD 2'!H40^2*(U63^2))</f>
        <v/>
      </c>
      <c r="AJ63" s="688" t="str">
        <f aca="false">IF(B63="","",'SENSIBILIDAD 2'!M40^2*(V63^2))</f>
        <v/>
      </c>
      <c r="AK63" s="688" t="str">
        <f aca="false">IF(B63="","",'SENSIBILIDAD 2'!N40^2*(W63^2))</f>
        <v/>
      </c>
      <c r="AL63" s="688" t="str">
        <f aca="false">IF(B63="","",'SENSIBILIDAD 2'!O40^2*(X63^2))</f>
        <v/>
      </c>
      <c r="AM63" s="688" t="str">
        <f aca="false">IF($B63="","",(Y63^2)*('SENSIBILIDAD 2'!K40^2))</f>
        <v/>
      </c>
      <c r="AN63" s="688" t="str">
        <f aca="false">IF($B63="","",(Z63^2)*('SENSIBILIDAD 2'!I40^2))</f>
        <v/>
      </c>
      <c r="AO63" s="688" t="str">
        <f aca="false">IF($B63="","",(AA63^2)*('SENSIBILIDAD 2'!J40^2))</f>
        <v/>
      </c>
      <c r="AP63" s="688" t="str">
        <f aca="false">IF($B63="","",(AB63^2)*('SENSIBILIDAD 2'!L40^2))</f>
        <v/>
      </c>
      <c r="AQ63" s="689" t="str">
        <f aca="false">IF(B63="","",SQRT(AC63+AD63+AE63+AF63+AG63+AH63+AI63+AJ63+AK63+AL63+AM63+AN63+AO63+AP63))</f>
        <v/>
      </c>
      <c r="AR63" s="701" t="str">
        <f aca="false">IF(B63="","",2*AQ63)</f>
        <v/>
      </c>
      <c r="AS63" s="702" t="str">
        <f aca="false">IF(B63="","",+AR63/1000)</f>
        <v/>
      </c>
      <c r="AT63" s="692" t="str">
        <f aca="false">IF('conversion datos'!$L$30='Patrones LACOMET'!$D$3,(IF(N63="","",AS63*39.37008)),IF('conversion datos'!$L$30='Patrones LACOMET'!$D$4,AS63,"No existe el patrón"))</f>
        <v/>
      </c>
      <c r="BI63" s="564"/>
      <c r="BJ63" s="564"/>
      <c r="BK63" s="564"/>
      <c r="BL63" s="564"/>
      <c r="BM63" s="655"/>
      <c r="BN63" s="655"/>
    </row>
    <row r="64" customFormat="false" ht="19.5" hidden="false" customHeight="true" outlineLevel="0" collapsed="false">
      <c r="A64" s="81" t="n">
        <f aca="false">+CALIBRACION!A47</f>
        <v>36</v>
      </c>
      <c r="B64" s="672" t="str">
        <f aca="false">IF(CALIBRACION!H47="","",CALIBRACION!H47)</f>
        <v/>
      </c>
      <c r="C64" s="693" t="str">
        <f aca="false">IF(B64="","",+($F$20)/SQRT((5)))</f>
        <v/>
      </c>
      <c r="D64" s="693" t="str">
        <f aca="false">IF(B64="","",$F$21/SQRT((3)))</f>
        <v/>
      </c>
      <c r="E64" s="693" t="str">
        <f aca="false">IF(B64="","",$F$22/(SQRT(12)))</f>
        <v/>
      </c>
      <c r="F64" s="693" t="str">
        <f aca="false">IF(B64="","",$F$23/(SQRT(3)))</f>
        <v/>
      </c>
      <c r="G64" s="694" t="str">
        <f aca="false">IF(B64="","",(SQRT((+C64^2+D64^2+E64^2+F64^2))/(10^-3)))</f>
        <v/>
      </c>
      <c r="H64" s="675" t="str">
        <f aca="false">IF(B64="","",(IF('conversion datos'!$L$30='Patrones LACOMET'!$D$3,(VLOOKUP(B64,'BLOQUES PATRON (pulg) '!$K$5:$Q$91,6,FALSE())*1000),IF('conversion datos'!$L$30='Patrones LACOMET'!$D$4,(VLOOKUP(B64,'BLOQUES PATRON (mm)'!$D$5:$H$126,5,FALSE())),"No existe el patrón"))))</f>
        <v/>
      </c>
      <c r="I64" s="676" t="str">
        <f aca="false">IF(B64="","",0.42^2)</f>
        <v/>
      </c>
      <c r="J64" s="676" t="str">
        <f aca="false">IF(B64="","",IF('conversion datos'!$L$30='Patrones LACOMET'!$D$3,LOOKUP(B64,'BLOQUES PATRON (pulg) '!$S$5:$S$86,'BLOQUES PATRON (pulg) '!$Z$5:$Z$86),IF('conversion datos'!$L$30='Patrones LACOMET'!$D$4,LOOKUP(B64,'BLOQUES PATRON (mm)'!$O$5:$O$126,'BLOQUES PATRON (mm)'!$U$5:$U$126),"No existe el patrón")))</f>
        <v/>
      </c>
      <c r="K64" s="677" t="str">
        <f aca="false">IF(B64="","",SQRT((H64^2)+(J64^2)+(I64^2)))</f>
        <v/>
      </c>
      <c r="L64" s="695" t="str">
        <f aca="false">IF(B64="","",$G$4)</f>
        <v/>
      </c>
      <c r="M64" s="695" t="str">
        <f aca="false">IF(B64="","",($G$5))</f>
        <v/>
      </c>
      <c r="N64" s="695" t="str">
        <f aca="false">IF(B64="","",($G$6))</f>
        <v/>
      </c>
      <c r="O64" s="696" t="str">
        <f aca="false">IF(B64="","",(($G$7)))</f>
        <v/>
      </c>
      <c r="P64" s="697" t="str">
        <f aca="false">IF(B64="","",$G$8)</f>
        <v/>
      </c>
      <c r="Q64" s="698" t="str">
        <f aca="false">IF(B64="","",SQRT((L64^2)*(M64^2)+(N64^2)+(O64^2)+(P64^2)))</f>
        <v/>
      </c>
      <c r="R64" s="699" t="str">
        <f aca="false">IF(B64="","",($G$12))</f>
        <v/>
      </c>
      <c r="S64" s="699" t="str">
        <f aca="false">IF(B64="","",($G$13))</f>
        <v/>
      </c>
      <c r="T64" s="700" t="str">
        <f aca="false">IF(B64="","",+$F$14/SQRT(12))</f>
        <v/>
      </c>
      <c r="U64" s="684" t="str">
        <f aca="false">IF(B64="","",(($M$17)/2)*1000)</f>
        <v/>
      </c>
      <c r="V64" s="685" t="str">
        <f aca="false">+IF(B64="","",+$G$15)</f>
        <v/>
      </c>
      <c r="W64" s="685" t="str">
        <f aca="false">+IF(B64="","",+$G$16)</f>
        <v/>
      </c>
      <c r="X64" s="685" t="str">
        <f aca="false">+IF(B64="","",+$G$17)</f>
        <v/>
      </c>
      <c r="Y64" s="686" t="str">
        <f aca="false">+IF(B64="","",K64*$G$9)</f>
        <v/>
      </c>
      <c r="Z64" s="686" t="str">
        <f aca="false">+IF(B64="","",K64*$G$12)</f>
        <v/>
      </c>
      <c r="AA64" s="686" t="str">
        <f aca="false">+IF(B64="","",K64*$G$13)</f>
        <v/>
      </c>
      <c r="AB64" s="686" t="str">
        <f aca="false">+IF(B64="","",K64*T64)</f>
        <v/>
      </c>
      <c r="AC64" s="687" t="str">
        <f aca="false">IF(B64="","",('SENSIBILIDAD 2'!B41^2)*(G64^2))</f>
        <v/>
      </c>
      <c r="AD64" s="688" t="str">
        <f aca="false">IF(B64="","",('SENSIBILIDAD 2'!C41^2)*(K64^2))</f>
        <v/>
      </c>
      <c r="AE64" s="688" t="str">
        <f aca="false">IF(B64="","",'SENSIBILIDAD 2'!D41^2*(R64^2))</f>
        <v/>
      </c>
      <c r="AF64" s="688" t="str">
        <f aca="false">IF(B64="","",'SENSIBILIDAD 2'!E41^2*(S64^2))</f>
        <v/>
      </c>
      <c r="AG64" s="688" t="str">
        <f aca="false">IF(B64="","",'SENSIBILIDAD 2'!F41^2*(T64^2))</f>
        <v/>
      </c>
      <c r="AH64" s="688" t="str">
        <f aca="false">IF(B64="","",(('SENSIBILIDAD 2'!G41)^2)*(Q64^2))</f>
        <v/>
      </c>
      <c r="AI64" s="688" t="str">
        <f aca="false">IF(B64="","",'SENSIBILIDAD 2'!H41^2*(U64^2))</f>
        <v/>
      </c>
      <c r="AJ64" s="688" t="str">
        <f aca="false">IF(B64="","",'SENSIBILIDAD 2'!M41^2*(V64^2))</f>
        <v/>
      </c>
      <c r="AK64" s="688" t="str">
        <f aca="false">IF(B64="","",'SENSIBILIDAD 2'!N41^2*(W64^2))</f>
        <v/>
      </c>
      <c r="AL64" s="688" t="str">
        <f aca="false">IF(B64="","",'SENSIBILIDAD 2'!O41^2*(X64^2))</f>
        <v/>
      </c>
      <c r="AM64" s="688" t="str">
        <f aca="false">IF($B64="","",(Y64^2)*('SENSIBILIDAD 2'!K41^2))</f>
        <v/>
      </c>
      <c r="AN64" s="688" t="str">
        <f aca="false">IF($B64="","",(Z64^2)*('SENSIBILIDAD 2'!I41^2))</f>
        <v/>
      </c>
      <c r="AO64" s="688" t="str">
        <f aca="false">IF($B64="","",(AA64^2)*('SENSIBILIDAD 2'!J41^2))</f>
        <v/>
      </c>
      <c r="AP64" s="688" t="str">
        <f aca="false">IF($B64="","",(AB64^2)*('SENSIBILIDAD 2'!L41^2))</f>
        <v/>
      </c>
      <c r="AQ64" s="689" t="str">
        <f aca="false">IF(B64="","",SQRT(AC64+AD64+AE64+AF64+AG64+AH64+AI64+AJ64+AK64+AL64+AM64+AN64+AO64+AP64))</f>
        <v/>
      </c>
      <c r="AR64" s="701" t="str">
        <f aca="false">IF(B64="","",2*AQ64)</f>
        <v/>
      </c>
      <c r="AS64" s="702" t="str">
        <f aca="false">IF(B64="","",+AR64/1000)</f>
        <v/>
      </c>
      <c r="AT64" s="692" t="str">
        <f aca="false">IF('conversion datos'!$L$30='Patrones LACOMET'!$D$3,(IF(N64="","",AS64*39.37008)),IF('conversion datos'!$L$30='Patrones LACOMET'!$D$4,AS64,"No existe el patrón"))</f>
        <v/>
      </c>
      <c r="BI64" s="564"/>
      <c r="BJ64" s="564"/>
      <c r="BK64" s="564"/>
      <c r="BL64" s="564"/>
      <c r="BM64" s="655"/>
      <c r="BN64" s="655"/>
    </row>
    <row r="65" customFormat="false" ht="19.5" hidden="false" customHeight="true" outlineLevel="0" collapsed="false">
      <c r="A65" s="81" t="n">
        <f aca="false">+CALIBRACION!A48</f>
        <v>37</v>
      </c>
      <c r="B65" s="672" t="str">
        <f aca="false">IF(CALIBRACION!H48="","",CALIBRACION!H48)</f>
        <v/>
      </c>
      <c r="C65" s="693" t="str">
        <f aca="false">IF(B65="","",+($F$20)/SQRT((5)))</f>
        <v/>
      </c>
      <c r="D65" s="693" t="str">
        <f aca="false">IF(B65="","",$F$21/SQRT((3)))</f>
        <v/>
      </c>
      <c r="E65" s="693" t="str">
        <f aca="false">IF(B65="","",$F$22/(SQRT(12)))</f>
        <v/>
      </c>
      <c r="F65" s="693" t="str">
        <f aca="false">IF(B65="","",$F$23/(SQRT(3)))</f>
        <v/>
      </c>
      <c r="G65" s="694" t="str">
        <f aca="false">IF(B65="","",(SQRT((+C65^2+D65^2+E65^2+F65^2))/(10^-3)))</f>
        <v/>
      </c>
      <c r="H65" s="675" t="str">
        <f aca="false">IF(B65="","",(IF('conversion datos'!$L$30='Patrones LACOMET'!$D$3,(VLOOKUP(B65,'BLOQUES PATRON (pulg) '!$K$5:$Q$86,6,FALSE())*1000),IF('conversion datos'!$L$30='Patrones LACOMET'!$D$4,(VLOOKUP(B65,'BLOQUES PATRON (mm)'!$D$5:$H$126,5,FALSE())),"No existe el patrón"))))</f>
        <v/>
      </c>
      <c r="I65" s="676" t="str">
        <f aca="false">IF(B65="","",0.42^2)</f>
        <v/>
      </c>
      <c r="J65" s="676" t="str">
        <f aca="false">IF(B65="","",IF('conversion datos'!$L$30='Patrones LACOMET'!$D$3,LOOKUP(B65,'BLOQUES PATRON (pulg) '!$S$5:$S$86,'BLOQUES PATRON (pulg) '!$Z$5:$Z$86),IF('conversion datos'!$L$30='Patrones LACOMET'!$D$4,LOOKUP(B65,'BLOQUES PATRON (mm)'!$O$5:$O$126,'BLOQUES PATRON (mm)'!$U$5:$U$126),"No existe el patrón")))</f>
        <v/>
      </c>
      <c r="K65" s="677" t="str">
        <f aca="false">IF(B65="","",SQRT((H65^2)+(J65^2)+(I65^2)))</f>
        <v/>
      </c>
      <c r="L65" s="695" t="str">
        <f aca="false">IF(B65="","",$G$4)</f>
        <v/>
      </c>
      <c r="M65" s="695" t="str">
        <f aca="false">IF(B65="","",($G$5))</f>
        <v/>
      </c>
      <c r="N65" s="695" t="str">
        <f aca="false">IF(B65="","",($G$6))</f>
        <v/>
      </c>
      <c r="O65" s="696" t="str">
        <f aca="false">IF(B65="","",(($G$7)))</f>
        <v/>
      </c>
      <c r="P65" s="697" t="str">
        <f aca="false">IF(B65="","",$G$8)</f>
        <v/>
      </c>
      <c r="Q65" s="698" t="str">
        <f aca="false">IF(B65="","",SQRT((L65^2)*(M65^2)+(N65^2)+(O65^2)+(P65^2)))</f>
        <v/>
      </c>
      <c r="R65" s="699" t="str">
        <f aca="false">IF(B65="","",($G$12))</f>
        <v/>
      </c>
      <c r="S65" s="699" t="str">
        <f aca="false">IF(B65="","",($G$13))</f>
        <v/>
      </c>
      <c r="T65" s="700" t="str">
        <f aca="false">IF(B65="","",+$F$14/SQRT(12))</f>
        <v/>
      </c>
      <c r="U65" s="684" t="str">
        <f aca="false">IF(B65="","",(($M$17)/2)*1000)</f>
        <v/>
      </c>
      <c r="V65" s="685" t="str">
        <f aca="false">+IF(B65="","",+$G$15)</f>
        <v/>
      </c>
      <c r="W65" s="685" t="str">
        <f aca="false">+IF(B65="","",+$G$16)</f>
        <v/>
      </c>
      <c r="X65" s="685" t="str">
        <f aca="false">+IF(B65="","",+$G$17)</f>
        <v/>
      </c>
      <c r="Y65" s="686" t="str">
        <f aca="false">+IF(B65="","",K65*$G$9)</f>
        <v/>
      </c>
      <c r="Z65" s="686" t="str">
        <f aca="false">+IF(B65="","",K65*$G$12)</f>
        <v/>
      </c>
      <c r="AA65" s="686" t="str">
        <f aca="false">+IF(B65="","",K65*$G$13)</f>
        <v/>
      </c>
      <c r="AB65" s="686" t="str">
        <f aca="false">+IF(B65="","",K65*T65)</f>
        <v/>
      </c>
      <c r="AC65" s="687" t="str">
        <f aca="false">IF(B65="","",('SENSIBILIDAD 2'!B42^2)*(G65^2))</f>
        <v/>
      </c>
      <c r="AD65" s="688" t="str">
        <f aca="false">IF(B65="","",('SENSIBILIDAD 2'!C42^2)*(K65^2))</f>
        <v/>
      </c>
      <c r="AE65" s="688" t="str">
        <f aca="false">IF(B65="","",'SENSIBILIDAD 2'!D42^2*(R65^2))</f>
        <v/>
      </c>
      <c r="AF65" s="688" t="str">
        <f aca="false">IF(B65="","",'SENSIBILIDAD 2'!E42^2*(S65^2))</f>
        <v/>
      </c>
      <c r="AG65" s="688" t="str">
        <f aca="false">IF(B65="","",'SENSIBILIDAD 2'!F42^2*(T65^2))</f>
        <v/>
      </c>
      <c r="AH65" s="688" t="str">
        <f aca="false">IF(B65="","",(('SENSIBILIDAD 2'!G42)^2)*(Q65^2))</f>
        <v/>
      </c>
      <c r="AI65" s="688" t="str">
        <f aca="false">IF(B65="","",'SENSIBILIDAD 2'!H42^2*(U65^2))</f>
        <v/>
      </c>
      <c r="AJ65" s="688" t="str">
        <f aca="false">IF(B65="","",'SENSIBILIDAD 2'!M42^2*(V65^2))</f>
        <v/>
      </c>
      <c r="AK65" s="688" t="str">
        <f aca="false">IF(B65="","",'SENSIBILIDAD 2'!N42^2*(W65^2))</f>
        <v/>
      </c>
      <c r="AL65" s="688" t="str">
        <f aca="false">IF(B65="","",'SENSIBILIDAD 2'!O42^2*(X65^2))</f>
        <v/>
      </c>
      <c r="AM65" s="688" t="str">
        <f aca="false">IF($B65="","",(Y65^2)*('SENSIBILIDAD 2'!K42^2))</f>
        <v/>
      </c>
      <c r="AN65" s="688" t="str">
        <f aca="false">IF($B65="","",(Z65^2)*('SENSIBILIDAD 2'!I42^2))</f>
        <v/>
      </c>
      <c r="AO65" s="688" t="str">
        <f aca="false">IF($B65="","",(AA65^2)*('SENSIBILIDAD 2'!J42^2))</f>
        <v/>
      </c>
      <c r="AP65" s="688" t="str">
        <f aca="false">IF($B65="","",(AB65^2)*('SENSIBILIDAD 2'!L42^2))</f>
        <v/>
      </c>
      <c r="AQ65" s="689" t="str">
        <f aca="false">IF(B65="","",SQRT(AC65+AD65+AE65+AF65+AG65+AH65+AI65+AJ65+AK65+AL65+AM65+AN65+AO65+AP65))</f>
        <v/>
      </c>
      <c r="AR65" s="701" t="str">
        <f aca="false">IF(B65="","",2*AQ65)</f>
        <v/>
      </c>
      <c r="AS65" s="702" t="str">
        <f aca="false">IF(B65="","",+AR65/1000)</f>
        <v/>
      </c>
      <c r="AT65" s="692" t="str">
        <f aca="false">IF('conversion datos'!$L$30='Patrones LACOMET'!$D$3,(IF(N65="","",AS65*39.37008)),IF('conversion datos'!$L$30='Patrones LACOMET'!$D$4,AS65,"No existe el patrón"))</f>
        <v/>
      </c>
      <c r="BI65" s="564"/>
      <c r="BJ65" s="564"/>
      <c r="BK65" s="564"/>
      <c r="BL65" s="564"/>
      <c r="BM65" s="655"/>
      <c r="BN65" s="655"/>
    </row>
    <row r="66" customFormat="false" ht="19.5" hidden="false" customHeight="true" outlineLevel="0" collapsed="false">
      <c r="A66" s="81" t="n">
        <f aca="false">+CALIBRACION!A49</f>
        <v>38</v>
      </c>
      <c r="B66" s="672" t="str">
        <f aca="false">IF(CALIBRACION!H49="","",CALIBRACION!H49)</f>
        <v/>
      </c>
      <c r="C66" s="693" t="str">
        <f aca="false">IF(B66="","",+($F$20)/SQRT((5)))</f>
        <v/>
      </c>
      <c r="D66" s="693" t="str">
        <f aca="false">IF(B66="","",$F$21/SQRT((3)))</f>
        <v/>
      </c>
      <c r="E66" s="693" t="str">
        <f aca="false">IF(B66="","",$F$22/(SQRT(12)))</f>
        <v/>
      </c>
      <c r="F66" s="693" t="str">
        <f aca="false">IF(B66="","",$F$23/(SQRT(3)))</f>
        <v/>
      </c>
      <c r="G66" s="694" t="str">
        <f aca="false">IF(B66="","",(SQRT((+C66^2+D66^2+E66^2+F66^2))/(10^-3)))</f>
        <v/>
      </c>
      <c r="H66" s="675" t="str">
        <f aca="false">IF(B66="","",(IF('conversion datos'!$L$30='Patrones LACOMET'!$D$3,(VLOOKUP(B66,'BLOQUES PATRON (pulg) '!$K$5:$Q$86,6,FALSE())*1000),IF('conversion datos'!$L$30='Patrones LACOMET'!$D$4,(VLOOKUP(B66,'BLOQUES PATRON (mm)'!$D$5:$H$126,5,FALSE())),"No existe el patrón"))))</f>
        <v/>
      </c>
      <c r="I66" s="676" t="str">
        <f aca="false">IF(B66="","",0.42^2)</f>
        <v/>
      </c>
      <c r="J66" s="676" t="str">
        <f aca="false">IF(B66="","",IF('conversion datos'!$L$30='Patrones LACOMET'!$D$3,LOOKUP(B66,'BLOQUES PATRON (pulg) '!$S$5:$S$86,'BLOQUES PATRON (pulg) '!$Z$5:$Z$86),IF('conversion datos'!$L$30='Patrones LACOMET'!$D$4,LOOKUP(B66,'BLOQUES PATRON (mm)'!$O$5:$O$126,'BLOQUES PATRON (mm)'!$U$5:$U$126),"No existe el patrón")))</f>
        <v/>
      </c>
      <c r="K66" s="677" t="str">
        <f aca="false">IF(B66="","",SQRT((H66^2)+(J66^2)+(I66^2)))</f>
        <v/>
      </c>
      <c r="L66" s="695" t="str">
        <f aca="false">IF(B66="","",$G$4)</f>
        <v/>
      </c>
      <c r="M66" s="695" t="str">
        <f aca="false">IF(B66="","",($G$5))</f>
        <v/>
      </c>
      <c r="N66" s="695" t="str">
        <f aca="false">IF(B66="","",($G$6))</f>
        <v/>
      </c>
      <c r="O66" s="696" t="str">
        <f aca="false">IF(B66="","",(($G$7)))</f>
        <v/>
      </c>
      <c r="P66" s="697" t="str">
        <f aca="false">IF(B66="","",$G$8)</f>
        <v/>
      </c>
      <c r="Q66" s="698" t="str">
        <f aca="false">IF(B66="","",SQRT((L66^2)*(M66^2)+(N66^2)+(O66^2)+(P66^2)))</f>
        <v/>
      </c>
      <c r="R66" s="699" t="str">
        <f aca="false">IF(B66="","",($G$12))</f>
        <v/>
      </c>
      <c r="S66" s="699" t="str">
        <f aca="false">IF(B66="","",($G$13))</f>
        <v/>
      </c>
      <c r="T66" s="700" t="str">
        <f aca="false">IF(B66="","",+$F$14/SQRT(12))</f>
        <v/>
      </c>
      <c r="U66" s="684" t="str">
        <f aca="false">IF(B66="","",(($M$17)/2)*1000)</f>
        <v/>
      </c>
      <c r="V66" s="685" t="str">
        <f aca="false">+IF(B66="","",+$G$15)</f>
        <v/>
      </c>
      <c r="W66" s="685" t="str">
        <f aca="false">+IF(B66="","",+$G$16)</f>
        <v/>
      </c>
      <c r="X66" s="685" t="str">
        <f aca="false">+IF(B66="","",+$G$17)</f>
        <v/>
      </c>
      <c r="Y66" s="686" t="str">
        <f aca="false">+IF(B66="","",K66*$G$9)</f>
        <v/>
      </c>
      <c r="Z66" s="686" t="str">
        <f aca="false">+IF(B66="","",K66*$G$12)</f>
        <v/>
      </c>
      <c r="AA66" s="686" t="str">
        <f aca="false">+IF(B66="","",K66*$G$13)</f>
        <v/>
      </c>
      <c r="AB66" s="686" t="str">
        <f aca="false">+IF(B66="","",K66*T66)</f>
        <v/>
      </c>
      <c r="AC66" s="687" t="str">
        <f aca="false">IF(B66="","",('SENSIBILIDAD 2'!B43^2)*(G66^2))</f>
        <v/>
      </c>
      <c r="AD66" s="688" t="str">
        <f aca="false">IF(B66="","",('SENSIBILIDAD 2'!C43^2)*(K66^2))</f>
        <v/>
      </c>
      <c r="AE66" s="688" t="str">
        <f aca="false">IF(B66="","",'SENSIBILIDAD 2'!D43^2*(R66^2))</f>
        <v/>
      </c>
      <c r="AF66" s="688" t="str">
        <f aca="false">IF(B66="","",'SENSIBILIDAD 2'!E43^2*(S66^2))</f>
        <v/>
      </c>
      <c r="AG66" s="688" t="str">
        <f aca="false">IF(B66="","",'SENSIBILIDAD 2'!F43^2*(T66^2))</f>
        <v/>
      </c>
      <c r="AH66" s="688" t="str">
        <f aca="false">IF(B66="","",(('SENSIBILIDAD 2'!G43)^2)*(Q66^2))</f>
        <v/>
      </c>
      <c r="AI66" s="688" t="str">
        <f aca="false">IF(B66="","",'SENSIBILIDAD 2'!H43^2*(U66^2))</f>
        <v/>
      </c>
      <c r="AJ66" s="688" t="str">
        <f aca="false">IF(B66="","",'SENSIBILIDAD 2'!M43^2*(V66^2))</f>
        <v/>
      </c>
      <c r="AK66" s="688" t="str">
        <f aca="false">IF(B66="","",'SENSIBILIDAD 2'!N43^2*(W66^2))</f>
        <v/>
      </c>
      <c r="AL66" s="688" t="str">
        <f aca="false">IF(B66="","",'SENSIBILIDAD 2'!O43^2*(X66^2))</f>
        <v/>
      </c>
      <c r="AM66" s="688" t="str">
        <f aca="false">IF($B66="","",(Y66^2)*('SENSIBILIDAD 2'!K43^2))</f>
        <v/>
      </c>
      <c r="AN66" s="688" t="str">
        <f aca="false">IF($B66="","",(Z66^2)*('SENSIBILIDAD 2'!I43^2))</f>
        <v/>
      </c>
      <c r="AO66" s="688" t="str">
        <f aca="false">IF($B66="","",(AA66^2)*('SENSIBILIDAD 2'!J43^2))</f>
        <v/>
      </c>
      <c r="AP66" s="688" t="str">
        <f aca="false">IF($B66="","",(AB66^2)*('SENSIBILIDAD 2'!L43^2))</f>
        <v/>
      </c>
      <c r="AQ66" s="689" t="str">
        <f aca="false">IF(B66="","",SQRT(AC66+AD66+AE66+AF66+AG66+AH66+AI66+AJ66+AK66+AL66+AM66+AN66+AO66+AP66))</f>
        <v/>
      </c>
      <c r="AR66" s="701" t="str">
        <f aca="false">IF(B66="","",2*AQ66)</f>
        <v/>
      </c>
      <c r="AS66" s="702" t="str">
        <f aca="false">IF(B66="","",+AR66/1000)</f>
        <v/>
      </c>
      <c r="AT66" s="692" t="str">
        <f aca="false">IF('conversion datos'!$L$30='Patrones LACOMET'!$D$3,(IF(N66="","",AS66*39.37008)),IF('conversion datos'!$L$30='Patrones LACOMET'!$D$4,AS66,"No existe el patrón"))</f>
        <v/>
      </c>
      <c r="BI66" s="564"/>
      <c r="BJ66" s="564"/>
      <c r="BK66" s="564"/>
      <c r="BL66" s="564"/>
      <c r="BM66" s="655"/>
      <c r="BN66" s="655"/>
    </row>
    <row r="67" customFormat="false" ht="19.5" hidden="false" customHeight="true" outlineLevel="0" collapsed="false">
      <c r="A67" s="81" t="n">
        <f aca="false">+CALIBRACION!A50</f>
        <v>39</v>
      </c>
      <c r="B67" s="672" t="str">
        <f aca="false">IF(CALIBRACION!H50="","",CALIBRACION!H50)</f>
        <v/>
      </c>
      <c r="C67" s="693" t="str">
        <f aca="false">IF(B67="","",+($F$20)/SQRT((5)))</f>
        <v/>
      </c>
      <c r="D67" s="693" t="str">
        <f aca="false">IF(B67="","",$F$21/SQRT((3)))</f>
        <v/>
      </c>
      <c r="E67" s="693" t="str">
        <f aca="false">IF(B67="","",$F$22/(SQRT(12)))</f>
        <v/>
      </c>
      <c r="F67" s="693" t="str">
        <f aca="false">IF(B67="","",$F$23/(SQRT(3)))</f>
        <v/>
      </c>
      <c r="G67" s="694" t="str">
        <f aca="false">IF(B67="","",(SQRT((+C67^2+D67^2+E67^2+F67^2))/(10^-3)))</f>
        <v/>
      </c>
      <c r="H67" s="675" t="str">
        <f aca="false">IF(B67="","",(IF('conversion datos'!$L$30='Patrones LACOMET'!$D$3,(VLOOKUP(B67,'BLOQUES PATRON (pulg) '!$K$5:$Q$86,6,FALSE())*1000),IF('conversion datos'!$L$30='Patrones LACOMET'!$D$4,(VLOOKUP(B67,'BLOQUES PATRON (mm)'!$D$5:$H$126,5,FALSE())),"No existe el patrón"))))</f>
        <v/>
      </c>
      <c r="I67" s="676" t="str">
        <f aca="false">IF(B67="","",0.42^2)</f>
        <v/>
      </c>
      <c r="J67" s="676" t="str">
        <f aca="false">IF(B67="","",IF('conversion datos'!$L$30='Patrones LACOMET'!$D$3,LOOKUP(B67,'BLOQUES PATRON (pulg) '!$S$5:$S$86,'BLOQUES PATRON (pulg) '!$Z$5:$Z$86),IF('conversion datos'!$L$30='Patrones LACOMET'!$D$4,LOOKUP(B67,'BLOQUES PATRON (mm)'!$O$5:$O$126,'BLOQUES PATRON (mm)'!$U$5:$U$126),"No existe el patrón")))</f>
        <v/>
      </c>
      <c r="K67" s="677" t="str">
        <f aca="false">IF(B67="","",SQRT((H67^2)+(J67^2)+(I67^2)))</f>
        <v/>
      </c>
      <c r="L67" s="695" t="str">
        <f aca="false">IF(B67="","",$G$4)</f>
        <v/>
      </c>
      <c r="M67" s="695" t="str">
        <f aca="false">IF(B67="","",($G$5))</f>
        <v/>
      </c>
      <c r="N67" s="695" t="str">
        <f aca="false">IF(B67="","",($G$6))</f>
        <v/>
      </c>
      <c r="O67" s="696" t="str">
        <f aca="false">IF(B67="","",(($G$7)))</f>
        <v/>
      </c>
      <c r="P67" s="697" t="str">
        <f aca="false">IF(B67="","",$G$8)</f>
        <v/>
      </c>
      <c r="Q67" s="698" t="str">
        <f aca="false">IF(B67="","",SQRT((L67^2)*(M67^2)+(N67^2)+(O67^2)+(P67^2)))</f>
        <v/>
      </c>
      <c r="R67" s="699" t="str">
        <f aca="false">IF(B67="","",($G$12))</f>
        <v/>
      </c>
      <c r="S67" s="699" t="str">
        <f aca="false">IF(B67="","",($G$13))</f>
        <v/>
      </c>
      <c r="T67" s="700" t="str">
        <f aca="false">IF(B67="","",+$F$14/SQRT(12))</f>
        <v/>
      </c>
      <c r="U67" s="684" t="str">
        <f aca="false">IF(B67="","",(($M$17)/2)*1000)</f>
        <v/>
      </c>
      <c r="V67" s="685" t="str">
        <f aca="false">+IF(B67="","",+$G$15)</f>
        <v/>
      </c>
      <c r="W67" s="685" t="str">
        <f aca="false">+IF(B67="","",+$G$16)</f>
        <v/>
      </c>
      <c r="X67" s="685" t="str">
        <f aca="false">+IF(B67="","",+$G$17)</f>
        <v/>
      </c>
      <c r="Y67" s="686" t="str">
        <f aca="false">+IF(B67="","",K67*$G$9)</f>
        <v/>
      </c>
      <c r="Z67" s="686" t="str">
        <f aca="false">+IF(B67="","",K67*$G$12)</f>
        <v/>
      </c>
      <c r="AA67" s="686" t="str">
        <f aca="false">+IF(B67="","",K67*$G$13)</f>
        <v/>
      </c>
      <c r="AB67" s="686" t="str">
        <f aca="false">+IF(B67="","",K67*T67)</f>
        <v/>
      </c>
      <c r="AC67" s="687" t="str">
        <f aca="false">IF(B67="","",('SENSIBILIDAD 2'!B44^2)*(G67^2))</f>
        <v/>
      </c>
      <c r="AD67" s="688" t="str">
        <f aca="false">IF(B67="","",('SENSIBILIDAD 2'!C44^2)*(K67^2))</f>
        <v/>
      </c>
      <c r="AE67" s="688" t="str">
        <f aca="false">IF(B67="","",'SENSIBILIDAD 2'!D44^2*(R67^2))</f>
        <v/>
      </c>
      <c r="AF67" s="688" t="str">
        <f aca="false">IF(B67="","",'SENSIBILIDAD 2'!E44^2*(S67^2))</f>
        <v/>
      </c>
      <c r="AG67" s="688" t="str">
        <f aca="false">IF(B67="","",'SENSIBILIDAD 2'!F44^2*(T67^2))</f>
        <v/>
      </c>
      <c r="AH67" s="688" t="str">
        <f aca="false">IF(B67="","",(('SENSIBILIDAD 2'!G44)^2)*(Q67^2))</f>
        <v/>
      </c>
      <c r="AI67" s="688" t="str">
        <f aca="false">IF(B67="","",'SENSIBILIDAD 2'!H44^2*(U67^2))</f>
        <v/>
      </c>
      <c r="AJ67" s="688" t="str">
        <f aca="false">IF(B67="","",'SENSIBILIDAD 2'!M44^2*(V67^2))</f>
        <v/>
      </c>
      <c r="AK67" s="688" t="str">
        <f aca="false">IF(B67="","",'SENSIBILIDAD 2'!N44^2*(W67^2))</f>
        <v/>
      </c>
      <c r="AL67" s="688" t="str">
        <f aca="false">IF(B67="","",'SENSIBILIDAD 2'!O44^2*(X67^2))</f>
        <v/>
      </c>
      <c r="AM67" s="688" t="str">
        <f aca="false">IF($B67="","",(Y67^2)*('SENSIBILIDAD 2'!K44^2))</f>
        <v/>
      </c>
      <c r="AN67" s="688" t="str">
        <f aca="false">IF($B67="","",(Z67^2)*('SENSIBILIDAD 2'!I44^2))</f>
        <v/>
      </c>
      <c r="AO67" s="688" t="str">
        <f aca="false">IF($B67="","",(AA67^2)*('SENSIBILIDAD 2'!J44^2))</f>
        <v/>
      </c>
      <c r="AP67" s="688" t="str">
        <f aca="false">IF($B67="","",(AB67^2)*('SENSIBILIDAD 2'!L44^2))</f>
        <v/>
      </c>
      <c r="AQ67" s="689" t="str">
        <f aca="false">IF(B67="","",SQRT(AC67+AD67+AE67+AF67+AG67+AH67+AI67+AJ67+AK67+AL67+AM67+AN67+AO67+AP67))</f>
        <v/>
      </c>
      <c r="AR67" s="701" t="str">
        <f aca="false">IF(B67="","",2*AQ67)</f>
        <v/>
      </c>
      <c r="AS67" s="702" t="str">
        <f aca="false">IF(B67="","",+AR67/1000)</f>
        <v/>
      </c>
      <c r="AT67" s="692" t="str">
        <f aca="false">IF('conversion datos'!$L$30='Patrones LACOMET'!$D$3,(IF(N67="","",AS67*39.37008)),IF('conversion datos'!$L$30='Patrones LACOMET'!$D$4,AS67,"No existe el patrón"))</f>
        <v/>
      </c>
      <c r="BI67" s="564"/>
      <c r="BJ67" s="564"/>
      <c r="BK67" s="564"/>
      <c r="BL67" s="564"/>
      <c r="BM67" s="655"/>
      <c r="BN67" s="655"/>
    </row>
    <row r="68" customFormat="false" ht="19.5" hidden="false" customHeight="true" outlineLevel="0" collapsed="false">
      <c r="A68" s="81" t="n">
        <f aca="false">+CALIBRACION!A51</f>
        <v>40</v>
      </c>
      <c r="B68" s="672" t="str">
        <f aca="false">IF(CALIBRACION!H51="","",CALIBRACION!H51)</f>
        <v/>
      </c>
      <c r="C68" s="693" t="str">
        <f aca="false">IF(B68="","",+($F$20)/SQRT((5)))</f>
        <v/>
      </c>
      <c r="D68" s="693" t="str">
        <f aca="false">IF(B68="","",$F$21/SQRT((3)))</f>
        <v/>
      </c>
      <c r="E68" s="693" t="str">
        <f aca="false">IF(B68="","",$F$22/(SQRT(12)))</f>
        <v/>
      </c>
      <c r="F68" s="693" t="str">
        <f aca="false">IF(B68="","",$F$23/(SQRT(3)))</f>
        <v/>
      </c>
      <c r="G68" s="694" t="str">
        <f aca="false">IF(B68="","",(SQRT((+C68^2+D68^2+E68^2+F68^2))/(10^-3)))</f>
        <v/>
      </c>
      <c r="H68" s="675" t="str">
        <f aca="false">IF(B68="","",(IF('conversion datos'!$L$30='Patrones LACOMET'!$D$3,(VLOOKUP(B68,'BLOQUES PATRON (pulg) '!$K$5:$Q$86,6,FALSE())*1000),IF('conversion datos'!$L$30='Patrones LACOMET'!$D$4,(VLOOKUP(B68,'BLOQUES PATRON (mm)'!$D$5:$H$126,5,FALSE())),"No existe el patrón"))))</f>
        <v/>
      </c>
      <c r="I68" s="676" t="str">
        <f aca="false">IF(B68="","",0.42^2)</f>
        <v/>
      </c>
      <c r="J68" s="676" t="str">
        <f aca="false">IF(B68="","",IF('conversion datos'!$L$30='Patrones LACOMET'!$D$3,LOOKUP(B68,'BLOQUES PATRON (pulg) '!$S$5:$S$86,'BLOQUES PATRON (pulg) '!$Z$5:$Z$86),IF('conversion datos'!$L$30='Patrones LACOMET'!$D$4,LOOKUP(B68,'BLOQUES PATRON (mm)'!$O$5:$O$126,'BLOQUES PATRON (mm)'!$U$5:$U$126),"No existe el patrón")))</f>
        <v/>
      </c>
      <c r="K68" s="677" t="str">
        <f aca="false">IF(B68="","",SQRT((H68^2)+(J68^2)+(I68^2)))</f>
        <v/>
      </c>
      <c r="L68" s="695" t="str">
        <f aca="false">IF(B68="","",$G$4)</f>
        <v/>
      </c>
      <c r="M68" s="695" t="str">
        <f aca="false">IF(B68="","",($G$5))</f>
        <v/>
      </c>
      <c r="N68" s="695" t="str">
        <f aca="false">IF(B68="","",($G$6))</f>
        <v/>
      </c>
      <c r="O68" s="696" t="str">
        <f aca="false">IF(B68="","",(($G$7)))</f>
        <v/>
      </c>
      <c r="P68" s="697" t="str">
        <f aca="false">IF(B68="","",$G$8)</f>
        <v/>
      </c>
      <c r="Q68" s="698" t="str">
        <f aca="false">IF(B68="","",SQRT((L68^2)*(M68^2)+(N68^2)+(O68^2)+(P68^2)))</f>
        <v/>
      </c>
      <c r="R68" s="699" t="str">
        <f aca="false">IF(B68="","",($G$12))</f>
        <v/>
      </c>
      <c r="S68" s="699" t="str">
        <f aca="false">IF(B68="","",($G$13))</f>
        <v/>
      </c>
      <c r="T68" s="700" t="str">
        <f aca="false">IF(B68="","",+$F$14/SQRT(12))</f>
        <v/>
      </c>
      <c r="U68" s="684" t="str">
        <f aca="false">IF(B68="","",(($M$17)/2)*1000)</f>
        <v/>
      </c>
      <c r="V68" s="685" t="str">
        <f aca="false">+IF(B68="","",+$G$15)</f>
        <v/>
      </c>
      <c r="W68" s="685" t="str">
        <f aca="false">+IF(B68="","",+$G$16)</f>
        <v/>
      </c>
      <c r="X68" s="685" t="str">
        <f aca="false">+IF(B68="","",+$G$17)</f>
        <v/>
      </c>
      <c r="Y68" s="686" t="str">
        <f aca="false">+IF(B68="","",K68*$G$9)</f>
        <v/>
      </c>
      <c r="Z68" s="686" t="str">
        <f aca="false">+IF(B68="","",K68*$G$12)</f>
        <v/>
      </c>
      <c r="AA68" s="686" t="str">
        <f aca="false">+IF(B68="","",K68*$G$13)</f>
        <v/>
      </c>
      <c r="AB68" s="686" t="str">
        <f aca="false">+IF(B68="","",K68*T68)</f>
        <v/>
      </c>
      <c r="AC68" s="687" t="str">
        <f aca="false">IF(B68="","",('SENSIBILIDAD 2'!B45^2)*(G68^2))</f>
        <v/>
      </c>
      <c r="AD68" s="688" t="str">
        <f aca="false">IF(B68="","",('SENSIBILIDAD 2'!C45^2)*(K68^2))</f>
        <v/>
      </c>
      <c r="AE68" s="688" t="str">
        <f aca="false">IF(B68="","",'SENSIBILIDAD 2'!D45^2*(R68^2))</f>
        <v/>
      </c>
      <c r="AF68" s="688" t="str">
        <f aca="false">IF(B68="","",'SENSIBILIDAD 2'!E45^2*(S68^2))</f>
        <v/>
      </c>
      <c r="AG68" s="688" t="str">
        <f aca="false">IF(B68="","",'SENSIBILIDAD 2'!F45^2*(T68^2))</f>
        <v/>
      </c>
      <c r="AH68" s="688" t="str">
        <f aca="false">IF(B68="","",(('SENSIBILIDAD 2'!G45)^2)*(Q68^2))</f>
        <v/>
      </c>
      <c r="AI68" s="688" t="str">
        <f aca="false">IF(B68="","",'SENSIBILIDAD 2'!H45^2*(U68^2))</f>
        <v/>
      </c>
      <c r="AJ68" s="688" t="str">
        <f aca="false">IF(B68="","",'SENSIBILIDAD 2'!M45^2*(V68^2))</f>
        <v/>
      </c>
      <c r="AK68" s="688" t="str">
        <f aca="false">IF(B68="","",'SENSIBILIDAD 2'!N45^2*(W68^2))</f>
        <v/>
      </c>
      <c r="AL68" s="688" t="str">
        <f aca="false">IF(B68="","",'SENSIBILIDAD 2'!O45^2*(X68^2))</f>
        <v/>
      </c>
      <c r="AM68" s="688" t="str">
        <f aca="false">IF($B68="","",(Y68^2)*('SENSIBILIDAD 2'!K45^2))</f>
        <v/>
      </c>
      <c r="AN68" s="688" t="str">
        <f aca="false">IF($B68="","",(Z68^2)*('SENSIBILIDAD 2'!I45^2))</f>
        <v/>
      </c>
      <c r="AO68" s="688" t="str">
        <f aca="false">IF($B68="","",(AA68^2)*('SENSIBILIDAD 2'!J45^2))</f>
        <v/>
      </c>
      <c r="AP68" s="688" t="str">
        <f aca="false">IF($B68="","",(AB68^2)*('SENSIBILIDAD 2'!L45^2))</f>
        <v/>
      </c>
      <c r="AQ68" s="689" t="str">
        <f aca="false">IF(B68="","",SQRT(AC68+AD68+AE68+AF68+AG68+AH68+AI68+AJ68+AK68+AL68+AM68+AN68+AO68+AP68))</f>
        <v/>
      </c>
      <c r="AR68" s="701" t="str">
        <f aca="false">IF(B68="","",2*AQ68)</f>
        <v/>
      </c>
      <c r="AS68" s="702" t="str">
        <f aca="false">IF(B68="","",+AR68/1000)</f>
        <v/>
      </c>
      <c r="AT68" s="692" t="str">
        <f aca="false">IF('conversion datos'!$L$30='Patrones LACOMET'!$D$3,(IF(N68="","",AS68*39.37008)),IF('conversion datos'!$L$30='Patrones LACOMET'!$D$4,AS68,"No existe el patrón"))</f>
        <v/>
      </c>
      <c r="BI68" s="564"/>
      <c r="BJ68" s="564"/>
      <c r="BK68" s="564"/>
      <c r="BL68" s="564"/>
      <c r="BM68" s="655"/>
      <c r="BN68" s="655"/>
    </row>
    <row r="69" customFormat="false" ht="19.5" hidden="false" customHeight="true" outlineLevel="0" collapsed="false">
      <c r="A69" s="81" t="n">
        <f aca="false">+CALIBRACION!A52</f>
        <v>41</v>
      </c>
      <c r="B69" s="672" t="str">
        <f aca="false">IF(CALIBRACION!H52="","",CALIBRACION!H52)</f>
        <v/>
      </c>
      <c r="C69" s="693" t="str">
        <f aca="false">IF(B69="","",+($F$20)/SQRT((5)))</f>
        <v/>
      </c>
      <c r="D69" s="693" t="str">
        <f aca="false">IF(B69="","",$F$21/SQRT((3)))</f>
        <v/>
      </c>
      <c r="E69" s="693" t="str">
        <f aca="false">IF(B69="","",$F$22/(SQRT(12)))</f>
        <v/>
      </c>
      <c r="F69" s="693" t="str">
        <f aca="false">IF(B69="","",$F$23/(SQRT(3)))</f>
        <v/>
      </c>
      <c r="G69" s="694" t="str">
        <f aca="false">IF(B69="","",(SQRT((+C69^2+D69^2+E69^2+F69^2))/(10^-3)))</f>
        <v/>
      </c>
      <c r="H69" s="675" t="str">
        <f aca="false">IF(B69="","",(IF('conversion datos'!$L$30='Patrones LACOMET'!$D$3,(VLOOKUP(B69,'BLOQUES PATRON (pulg) '!$K$5:$Q$86,6,FALSE())*1000),IF('conversion datos'!$L$30='Patrones LACOMET'!$D$4,(VLOOKUP(B69,'BLOQUES PATRON (mm)'!$D$5:$H$126,5,FALSE())),"No existe el patrón"))))</f>
        <v/>
      </c>
      <c r="I69" s="676" t="str">
        <f aca="false">IF(B69="","",0.42^2)</f>
        <v/>
      </c>
      <c r="J69" s="676" t="str">
        <f aca="false">IF(B69="","",IF('conversion datos'!$L$30='Patrones LACOMET'!$D$3,LOOKUP(B69,'BLOQUES PATRON (pulg) '!$S$5:$S$86,'BLOQUES PATRON (pulg) '!$Z$5:$Z$86),IF('conversion datos'!$L$30='Patrones LACOMET'!$D$4,LOOKUP(B69,'BLOQUES PATRON (mm)'!$O$5:$O$126,'BLOQUES PATRON (mm)'!$U$5:$U$126),"No existe el patrón")))</f>
        <v/>
      </c>
      <c r="K69" s="677" t="str">
        <f aca="false">IF(B69="","",SQRT((H69^2)+(J69^2)+(I69^2)))</f>
        <v/>
      </c>
      <c r="L69" s="695" t="str">
        <f aca="false">IF(B69="","",$G$4)</f>
        <v/>
      </c>
      <c r="M69" s="695" t="str">
        <f aca="false">IF(B69="","",($G$5))</f>
        <v/>
      </c>
      <c r="N69" s="695" t="str">
        <f aca="false">IF(B69="","",($G$6))</f>
        <v/>
      </c>
      <c r="O69" s="696" t="str">
        <f aca="false">IF(B69="","",(($G$7)))</f>
        <v/>
      </c>
      <c r="P69" s="697" t="str">
        <f aca="false">IF(B69="","",$G$8)</f>
        <v/>
      </c>
      <c r="Q69" s="698" t="str">
        <f aca="false">IF(B69="","",SQRT((L69^2)*(M69^2)+(N69^2)+(O69^2)+(P69^2)))</f>
        <v/>
      </c>
      <c r="R69" s="699" t="str">
        <f aca="false">IF(B69="","",($G$12))</f>
        <v/>
      </c>
      <c r="S69" s="699" t="str">
        <f aca="false">IF(B69="","",($G$13))</f>
        <v/>
      </c>
      <c r="T69" s="700" t="str">
        <f aca="false">IF(B69="","",+$F$14/SQRT(12))</f>
        <v/>
      </c>
      <c r="U69" s="684" t="str">
        <f aca="false">IF(B69="","",(($M$17)/2)*1000)</f>
        <v/>
      </c>
      <c r="V69" s="685" t="str">
        <f aca="false">+IF(B69="","",+$G$15)</f>
        <v/>
      </c>
      <c r="W69" s="685" t="str">
        <f aca="false">+IF(B69="","",+$G$16)</f>
        <v/>
      </c>
      <c r="X69" s="685" t="str">
        <f aca="false">+IF(B69="","",+$G$17)</f>
        <v/>
      </c>
      <c r="Y69" s="686" t="str">
        <f aca="false">+IF(B69="","",K69*$G$9)</f>
        <v/>
      </c>
      <c r="Z69" s="686" t="str">
        <f aca="false">+IF(B69="","",K69*$G$12)</f>
        <v/>
      </c>
      <c r="AA69" s="686" t="str">
        <f aca="false">+IF(B69="","",K69*$G$13)</f>
        <v/>
      </c>
      <c r="AB69" s="686" t="str">
        <f aca="false">+IF(B69="","",K69*T69)</f>
        <v/>
      </c>
      <c r="AC69" s="687" t="str">
        <f aca="false">IF(B69="","",('SENSIBILIDAD 2'!B46^2)*(G69^2))</f>
        <v/>
      </c>
      <c r="AD69" s="688" t="str">
        <f aca="false">IF(B69="","",('SENSIBILIDAD 2'!C46^2)*(K69^2))</f>
        <v/>
      </c>
      <c r="AE69" s="688" t="str">
        <f aca="false">IF(B69="","",'SENSIBILIDAD 2'!D46^2*(R69^2))</f>
        <v/>
      </c>
      <c r="AF69" s="688" t="str">
        <f aca="false">IF(B69="","",'SENSIBILIDAD 2'!E46^2*(S69^2))</f>
        <v/>
      </c>
      <c r="AG69" s="688" t="str">
        <f aca="false">IF(B69="","",'SENSIBILIDAD 2'!F46^2*(T69^2))</f>
        <v/>
      </c>
      <c r="AH69" s="688" t="str">
        <f aca="false">IF(B69="","",(('SENSIBILIDAD 2'!G46)^2)*(Q69^2))</f>
        <v/>
      </c>
      <c r="AI69" s="688" t="str">
        <f aca="false">IF(B69="","",'SENSIBILIDAD 2'!H46^2*(U69^2))</f>
        <v/>
      </c>
      <c r="AJ69" s="688" t="str">
        <f aca="false">IF(B69="","",'SENSIBILIDAD 2'!M46^2*(V69^2))</f>
        <v/>
      </c>
      <c r="AK69" s="688" t="str">
        <f aca="false">IF(B69="","",'SENSIBILIDAD 2'!N46^2*(W69^2))</f>
        <v/>
      </c>
      <c r="AL69" s="688" t="str">
        <f aca="false">IF(B69="","",'SENSIBILIDAD 2'!O46^2*(X69^2))</f>
        <v/>
      </c>
      <c r="AM69" s="688" t="str">
        <f aca="false">IF($B69="","",(Y69^2)*('SENSIBILIDAD 2'!K46^2))</f>
        <v/>
      </c>
      <c r="AN69" s="688" t="str">
        <f aca="false">IF($B69="","",(Z69^2)*('SENSIBILIDAD 2'!I46^2))</f>
        <v/>
      </c>
      <c r="AO69" s="688" t="str">
        <f aca="false">IF($B69="","",(AA69^2)*('SENSIBILIDAD 2'!J46^2))</f>
        <v/>
      </c>
      <c r="AP69" s="688" t="str">
        <f aca="false">IF($B69="","",(AB69^2)*('SENSIBILIDAD 2'!L46^2))</f>
        <v/>
      </c>
      <c r="AQ69" s="689" t="str">
        <f aca="false">IF(B69="","",SQRT(AC69+AD69+AE69+AF69+AG69+AH69+AI69+AJ69+AK69+AL69+AM69+AN69+AO69+AP69))</f>
        <v/>
      </c>
      <c r="AR69" s="701" t="str">
        <f aca="false">IF(B69="","",2*AQ69)</f>
        <v/>
      </c>
      <c r="AS69" s="702" t="str">
        <f aca="false">IF(B69="","",+AR69/1000)</f>
        <v/>
      </c>
      <c r="AT69" s="692" t="str">
        <f aca="false">IF('conversion datos'!$L$30='Patrones LACOMET'!$D$3,(IF(N69="","",AS69*39.37008)),IF('conversion datos'!$L$30='Patrones LACOMET'!$D$4,AS69,"No existe el patrón"))</f>
        <v/>
      </c>
      <c r="BI69" s="564"/>
      <c r="BJ69" s="564"/>
      <c r="BK69" s="564"/>
      <c r="BL69" s="564"/>
      <c r="BM69" s="655"/>
      <c r="BN69" s="655"/>
    </row>
    <row r="70" customFormat="false" ht="19.5" hidden="false" customHeight="true" outlineLevel="0" collapsed="false">
      <c r="A70" s="81" t="n">
        <f aca="false">+CALIBRACION!A53</f>
        <v>42</v>
      </c>
      <c r="B70" s="672" t="str">
        <f aca="false">IF(CALIBRACION!H53="","",CALIBRACION!H53)</f>
        <v/>
      </c>
      <c r="C70" s="693" t="str">
        <f aca="false">IF(B70="","",+($F$20)/SQRT((5)))</f>
        <v/>
      </c>
      <c r="D70" s="693" t="str">
        <f aca="false">IF(B70="","",$F$21/SQRT((3)))</f>
        <v/>
      </c>
      <c r="E70" s="693" t="str">
        <f aca="false">IF(B70="","",$F$22/(SQRT(12)))</f>
        <v/>
      </c>
      <c r="F70" s="693" t="str">
        <f aca="false">IF(B70="","",$F$23/(SQRT(3)))</f>
        <v/>
      </c>
      <c r="G70" s="694" t="str">
        <f aca="false">IF(B70="","",(SQRT((+C70^2+D70^2+E70^2+F70^2))/(10^-3)))</f>
        <v/>
      </c>
      <c r="H70" s="675" t="str">
        <f aca="false">IF(B70="","",(IF('conversion datos'!$L$30='Patrones LACOMET'!$D$3,(VLOOKUP(B70,'BLOQUES PATRON (pulg) '!$K$5:$Q$86,6,FALSE())*1000),IF('conversion datos'!$L$30='Patrones LACOMET'!$D$4,(VLOOKUP(B70,'BLOQUES PATRON (mm)'!$D$5:$H$126,5,FALSE())),"No existe el patrón"))))</f>
        <v/>
      </c>
      <c r="I70" s="676" t="str">
        <f aca="false">IF(B70="","",0.42^2)</f>
        <v/>
      </c>
      <c r="J70" s="676" t="str">
        <f aca="false">IF(B70="","",IF('conversion datos'!$L$30='Patrones LACOMET'!$D$3,LOOKUP(B70,'BLOQUES PATRON (pulg) '!$S$5:$S$86,'BLOQUES PATRON (pulg) '!$Z$5:$Z$86),IF('conversion datos'!$L$30='Patrones LACOMET'!$D$4,LOOKUP(B70,'BLOQUES PATRON (mm)'!$O$5:$O$126,'BLOQUES PATRON (mm)'!$U$5:$U$126),"No existe el patrón")))</f>
        <v/>
      </c>
      <c r="K70" s="677" t="str">
        <f aca="false">IF(B70="","",SQRT((H70^2)+(J70^2)+(I70^2)))</f>
        <v/>
      </c>
      <c r="L70" s="695" t="str">
        <f aca="false">IF(B70="","",$G$4)</f>
        <v/>
      </c>
      <c r="M70" s="695" t="str">
        <f aca="false">IF(B70="","",($G$5))</f>
        <v/>
      </c>
      <c r="N70" s="695" t="str">
        <f aca="false">IF(B70="","",($G$6))</f>
        <v/>
      </c>
      <c r="O70" s="696" t="str">
        <f aca="false">IF(B70="","",(($G$7)))</f>
        <v/>
      </c>
      <c r="P70" s="697" t="str">
        <f aca="false">IF(B70="","",$G$8)</f>
        <v/>
      </c>
      <c r="Q70" s="698" t="str">
        <f aca="false">IF(B70="","",SQRT((L70^2)*(M70^2)+(N70^2)+(O70^2)+(P70^2)))</f>
        <v/>
      </c>
      <c r="R70" s="699" t="str">
        <f aca="false">IF(B70="","",($G$12))</f>
        <v/>
      </c>
      <c r="S70" s="699" t="str">
        <f aca="false">IF(B70="","",($G$13))</f>
        <v/>
      </c>
      <c r="T70" s="700" t="str">
        <f aca="false">IF(B70="","",+$F$14/SQRT(12))</f>
        <v/>
      </c>
      <c r="U70" s="684" t="str">
        <f aca="false">IF(B70="","",(($M$17)/2)*1000)</f>
        <v/>
      </c>
      <c r="V70" s="685" t="str">
        <f aca="false">+IF(B70="","",+$G$15)</f>
        <v/>
      </c>
      <c r="W70" s="685" t="str">
        <f aca="false">+IF(B70="","",+$G$16)</f>
        <v/>
      </c>
      <c r="X70" s="685" t="str">
        <f aca="false">+IF(B70="","",+$G$17)</f>
        <v/>
      </c>
      <c r="Y70" s="686" t="str">
        <f aca="false">+IF(B70="","",K70*$G$9)</f>
        <v/>
      </c>
      <c r="Z70" s="686" t="str">
        <f aca="false">+IF(B70="","",K70*$G$12)</f>
        <v/>
      </c>
      <c r="AA70" s="686" t="str">
        <f aca="false">+IF(B70="","",K70*$G$13)</f>
        <v/>
      </c>
      <c r="AB70" s="686" t="str">
        <f aca="false">+IF(B70="","",K70*T70)</f>
        <v/>
      </c>
      <c r="AC70" s="687" t="str">
        <f aca="false">IF(B70="","",('SENSIBILIDAD 2'!B47^2)*(G70^2))</f>
        <v/>
      </c>
      <c r="AD70" s="688" t="str">
        <f aca="false">IF(B70="","",('SENSIBILIDAD 2'!C47^2)*(K70^2))</f>
        <v/>
      </c>
      <c r="AE70" s="688" t="str">
        <f aca="false">IF(B70="","",'SENSIBILIDAD 2'!D47^2*(R70^2))</f>
        <v/>
      </c>
      <c r="AF70" s="688" t="str">
        <f aca="false">IF(B70="","",'SENSIBILIDAD 2'!E47^2*(S70^2))</f>
        <v/>
      </c>
      <c r="AG70" s="688" t="str">
        <f aca="false">IF(B70="","",'SENSIBILIDAD 2'!F47^2*(T70^2))</f>
        <v/>
      </c>
      <c r="AH70" s="688" t="str">
        <f aca="false">IF(B70="","",(('SENSIBILIDAD 2'!G47)^2)*(Q70^2))</f>
        <v/>
      </c>
      <c r="AI70" s="688" t="str">
        <f aca="false">IF(B70="","",'SENSIBILIDAD 2'!H47^2*(U70^2))</f>
        <v/>
      </c>
      <c r="AJ70" s="688" t="str">
        <f aca="false">IF(B70="","",'SENSIBILIDAD 2'!M47^2*(V70^2))</f>
        <v/>
      </c>
      <c r="AK70" s="688" t="str">
        <f aca="false">IF(B70="","",'SENSIBILIDAD 2'!N47^2*(W70^2))</f>
        <v/>
      </c>
      <c r="AL70" s="688" t="str">
        <f aca="false">IF(B70="","",'SENSIBILIDAD 2'!O47^2*(X70^2))</f>
        <v/>
      </c>
      <c r="AM70" s="688" t="str">
        <f aca="false">IF($B70="","",(Y70^2)*('SENSIBILIDAD 2'!K47^2))</f>
        <v/>
      </c>
      <c r="AN70" s="688" t="str">
        <f aca="false">IF($B70="","",(Z70^2)*('SENSIBILIDAD 2'!I47^2))</f>
        <v/>
      </c>
      <c r="AO70" s="688" t="str">
        <f aca="false">IF($B70="","",(AA70^2)*('SENSIBILIDAD 2'!J47^2))</f>
        <v/>
      </c>
      <c r="AP70" s="688" t="str">
        <f aca="false">IF($B70="","",(AB70^2)*('SENSIBILIDAD 2'!L47^2))</f>
        <v/>
      </c>
      <c r="AQ70" s="689" t="str">
        <f aca="false">IF(B70="","",SQRT(AC70+AD70+AE70+AF70+AG70+AH70+AI70+AJ70+AK70+AL70+AM70+AN70+AO70+AP70))</f>
        <v/>
      </c>
      <c r="AR70" s="701" t="str">
        <f aca="false">IF(B70="","",2*AQ70)</f>
        <v/>
      </c>
      <c r="AS70" s="702" t="str">
        <f aca="false">IF(B70="","",+AR70/1000)</f>
        <v/>
      </c>
      <c r="AT70" s="692" t="str">
        <f aca="false">IF('conversion datos'!$L$30='Patrones LACOMET'!$D$3,(IF(N70="","",AS70*39.37008)),IF('conversion datos'!$L$30='Patrones LACOMET'!$D$4,AS70,"No existe el patrón"))</f>
        <v/>
      </c>
      <c r="BI70" s="564"/>
      <c r="BJ70" s="564"/>
      <c r="BK70" s="564"/>
      <c r="BL70" s="564"/>
      <c r="BM70" s="655"/>
      <c r="BN70" s="655"/>
    </row>
    <row r="71" customFormat="false" ht="19.5" hidden="false" customHeight="true" outlineLevel="0" collapsed="false">
      <c r="A71" s="81" t="n">
        <f aca="false">+CALIBRACION!A54</f>
        <v>43</v>
      </c>
      <c r="B71" s="672" t="str">
        <f aca="false">IF(CALIBRACION!H54="","",CALIBRACION!H54)</f>
        <v/>
      </c>
      <c r="C71" s="693" t="str">
        <f aca="false">IF(B71="","",+($F$20)/SQRT((5)))</f>
        <v/>
      </c>
      <c r="D71" s="693" t="str">
        <f aca="false">IF(B71="","",$F$21/SQRT((3)))</f>
        <v/>
      </c>
      <c r="E71" s="693" t="str">
        <f aca="false">IF(B71="","",$F$22/(SQRT(12)))</f>
        <v/>
      </c>
      <c r="F71" s="693" t="str">
        <f aca="false">IF(B71="","",$F$23/(SQRT(3)))</f>
        <v/>
      </c>
      <c r="G71" s="694" t="str">
        <f aca="false">IF(B71="","",(SQRT((+C71^2+D71^2+E71^2+F71^2))/(10^-3)))</f>
        <v/>
      </c>
      <c r="H71" s="675" t="str">
        <f aca="false">IF(B71="","",(IF('conversion datos'!$L$30='Patrones LACOMET'!$D$3,(VLOOKUP(B71,'BLOQUES PATRON (pulg) '!$K$5:$Q$86,6,FALSE())*1000),IF('conversion datos'!$L$30='Patrones LACOMET'!$D$4,(VLOOKUP(B71,'BLOQUES PATRON (mm)'!$D$5:$H$126,5,FALSE())),"No existe el patrón"))))</f>
        <v/>
      </c>
      <c r="I71" s="676" t="str">
        <f aca="false">IF(B71="","",0.42^2)</f>
        <v/>
      </c>
      <c r="J71" s="676" t="str">
        <f aca="false">IF(B71="","",IF('conversion datos'!$L$30='Patrones LACOMET'!$D$3,LOOKUP(B71,'BLOQUES PATRON (pulg) '!$S$5:$S$86,'BLOQUES PATRON (pulg) '!$Z$5:$Z$86),IF('conversion datos'!$L$30='Patrones LACOMET'!$D$4,LOOKUP(B71,'BLOQUES PATRON (mm)'!$O$5:$O$126,'BLOQUES PATRON (mm)'!$U$5:$U$126),"No existe el patrón")))</f>
        <v/>
      </c>
      <c r="K71" s="677" t="str">
        <f aca="false">IF(B71="","",SQRT((H71^2)+(J71^2)+(I71^2)))</f>
        <v/>
      </c>
      <c r="L71" s="695" t="str">
        <f aca="false">IF(B71="","",$G$4)</f>
        <v/>
      </c>
      <c r="M71" s="695" t="str">
        <f aca="false">IF(B71="","",($G$5))</f>
        <v/>
      </c>
      <c r="N71" s="695" t="str">
        <f aca="false">IF(B71="","",($G$6))</f>
        <v/>
      </c>
      <c r="O71" s="696" t="str">
        <f aca="false">IF(B71="","",(($G$7)))</f>
        <v/>
      </c>
      <c r="P71" s="697" t="str">
        <f aca="false">IF(B71="","",$G$8)</f>
        <v/>
      </c>
      <c r="Q71" s="698" t="str">
        <f aca="false">IF(B71="","",SQRT((L71^2)*(M71^2)+(N71^2)+(O71^2)+(P71^2)))</f>
        <v/>
      </c>
      <c r="R71" s="699" t="str">
        <f aca="false">IF(B71="","",($G$12))</f>
        <v/>
      </c>
      <c r="S71" s="699" t="str">
        <f aca="false">IF(B71="","",($G$13))</f>
        <v/>
      </c>
      <c r="T71" s="700" t="str">
        <f aca="false">IF(B71="","",+$F$14/SQRT(12))</f>
        <v/>
      </c>
      <c r="U71" s="684" t="str">
        <f aca="false">IF(B71="","",(($M$17)/2)*1000)</f>
        <v/>
      </c>
      <c r="V71" s="685" t="str">
        <f aca="false">+IF(B71="","",+$G$15)</f>
        <v/>
      </c>
      <c r="W71" s="685" t="str">
        <f aca="false">+IF(B71="","",+$G$16)</f>
        <v/>
      </c>
      <c r="X71" s="685" t="str">
        <f aca="false">+IF(B71="","",+$G$17)</f>
        <v/>
      </c>
      <c r="Y71" s="686" t="str">
        <f aca="false">+IF(B71="","",K71*$G$9)</f>
        <v/>
      </c>
      <c r="Z71" s="686" t="str">
        <f aca="false">+IF(B71="","",K71*$G$12)</f>
        <v/>
      </c>
      <c r="AA71" s="686" t="str">
        <f aca="false">+IF(B71="","",K71*$G$13)</f>
        <v/>
      </c>
      <c r="AB71" s="686" t="str">
        <f aca="false">+IF(B71="","",K71*T71)</f>
        <v/>
      </c>
      <c r="AC71" s="687" t="str">
        <f aca="false">IF(B71="","",('SENSIBILIDAD 2'!B48^2)*(G71^2))</f>
        <v/>
      </c>
      <c r="AD71" s="688" t="str">
        <f aca="false">IF(B71="","",('SENSIBILIDAD 2'!C48^2)*(K71^2))</f>
        <v/>
      </c>
      <c r="AE71" s="688" t="str">
        <f aca="false">IF(B71="","",'SENSIBILIDAD 2'!D48^2*(R71^2))</f>
        <v/>
      </c>
      <c r="AF71" s="688" t="str">
        <f aca="false">IF(B71="","",'SENSIBILIDAD 2'!E48^2*(S71^2))</f>
        <v/>
      </c>
      <c r="AG71" s="688" t="str">
        <f aca="false">IF(B71="","",'SENSIBILIDAD 2'!F48^2*(T71^2))</f>
        <v/>
      </c>
      <c r="AH71" s="688" t="str">
        <f aca="false">IF(B71="","",(('SENSIBILIDAD 2'!G48)^2)*(Q71^2))</f>
        <v/>
      </c>
      <c r="AI71" s="688" t="str">
        <f aca="false">IF(B71="","",'SENSIBILIDAD 2'!H48^2*(U71^2))</f>
        <v/>
      </c>
      <c r="AJ71" s="688" t="str">
        <f aca="false">IF(B71="","",'SENSIBILIDAD 2'!M48^2*(V71^2))</f>
        <v/>
      </c>
      <c r="AK71" s="688" t="str">
        <f aca="false">IF(B71="","",'SENSIBILIDAD 2'!N48^2*(W71^2))</f>
        <v/>
      </c>
      <c r="AL71" s="688" t="str">
        <f aca="false">IF(B71="","",'SENSIBILIDAD 2'!O48^2*(X71^2))</f>
        <v/>
      </c>
      <c r="AM71" s="688" t="str">
        <f aca="false">IF($B71="","",(Y71^2)*('SENSIBILIDAD 2'!K48^2))</f>
        <v/>
      </c>
      <c r="AN71" s="688" t="str">
        <f aca="false">IF($B71="","",(Z71^2)*('SENSIBILIDAD 2'!I48^2))</f>
        <v/>
      </c>
      <c r="AO71" s="688" t="str">
        <f aca="false">IF($B71="","",(AA71^2)*('SENSIBILIDAD 2'!J48^2))</f>
        <v/>
      </c>
      <c r="AP71" s="688" t="str">
        <f aca="false">IF($B71="","",(AB71^2)*('SENSIBILIDAD 2'!L48^2))</f>
        <v/>
      </c>
      <c r="AQ71" s="689" t="str">
        <f aca="false">IF(B71="","",SQRT(AC71+AD71+AE71+AF71+AG71+AH71+AI71+AJ71+AK71+AL71+AM71+AN71+AO71+AP71))</f>
        <v/>
      </c>
      <c r="AR71" s="701" t="str">
        <f aca="false">IF(B71="","",2*AQ71)</f>
        <v/>
      </c>
      <c r="AS71" s="702" t="str">
        <f aca="false">IF(B71="","",+AR71/1000)</f>
        <v/>
      </c>
      <c r="AT71" s="692" t="str">
        <f aca="false">IF('conversion datos'!$L$30='Patrones LACOMET'!$D$3,(IF(N71="","",AS71*39.37008)),IF('conversion datos'!$L$30='Patrones LACOMET'!$D$4,AS71,"No existe el patrón"))</f>
        <v/>
      </c>
      <c r="BI71" s="564"/>
      <c r="BJ71" s="564"/>
      <c r="BK71" s="564"/>
      <c r="BL71" s="564"/>
      <c r="BM71" s="655"/>
      <c r="BN71" s="655"/>
    </row>
    <row r="72" customFormat="false" ht="19.5" hidden="false" customHeight="true" outlineLevel="0" collapsed="false">
      <c r="A72" s="81" t="n">
        <f aca="false">+CALIBRACION!A55</f>
        <v>44</v>
      </c>
      <c r="B72" s="672" t="str">
        <f aca="false">IF(CALIBRACION!H55="","",CALIBRACION!H55)</f>
        <v/>
      </c>
      <c r="C72" s="693" t="str">
        <f aca="false">IF(B72="","",+($F$20)/SQRT((5)))</f>
        <v/>
      </c>
      <c r="D72" s="693" t="str">
        <f aca="false">IF(B72="","",$F$21/SQRT((3)))</f>
        <v/>
      </c>
      <c r="E72" s="693" t="str">
        <f aca="false">IF(B72="","",$F$22/(SQRT(12)))</f>
        <v/>
      </c>
      <c r="F72" s="693" t="str">
        <f aca="false">IF(B72="","",$F$23/(SQRT(3)))</f>
        <v/>
      </c>
      <c r="G72" s="694" t="str">
        <f aca="false">IF(B72="","",(SQRT((+C72^2+D72^2+E72^2+F72^2))/(10^-3)))</f>
        <v/>
      </c>
      <c r="H72" s="675" t="str">
        <f aca="false">IF(B72="","",(IF('conversion datos'!$L$30='Patrones LACOMET'!$D$3,(VLOOKUP(B72,'BLOQUES PATRON (pulg) '!$K$5:$Q$86,6,FALSE())*1000),IF('conversion datos'!$L$30='Patrones LACOMET'!$D$4,(VLOOKUP(B72,'BLOQUES PATRON (mm)'!$D$5:$H$126,5,FALSE())),"No existe el patrón"))))</f>
        <v/>
      </c>
      <c r="I72" s="676" t="str">
        <f aca="false">IF(B72="","",0.42^2)</f>
        <v/>
      </c>
      <c r="J72" s="676" t="str">
        <f aca="false">IF(B72="","",IF('conversion datos'!$L$30='Patrones LACOMET'!$D$3,LOOKUP(B72,'BLOQUES PATRON (pulg) '!$S$5:$S$86,'BLOQUES PATRON (pulg) '!$Z$5:$Z$86),IF('conversion datos'!$L$30='Patrones LACOMET'!$D$4,LOOKUP(B72,'BLOQUES PATRON (mm)'!$O$5:$O$126,'BLOQUES PATRON (mm)'!$U$5:$U$126),"No existe el patrón")))</f>
        <v/>
      </c>
      <c r="K72" s="677" t="str">
        <f aca="false">IF(B72="","",SQRT((H72^2)+(J72^2)+(I72^2)))</f>
        <v/>
      </c>
      <c r="L72" s="695" t="str">
        <f aca="false">IF(B72="","",$G$4)</f>
        <v/>
      </c>
      <c r="M72" s="695" t="str">
        <f aca="false">IF(B72="","",($G$5))</f>
        <v/>
      </c>
      <c r="N72" s="695" t="str">
        <f aca="false">IF(B72="","",($G$6))</f>
        <v/>
      </c>
      <c r="O72" s="696" t="str">
        <f aca="false">IF(B72="","",(($G$7)))</f>
        <v/>
      </c>
      <c r="P72" s="697" t="str">
        <f aca="false">IF(B72="","",$G$8)</f>
        <v/>
      </c>
      <c r="Q72" s="698" t="str">
        <f aca="false">IF(B72="","",SQRT((L72^2)*(M72^2)+(N72^2)+(O72^2)+(P72^2)))</f>
        <v/>
      </c>
      <c r="R72" s="699" t="str">
        <f aca="false">IF(B72="","",($G$12))</f>
        <v/>
      </c>
      <c r="S72" s="699" t="str">
        <f aca="false">IF(B72="","",($G$13))</f>
        <v/>
      </c>
      <c r="T72" s="700" t="str">
        <f aca="false">IF(B72="","",+$F$14/SQRT(12))</f>
        <v/>
      </c>
      <c r="U72" s="684" t="str">
        <f aca="false">IF(B72="","",(($M$17)/2)*1000)</f>
        <v/>
      </c>
      <c r="V72" s="685" t="str">
        <f aca="false">+IF(B72="","",+$G$15)</f>
        <v/>
      </c>
      <c r="W72" s="685" t="str">
        <f aca="false">+IF(B72="","",+$G$16)</f>
        <v/>
      </c>
      <c r="X72" s="685" t="str">
        <f aca="false">+IF(B72="","",+$G$17)</f>
        <v/>
      </c>
      <c r="Y72" s="686" t="str">
        <f aca="false">+IF(B72="","",K72*$G$9)</f>
        <v/>
      </c>
      <c r="Z72" s="686" t="str">
        <f aca="false">+IF(B72="","",K72*$G$12)</f>
        <v/>
      </c>
      <c r="AA72" s="686" t="str">
        <f aca="false">+IF(B72="","",K72*$G$13)</f>
        <v/>
      </c>
      <c r="AB72" s="686" t="str">
        <f aca="false">+IF(B72="","",K72*T72)</f>
        <v/>
      </c>
      <c r="AC72" s="687" t="str">
        <f aca="false">IF(B72="","",('SENSIBILIDAD 2'!B49^2)*(G72^2))</f>
        <v/>
      </c>
      <c r="AD72" s="688" t="str">
        <f aca="false">IF(B72="","",('SENSIBILIDAD 2'!C49^2)*(K72^2))</f>
        <v/>
      </c>
      <c r="AE72" s="688" t="str">
        <f aca="false">IF(B72="","",'SENSIBILIDAD 2'!D49^2*(R72^2))</f>
        <v/>
      </c>
      <c r="AF72" s="688" t="str">
        <f aca="false">IF(B72="","",'SENSIBILIDAD 2'!E49^2*(S72^2))</f>
        <v/>
      </c>
      <c r="AG72" s="688" t="str">
        <f aca="false">IF(B72="","",'SENSIBILIDAD 2'!F49^2*(T72^2))</f>
        <v/>
      </c>
      <c r="AH72" s="688" t="str">
        <f aca="false">IF(B72="","",(('SENSIBILIDAD 2'!G49)^2)*(Q72^2))</f>
        <v/>
      </c>
      <c r="AI72" s="688" t="str">
        <f aca="false">IF(B72="","",'SENSIBILIDAD 2'!H49^2*(U72^2))</f>
        <v/>
      </c>
      <c r="AJ72" s="688" t="str">
        <f aca="false">IF(B72="","",'SENSIBILIDAD 2'!M49^2*(V72^2))</f>
        <v/>
      </c>
      <c r="AK72" s="688" t="str">
        <f aca="false">IF(B72="","",'SENSIBILIDAD 2'!N49^2*(W72^2))</f>
        <v/>
      </c>
      <c r="AL72" s="688" t="str">
        <f aca="false">IF(B72="","",'SENSIBILIDAD 2'!O49^2*(X72^2))</f>
        <v/>
      </c>
      <c r="AM72" s="688" t="str">
        <f aca="false">IF($B72="","",(Y72^2)*('SENSIBILIDAD 2'!K49^2))</f>
        <v/>
      </c>
      <c r="AN72" s="688" t="str">
        <f aca="false">IF($B72="","",(Z72^2)*('SENSIBILIDAD 2'!I49^2))</f>
        <v/>
      </c>
      <c r="AO72" s="688" t="str">
        <f aca="false">IF($B72="","",(AA72^2)*('SENSIBILIDAD 2'!J49^2))</f>
        <v/>
      </c>
      <c r="AP72" s="688" t="str">
        <f aca="false">IF($B72="","",(AB72^2)*('SENSIBILIDAD 2'!L49^2))</f>
        <v/>
      </c>
      <c r="AQ72" s="689" t="str">
        <f aca="false">IF(B72="","",SQRT(AC72+AD72+AE72+AF72+AG72+AH72+AI72+AJ72+AK72+AL72+AM72+AN72+AO72+AP72))</f>
        <v/>
      </c>
      <c r="AR72" s="701" t="str">
        <f aca="false">IF(B72="","",2*AQ72)</f>
        <v/>
      </c>
      <c r="AS72" s="702" t="str">
        <f aca="false">IF(B72="","",+AR72/1000)</f>
        <v/>
      </c>
      <c r="AT72" s="692" t="str">
        <f aca="false">IF('conversion datos'!$L$30='Patrones LACOMET'!$D$3,(IF(N72="","",AS72*39.37008)),IF('conversion datos'!$L$30='Patrones LACOMET'!$D$4,AS72,"No existe el patrón"))</f>
        <v/>
      </c>
      <c r="BI72" s="564"/>
      <c r="BJ72" s="564"/>
      <c r="BK72" s="564"/>
      <c r="BL72" s="564"/>
      <c r="BM72" s="655"/>
      <c r="BN72" s="655"/>
    </row>
    <row r="73" customFormat="false" ht="19.5" hidden="false" customHeight="true" outlineLevel="0" collapsed="false">
      <c r="A73" s="81" t="n">
        <f aca="false">+CALIBRACION!A56</f>
        <v>45</v>
      </c>
      <c r="B73" s="672" t="str">
        <f aca="false">IF(CALIBRACION!H56="","",CALIBRACION!H56)</f>
        <v/>
      </c>
      <c r="C73" s="693" t="str">
        <f aca="false">IF(B73="","",+($F$20)/SQRT((5)))</f>
        <v/>
      </c>
      <c r="D73" s="693" t="str">
        <f aca="false">IF(B73="","",$F$21/SQRT((3)))</f>
        <v/>
      </c>
      <c r="E73" s="693" t="str">
        <f aca="false">IF(B73="","",$F$22/(SQRT(12)))</f>
        <v/>
      </c>
      <c r="F73" s="693" t="str">
        <f aca="false">IF(B73="","",$F$23/(SQRT(3)))</f>
        <v/>
      </c>
      <c r="G73" s="694" t="str">
        <f aca="false">IF(B73="","",(SQRT((+C73^2+D73^2+E73^2+F73^2))/(10^-3)))</f>
        <v/>
      </c>
      <c r="H73" s="675" t="str">
        <f aca="false">IF(B73="","",(IF('conversion datos'!$L$30='Patrones LACOMET'!$D$3,(VLOOKUP(B73,'BLOQUES PATRON (pulg) '!$K$5:$Q$86,6,FALSE())*1000),IF('conversion datos'!$L$30='Patrones LACOMET'!$D$4,(VLOOKUP(B73,'BLOQUES PATRON (mm)'!$D$5:$H$126,5,FALSE())),"No existe el patrón"))))</f>
        <v/>
      </c>
      <c r="I73" s="676" t="str">
        <f aca="false">IF(B73="","",0.42^2)</f>
        <v/>
      </c>
      <c r="J73" s="676" t="str">
        <f aca="false">IF(B73="","",IF('conversion datos'!$L$30='Patrones LACOMET'!$D$3,LOOKUP(B73,'BLOQUES PATRON (pulg) '!$S$5:$S$86,'BLOQUES PATRON (pulg) '!$Z$5:$Z$86),IF('conversion datos'!$L$30='Patrones LACOMET'!$D$4,LOOKUP(B73,'BLOQUES PATRON (mm)'!$O$5:$O$126,'BLOQUES PATRON (mm)'!$U$5:$U$126),"No existe el patrón")))</f>
        <v/>
      </c>
      <c r="K73" s="677" t="str">
        <f aca="false">IF(B73="","",SQRT((H73^2)+(J73^2)+(I73^2)))</f>
        <v/>
      </c>
      <c r="L73" s="695" t="str">
        <f aca="false">IF(B73="","",$G$4)</f>
        <v/>
      </c>
      <c r="M73" s="695" t="str">
        <f aca="false">IF(B73="","",($G$5))</f>
        <v/>
      </c>
      <c r="N73" s="695" t="str">
        <f aca="false">IF(B73="","",($G$6))</f>
        <v/>
      </c>
      <c r="O73" s="696" t="str">
        <f aca="false">IF(B73="","",(($G$7)))</f>
        <v/>
      </c>
      <c r="P73" s="697" t="str">
        <f aca="false">IF(B73="","",$G$8)</f>
        <v/>
      </c>
      <c r="Q73" s="698" t="str">
        <f aca="false">IF(B73="","",SQRT((L73^2)*(M73^2)+(N73^2)+(O73^2)+(P73^2)))</f>
        <v/>
      </c>
      <c r="R73" s="699" t="str">
        <f aca="false">IF(B73="","",($G$12))</f>
        <v/>
      </c>
      <c r="S73" s="699" t="str">
        <f aca="false">IF(B73="","",($G$13))</f>
        <v/>
      </c>
      <c r="T73" s="700" t="str">
        <f aca="false">IF(B73="","",+$F$14/SQRT(12))</f>
        <v/>
      </c>
      <c r="U73" s="684" t="str">
        <f aca="false">IF(B73="","",(($M$17)/2)*1000)</f>
        <v/>
      </c>
      <c r="V73" s="685" t="str">
        <f aca="false">+IF(B73="","",+$G$15)</f>
        <v/>
      </c>
      <c r="W73" s="685" t="str">
        <f aca="false">+IF(B73="","",+$G$16)</f>
        <v/>
      </c>
      <c r="X73" s="685" t="str">
        <f aca="false">+IF(B73="","",+$G$17)</f>
        <v/>
      </c>
      <c r="Y73" s="686" t="str">
        <f aca="false">+IF(B73="","",K73*$G$9)</f>
        <v/>
      </c>
      <c r="Z73" s="686" t="str">
        <f aca="false">+IF(B73="","",K73*$G$12)</f>
        <v/>
      </c>
      <c r="AA73" s="686" t="str">
        <f aca="false">+IF(B73="","",K73*$G$13)</f>
        <v/>
      </c>
      <c r="AB73" s="686" t="str">
        <f aca="false">+IF(B73="","",K73*T73)</f>
        <v/>
      </c>
      <c r="AC73" s="687" t="str">
        <f aca="false">IF(B73="","",('SENSIBILIDAD 2'!B50^2)*(G73^2))</f>
        <v/>
      </c>
      <c r="AD73" s="688" t="str">
        <f aca="false">IF(B73="","",('SENSIBILIDAD 2'!C50^2)*(K73^2))</f>
        <v/>
      </c>
      <c r="AE73" s="688" t="str">
        <f aca="false">IF(B73="","",'SENSIBILIDAD 2'!D50^2*(R73^2))</f>
        <v/>
      </c>
      <c r="AF73" s="688" t="str">
        <f aca="false">IF(B73="","",'SENSIBILIDAD 2'!E50^2*(S73^2))</f>
        <v/>
      </c>
      <c r="AG73" s="688" t="str">
        <f aca="false">IF(B73="","",'SENSIBILIDAD 2'!F50^2*(T73^2))</f>
        <v/>
      </c>
      <c r="AH73" s="688" t="str">
        <f aca="false">IF(B73="","",(('SENSIBILIDAD 2'!G50)^2)*(Q73^2))</f>
        <v/>
      </c>
      <c r="AI73" s="688" t="str">
        <f aca="false">IF(B73="","",'SENSIBILIDAD 2'!H50^2*(U73^2))</f>
        <v/>
      </c>
      <c r="AJ73" s="688" t="str">
        <f aca="false">IF(B73="","",'SENSIBILIDAD 2'!M50^2*(V73^2))</f>
        <v/>
      </c>
      <c r="AK73" s="688" t="str">
        <f aca="false">IF(B73="","",'SENSIBILIDAD 2'!N50^2*(W73^2))</f>
        <v/>
      </c>
      <c r="AL73" s="688" t="str">
        <f aca="false">IF(B73="","",'SENSIBILIDAD 2'!O50^2*(X73^2))</f>
        <v/>
      </c>
      <c r="AM73" s="688" t="str">
        <f aca="false">IF($B73="","",(Y73^2)*('SENSIBILIDAD 2'!K50^2))</f>
        <v/>
      </c>
      <c r="AN73" s="688" t="str">
        <f aca="false">IF($B73="","",(Z73^2)*('SENSIBILIDAD 2'!I50^2))</f>
        <v/>
      </c>
      <c r="AO73" s="688" t="str">
        <f aca="false">IF($B73="","",(AA73^2)*('SENSIBILIDAD 2'!J50^2))</f>
        <v/>
      </c>
      <c r="AP73" s="688" t="str">
        <f aca="false">IF($B73="","",(AB73^2)*('SENSIBILIDAD 2'!L50^2))</f>
        <v/>
      </c>
      <c r="AQ73" s="689" t="str">
        <f aca="false">IF(B73="","",SQRT(AC73+AD73+AE73+AF73+AG73+AH73+AI73+AJ73+AK73+AL73+AM73+AN73+AO73+AP73))</f>
        <v/>
      </c>
      <c r="AR73" s="701" t="str">
        <f aca="false">IF(B73="","",2*AQ73)</f>
        <v/>
      </c>
      <c r="AS73" s="702" t="str">
        <f aca="false">IF(B73="","",+AR73/1000)</f>
        <v/>
      </c>
      <c r="AT73" s="692" t="str">
        <f aca="false">IF('conversion datos'!$L$30='Patrones LACOMET'!$D$3,(IF(N73="","",AS73*39.37008)),IF('conversion datos'!$L$30='Patrones LACOMET'!$D$4,AS73,"No existe el patrón"))</f>
        <v/>
      </c>
      <c r="BI73" s="564"/>
      <c r="BJ73" s="564"/>
      <c r="BK73" s="564"/>
      <c r="BL73" s="564"/>
      <c r="BM73" s="655"/>
      <c r="BN73" s="655"/>
    </row>
    <row r="74" customFormat="false" ht="19.5" hidden="false" customHeight="true" outlineLevel="0" collapsed="false">
      <c r="A74" s="81" t="n">
        <f aca="false">+CALIBRACION!A57</f>
        <v>46</v>
      </c>
      <c r="B74" s="672" t="str">
        <f aca="false">IF(CALIBRACION!H57="","",CALIBRACION!H57)</f>
        <v/>
      </c>
      <c r="C74" s="693" t="str">
        <f aca="false">IF(B74="","",+($F$20)/SQRT((5)))</f>
        <v/>
      </c>
      <c r="D74" s="693" t="str">
        <f aca="false">IF(B74="","",$F$21/SQRT((3)))</f>
        <v/>
      </c>
      <c r="E74" s="693" t="str">
        <f aca="false">IF(B74="","",$F$22/(SQRT(12)))</f>
        <v/>
      </c>
      <c r="F74" s="693" t="str">
        <f aca="false">IF(B74="","",$F$23/(SQRT(3)))</f>
        <v/>
      </c>
      <c r="G74" s="694" t="str">
        <f aca="false">IF(B74="","",(SQRT((+C74^2+D74^2+E74^2+F74^2))/(10^-3)))</f>
        <v/>
      </c>
      <c r="H74" s="675" t="str">
        <f aca="false">IF(B74="","",(IF('conversion datos'!$L$30='Patrones LACOMET'!$D$3,(VLOOKUP(B74,'BLOQUES PATRON (pulg) '!$K$5:$Q$86,6,FALSE())*1000),IF('conversion datos'!$L$30='Patrones LACOMET'!$D$4,(VLOOKUP(B74,'BLOQUES PATRON (mm)'!$D$5:$H$126,5,FALSE())),"No existe el patrón"))))</f>
        <v/>
      </c>
      <c r="I74" s="676" t="str">
        <f aca="false">IF(B74="","",0.42^2)</f>
        <v/>
      </c>
      <c r="J74" s="676" t="str">
        <f aca="false">IF(B74="","",IF('conversion datos'!$L$30='Patrones LACOMET'!$D$3,LOOKUP(B74,'BLOQUES PATRON (pulg) '!$S$5:$S$86,'BLOQUES PATRON (pulg) '!$Z$5:$Z$86),IF('conversion datos'!$L$30='Patrones LACOMET'!$D$4,LOOKUP(B74,'BLOQUES PATRON (mm)'!$O$5:$O$126,'BLOQUES PATRON (mm)'!$U$5:$U$126),"No existe el patrón")))</f>
        <v/>
      </c>
      <c r="K74" s="677" t="str">
        <f aca="false">IF(B74="","",SQRT((H74^2)+(J74^2)+(I74^2)))</f>
        <v/>
      </c>
      <c r="L74" s="695" t="str">
        <f aca="false">IF(B74="","",$G$4)</f>
        <v/>
      </c>
      <c r="M74" s="695" t="str">
        <f aca="false">IF(B74="","",($G$5))</f>
        <v/>
      </c>
      <c r="N74" s="695" t="str">
        <f aca="false">IF(B74="","",($G$6))</f>
        <v/>
      </c>
      <c r="O74" s="696" t="str">
        <f aca="false">IF(B74="","",(($G$7)))</f>
        <v/>
      </c>
      <c r="P74" s="697" t="str">
        <f aca="false">IF(B74="","",$G$8)</f>
        <v/>
      </c>
      <c r="Q74" s="698" t="str">
        <f aca="false">IF(B74="","",SQRT((L74^2)*(M74^2)+(N74^2)+(O74^2)+(P74^2)))</f>
        <v/>
      </c>
      <c r="R74" s="699" t="str">
        <f aca="false">IF(B74="","",($G$12))</f>
        <v/>
      </c>
      <c r="S74" s="699" t="str">
        <f aca="false">IF(B74="","",($G$13))</f>
        <v/>
      </c>
      <c r="T74" s="700" t="str">
        <f aca="false">IF(B74="","",+$F$14/SQRT(12))</f>
        <v/>
      </c>
      <c r="U74" s="684" t="str">
        <f aca="false">IF(B74="","",(($M$17)/2)*1000)</f>
        <v/>
      </c>
      <c r="V74" s="685" t="str">
        <f aca="false">+IF(B74="","",+$G$15)</f>
        <v/>
      </c>
      <c r="W74" s="685" t="str">
        <f aca="false">+IF(B74="","",+$G$16)</f>
        <v/>
      </c>
      <c r="X74" s="685" t="str">
        <f aca="false">+IF(B74="","",+$G$17)</f>
        <v/>
      </c>
      <c r="Y74" s="686" t="str">
        <f aca="false">+IF(B74="","",K74*$G$9)</f>
        <v/>
      </c>
      <c r="Z74" s="686" t="str">
        <f aca="false">+IF(B74="","",K74*$G$12)</f>
        <v/>
      </c>
      <c r="AA74" s="686" t="str">
        <f aca="false">+IF(B74="","",K74*$G$13)</f>
        <v/>
      </c>
      <c r="AB74" s="686" t="str">
        <f aca="false">+IF(B74="","",K74*T74)</f>
        <v/>
      </c>
      <c r="AC74" s="687" t="str">
        <f aca="false">IF(B74="","",('SENSIBILIDAD 2'!B51^2)*(G74^2))</f>
        <v/>
      </c>
      <c r="AD74" s="688" t="str">
        <f aca="false">IF(B74="","",('SENSIBILIDAD 2'!C51^2)*(K74^2))</f>
        <v/>
      </c>
      <c r="AE74" s="688" t="str">
        <f aca="false">IF(B74="","",'SENSIBILIDAD 2'!D51^2*(R74^2))</f>
        <v/>
      </c>
      <c r="AF74" s="688" t="str">
        <f aca="false">IF(B74="","",'SENSIBILIDAD 2'!E51^2*(S74^2))</f>
        <v/>
      </c>
      <c r="AG74" s="688" t="str">
        <f aca="false">IF(B74="","",'SENSIBILIDAD 2'!F51^2*(T74^2))</f>
        <v/>
      </c>
      <c r="AH74" s="688" t="str">
        <f aca="false">IF(B74="","",(('SENSIBILIDAD 2'!G51)^2)*(Q74^2))</f>
        <v/>
      </c>
      <c r="AI74" s="688" t="str">
        <f aca="false">IF(B74="","",'SENSIBILIDAD 2'!H51^2*(U74^2))</f>
        <v/>
      </c>
      <c r="AJ74" s="688" t="str">
        <f aca="false">IF(B74="","",'SENSIBILIDAD 2'!M51^2*(V74^2))</f>
        <v/>
      </c>
      <c r="AK74" s="688" t="str">
        <f aca="false">IF(B74="","",'SENSIBILIDAD 2'!N51^2*(W74^2))</f>
        <v/>
      </c>
      <c r="AL74" s="688" t="str">
        <f aca="false">IF(B74="","",'SENSIBILIDAD 2'!O51^2*(X74^2))</f>
        <v/>
      </c>
      <c r="AM74" s="688" t="str">
        <f aca="false">IF($B74="","",(Y74^2)*('SENSIBILIDAD 2'!K51^2))</f>
        <v/>
      </c>
      <c r="AN74" s="688" t="str">
        <f aca="false">IF($B74="","",(Z74^2)*('SENSIBILIDAD 2'!I51^2))</f>
        <v/>
      </c>
      <c r="AO74" s="688" t="str">
        <f aca="false">IF($B74="","",(AA74^2)*('SENSIBILIDAD 2'!J51^2))</f>
        <v/>
      </c>
      <c r="AP74" s="688" t="str">
        <f aca="false">IF($B74="","",(AB74^2)*('SENSIBILIDAD 2'!L51^2))</f>
        <v/>
      </c>
      <c r="AQ74" s="689" t="str">
        <f aca="false">IF(B74="","",SQRT(AC74+AD74+AE74+AF74+AG74+AH74+AI74+AJ74+AK74+AL74+AM74+AN74+AO74+AP74))</f>
        <v/>
      </c>
      <c r="AR74" s="701" t="str">
        <f aca="false">IF(B74="","",2*AQ74)</f>
        <v/>
      </c>
      <c r="AS74" s="702" t="str">
        <f aca="false">IF(B74="","",+AR74/1000)</f>
        <v/>
      </c>
      <c r="AT74" s="692" t="str">
        <f aca="false">IF('conversion datos'!$L$30='Patrones LACOMET'!$D$3,(IF(N74="","",AS74*39.37008)),IF('conversion datos'!$L$30='Patrones LACOMET'!$D$4,AS74,"No existe el patrón"))</f>
        <v/>
      </c>
      <c r="BI74" s="564"/>
      <c r="BJ74" s="564"/>
      <c r="BK74" s="564"/>
      <c r="BL74" s="564"/>
      <c r="BM74" s="655"/>
      <c r="BN74" s="655"/>
    </row>
    <row r="75" customFormat="false" ht="19.5" hidden="false" customHeight="true" outlineLevel="0" collapsed="false">
      <c r="A75" s="81" t="n">
        <f aca="false">+CALIBRACION!A58</f>
        <v>47</v>
      </c>
      <c r="B75" s="672" t="str">
        <f aca="false">IF(CALIBRACION!H58="","",CALIBRACION!H58)</f>
        <v/>
      </c>
      <c r="C75" s="693" t="str">
        <f aca="false">IF(B75="","",+($F$20)/SQRT((5)))</f>
        <v/>
      </c>
      <c r="D75" s="693" t="str">
        <f aca="false">IF(B75="","",$F$21/SQRT((3)))</f>
        <v/>
      </c>
      <c r="E75" s="693" t="str">
        <f aca="false">IF(B75="","",$F$22/(SQRT(12)))</f>
        <v/>
      </c>
      <c r="F75" s="693" t="str">
        <f aca="false">IF(B75="","",$F$23/(SQRT(3)))</f>
        <v/>
      </c>
      <c r="G75" s="694" t="str">
        <f aca="false">IF(B75="","",(SQRT((+C75^2+D75^2+E75^2+F75^2))/(10^-3)))</f>
        <v/>
      </c>
      <c r="H75" s="675" t="str">
        <f aca="false">IF(B75="","",(IF('conversion datos'!$L$30='Patrones LACOMET'!$D$3,(VLOOKUP(B75,'BLOQUES PATRON (pulg) '!$K$5:$Q$86,6,FALSE())*1000),IF('conversion datos'!$L$30='Patrones LACOMET'!$D$4,(VLOOKUP(B75,'BLOQUES PATRON (mm)'!$D$5:$H$126,5,FALSE())),"No existe el patrón"))))</f>
        <v/>
      </c>
      <c r="I75" s="676" t="str">
        <f aca="false">IF(B75="","",0.42^2)</f>
        <v/>
      </c>
      <c r="J75" s="676" t="str">
        <f aca="false">IF(B75="","",IF('conversion datos'!$L$30='Patrones LACOMET'!$D$3,LOOKUP(B75,'BLOQUES PATRON (pulg) '!$S$5:$S$86,'BLOQUES PATRON (pulg) '!$Z$5:$Z$86),IF('conversion datos'!$L$30='Patrones LACOMET'!$D$4,LOOKUP(B75,'BLOQUES PATRON (mm)'!$O$5:$O$126,'BLOQUES PATRON (mm)'!$U$5:$U$126),"No existe el patrón")))</f>
        <v/>
      </c>
      <c r="K75" s="677" t="str">
        <f aca="false">IF(B75="","",SQRT((H75^2)+(J75^2)+(I75^2)))</f>
        <v/>
      </c>
      <c r="L75" s="695" t="str">
        <f aca="false">IF(B75="","",$G$4)</f>
        <v/>
      </c>
      <c r="M75" s="695" t="str">
        <f aca="false">IF(B75="","",($G$5))</f>
        <v/>
      </c>
      <c r="N75" s="695" t="str">
        <f aca="false">IF(B75="","",($G$6))</f>
        <v/>
      </c>
      <c r="O75" s="696" t="str">
        <f aca="false">IF(B75="","",(($G$7)))</f>
        <v/>
      </c>
      <c r="P75" s="697" t="str">
        <f aca="false">IF(B75="","",$G$8)</f>
        <v/>
      </c>
      <c r="Q75" s="698" t="str">
        <f aca="false">IF(B75="","",SQRT((L75^2)*(M75^2)+(N75^2)+(O75^2)+(P75^2)))</f>
        <v/>
      </c>
      <c r="R75" s="699" t="str">
        <f aca="false">IF(B75="","",($G$12))</f>
        <v/>
      </c>
      <c r="S75" s="699" t="str">
        <f aca="false">IF(B75="","",($G$13))</f>
        <v/>
      </c>
      <c r="T75" s="700" t="str">
        <f aca="false">IF(B75="","",+$F$14/SQRT(12))</f>
        <v/>
      </c>
      <c r="U75" s="684" t="str">
        <f aca="false">IF(B75="","",(($M$17)/2)*1000)</f>
        <v/>
      </c>
      <c r="V75" s="685" t="str">
        <f aca="false">+IF(B75="","",+$G$15)</f>
        <v/>
      </c>
      <c r="W75" s="685" t="str">
        <f aca="false">+IF(B75="","",+$G$16)</f>
        <v/>
      </c>
      <c r="X75" s="685" t="str">
        <f aca="false">+IF(B75="","",+$G$17)</f>
        <v/>
      </c>
      <c r="Y75" s="686" t="str">
        <f aca="false">+IF(B75="","",K75*$G$9)</f>
        <v/>
      </c>
      <c r="Z75" s="686" t="str">
        <f aca="false">+IF(B75="","",K75*$G$12)</f>
        <v/>
      </c>
      <c r="AA75" s="686" t="str">
        <f aca="false">+IF(B75="","",K75*$G$13)</f>
        <v/>
      </c>
      <c r="AB75" s="686" t="str">
        <f aca="false">+IF(B75="","",K75*T75)</f>
        <v/>
      </c>
      <c r="AC75" s="687" t="str">
        <f aca="false">IF(B75="","",('SENSIBILIDAD 2'!B52^2)*(G75^2))</f>
        <v/>
      </c>
      <c r="AD75" s="688" t="str">
        <f aca="false">IF(B75="","",('SENSIBILIDAD 2'!C52^2)*(K75^2))</f>
        <v/>
      </c>
      <c r="AE75" s="688" t="str">
        <f aca="false">IF(B75="","",'SENSIBILIDAD 2'!D52^2*(R75^2))</f>
        <v/>
      </c>
      <c r="AF75" s="688" t="str">
        <f aca="false">IF(B75="","",'SENSIBILIDAD 2'!E52^2*(S75^2))</f>
        <v/>
      </c>
      <c r="AG75" s="688" t="str">
        <f aca="false">IF(B75="","",'SENSIBILIDAD 2'!F52^2*(T75^2))</f>
        <v/>
      </c>
      <c r="AH75" s="688" t="str">
        <f aca="false">IF(B75="","",(('SENSIBILIDAD 2'!G52)^2)*(Q75^2))</f>
        <v/>
      </c>
      <c r="AI75" s="688" t="str">
        <f aca="false">IF(B75="","",'SENSIBILIDAD 2'!H52^2*(U75^2))</f>
        <v/>
      </c>
      <c r="AJ75" s="688" t="str">
        <f aca="false">IF(B75="","",'SENSIBILIDAD 2'!M52^2*(V75^2))</f>
        <v/>
      </c>
      <c r="AK75" s="688" t="str">
        <f aca="false">IF(B75="","",'SENSIBILIDAD 2'!N52^2*(W75^2))</f>
        <v/>
      </c>
      <c r="AL75" s="688" t="str">
        <f aca="false">IF(B75="","",'SENSIBILIDAD 2'!O52^2*(X75^2))</f>
        <v/>
      </c>
      <c r="AM75" s="688" t="str">
        <f aca="false">IF($B75="","",(Y75^2)*('SENSIBILIDAD 2'!K52^2))</f>
        <v/>
      </c>
      <c r="AN75" s="688" t="str">
        <f aca="false">IF($B75="","",(Z75^2)*('SENSIBILIDAD 2'!I52^2))</f>
        <v/>
      </c>
      <c r="AO75" s="688" t="str">
        <f aca="false">IF($B75="","",(AA75^2)*('SENSIBILIDAD 2'!J52^2))</f>
        <v/>
      </c>
      <c r="AP75" s="688" t="str">
        <f aca="false">IF($B75="","",(AB75^2)*('SENSIBILIDAD 2'!L52^2))</f>
        <v/>
      </c>
      <c r="AQ75" s="689" t="str">
        <f aca="false">IF(B75="","",SQRT(AC75+AD75+AE75+AF75+AG75+AH75+AI75+AJ75+AK75+AL75+AM75+AN75+AO75+AP75))</f>
        <v/>
      </c>
      <c r="AR75" s="701" t="str">
        <f aca="false">IF(B75="","",2*AQ75)</f>
        <v/>
      </c>
      <c r="AS75" s="706" t="str">
        <f aca="false">IF(B75="","",+AR75/1000)</f>
        <v/>
      </c>
      <c r="AT75" s="692" t="str">
        <f aca="false">IF('conversion datos'!$L$30='Patrones LACOMET'!$D$3,(IF(N75="","",AS75*39.37008)),IF('conversion datos'!$L$30='Patrones LACOMET'!$D$4,AS75,"No existe el patrón"))</f>
        <v/>
      </c>
      <c r="BI75" s="564"/>
      <c r="BJ75" s="564"/>
      <c r="BK75" s="564"/>
      <c r="BL75" s="564"/>
      <c r="BM75" s="655"/>
      <c r="BN75" s="655"/>
    </row>
    <row r="76" customFormat="false" ht="19.5" hidden="false" customHeight="true" outlineLevel="0" collapsed="false">
      <c r="A76" s="81" t="n">
        <f aca="false">+CALIBRACION!A59</f>
        <v>48</v>
      </c>
      <c r="B76" s="672" t="str">
        <f aca="false">IF(CALIBRACION!H59="","",CALIBRACION!H59)</f>
        <v/>
      </c>
      <c r="C76" s="693" t="str">
        <f aca="false">IF(B76="","",+($F$20)/SQRT((5)))</f>
        <v/>
      </c>
      <c r="D76" s="693" t="str">
        <f aca="false">IF(B76="","",$F$21/SQRT((3)))</f>
        <v/>
      </c>
      <c r="E76" s="693" t="str">
        <f aca="false">IF(B76="","",$F$22/(SQRT(12)))</f>
        <v/>
      </c>
      <c r="F76" s="693" t="str">
        <f aca="false">IF(B76="","",$F$23/(SQRT(3)))</f>
        <v/>
      </c>
      <c r="G76" s="694" t="str">
        <f aca="false">IF(B76="","",(SQRT((+C76^2+D76^2+E76^2+F76^2))/(10^-3)))</f>
        <v/>
      </c>
      <c r="H76" s="675" t="str">
        <f aca="false">IF(B76="","",(IF('conversion datos'!$L$30='Patrones LACOMET'!$D$3,(VLOOKUP(B76,'BLOQUES PATRON (pulg) '!$K$5:$Q$86,6,FALSE())*1000),IF('conversion datos'!$L$30='Patrones LACOMET'!$D$4,(VLOOKUP(B76,'BLOQUES PATRON (mm)'!$D$5:$H$126,5,FALSE())),"No existe el patrón"))))</f>
        <v/>
      </c>
      <c r="I76" s="676" t="str">
        <f aca="false">IF(B76="","",0.42^2)</f>
        <v/>
      </c>
      <c r="J76" s="676" t="str">
        <f aca="false">IF(B76="","",IF('conversion datos'!$L$30='Patrones LACOMET'!$D$3,LOOKUP(B76,'BLOQUES PATRON (pulg) '!$S$5:$S$86,'BLOQUES PATRON (pulg) '!$Z$5:$Z$86),IF('conversion datos'!$L$30='Patrones LACOMET'!$D$4,LOOKUP(B76,'BLOQUES PATRON (mm)'!$O$5:$O$126,'BLOQUES PATRON (mm)'!$U$5:$U$126),"No existe el patrón")))</f>
        <v/>
      </c>
      <c r="K76" s="677" t="str">
        <f aca="false">IF(B76="","",SQRT((H76^2)+(J76^2)+(I76^2)))</f>
        <v/>
      </c>
      <c r="L76" s="695" t="str">
        <f aca="false">IF(B76="","",$G$4)</f>
        <v/>
      </c>
      <c r="M76" s="695" t="str">
        <f aca="false">IF(B76="","",($G$5))</f>
        <v/>
      </c>
      <c r="N76" s="695" t="str">
        <f aca="false">IF(B76="","",($G$6))</f>
        <v/>
      </c>
      <c r="O76" s="696" t="str">
        <f aca="false">IF(B76="","",(($G$7)))</f>
        <v/>
      </c>
      <c r="P76" s="697" t="str">
        <f aca="false">IF(B76="","",$G$8)</f>
        <v/>
      </c>
      <c r="Q76" s="698" t="str">
        <f aca="false">IF(B76="","",SQRT((L76^2)*(M76^2)+(N76^2)+(O76^2)+(P76^2)))</f>
        <v/>
      </c>
      <c r="R76" s="699" t="str">
        <f aca="false">IF(B76="","",($G$12))</f>
        <v/>
      </c>
      <c r="S76" s="699" t="str">
        <f aca="false">IF(B76="","",($G$13))</f>
        <v/>
      </c>
      <c r="T76" s="700" t="str">
        <f aca="false">IF(B76="","",+$F$14/SQRT(12))</f>
        <v/>
      </c>
      <c r="U76" s="684" t="str">
        <f aca="false">IF(B76="","",(($M$17)/2)*1000)</f>
        <v/>
      </c>
      <c r="V76" s="685" t="str">
        <f aca="false">+IF(B76="","",+$G$15)</f>
        <v/>
      </c>
      <c r="W76" s="685" t="str">
        <f aca="false">+IF(B76="","",+$G$16)</f>
        <v/>
      </c>
      <c r="X76" s="685" t="str">
        <f aca="false">+IF(B76="","",+$G$17)</f>
        <v/>
      </c>
      <c r="Y76" s="686" t="str">
        <f aca="false">+IF(B76="","",K76*$G$9)</f>
        <v/>
      </c>
      <c r="Z76" s="686" t="str">
        <f aca="false">+IF(B76="","",K76*$G$12)</f>
        <v/>
      </c>
      <c r="AA76" s="686" t="str">
        <f aca="false">+IF(B76="","",K76*$G$13)</f>
        <v/>
      </c>
      <c r="AB76" s="686" t="str">
        <f aca="false">+IF(B76="","",K76*T76)</f>
        <v/>
      </c>
      <c r="AC76" s="687" t="str">
        <f aca="false">IF(B76="","",('SENSIBILIDAD 2'!B53^2)*(G76^2))</f>
        <v/>
      </c>
      <c r="AD76" s="688" t="str">
        <f aca="false">IF(B76="","",('SENSIBILIDAD 2'!C53^2)*(K76^2))</f>
        <v/>
      </c>
      <c r="AE76" s="688" t="str">
        <f aca="false">IF(B76="","",'SENSIBILIDAD 2'!D53^2*(R76^2))</f>
        <v/>
      </c>
      <c r="AF76" s="688" t="str">
        <f aca="false">IF(B76="","",'SENSIBILIDAD 2'!E53^2*(S76^2))</f>
        <v/>
      </c>
      <c r="AG76" s="688" t="str">
        <f aca="false">IF(B76="","",'SENSIBILIDAD 2'!F53^2*(T76^2))</f>
        <v/>
      </c>
      <c r="AH76" s="688" t="str">
        <f aca="false">IF(B76="","",(('SENSIBILIDAD 2'!G53)^2)*(Q76^2))</f>
        <v/>
      </c>
      <c r="AI76" s="688" t="str">
        <f aca="false">IF(B76="","",'SENSIBILIDAD 2'!H53^2*(U76^2))</f>
        <v/>
      </c>
      <c r="AJ76" s="688" t="str">
        <f aca="false">IF(B76="","",'SENSIBILIDAD 2'!M53^2*(V76^2))</f>
        <v/>
      </c>
      <c r="AK76" s="688" t="str">
        <f aca="false">IF(B76="","",'SENSIBILIDAD 2'!N53^2*(W76^2))</f>
        <v/>
      </c>
      <c r="AL76" s="688" t="str">
        <f aca="false">IF(B76="","",'SENSIBILIDAD 2'!O53^2*(X76^2))</f>
        <v/>
      </c>
      <c r="AM76" s="688" t="str">
        <f aca="false">IF($B76="","",(Y76^2)*('SENSIBILIDAD 2'!K53^2))</f>
        <v/>
      </c>
      <c r="AN76" s="688" t="str">
        <f aca="false">IF($B76="","",(Z76^2)*('SENSIBILIDAD 2'!I53^2))</f>
        <v/>
      </c>
      <c r="AO76" s="688" t="str">
        <f aca="false">IF($B76="","",(AA76^2)*('SENSIBILIDAD 2'!J53^2))</f>
        <v/>
      </c>
      <c r="AP76" s="688" t="str">
        <f aca="false">IF($B76="","",(AB76^2)*('SENSIBILIDAD 2'!L53^2))</f>
        <v/>
      </c>
      <c r="AQ76" s="689" t="str">
        <f aca="false">IF(B76="","",SQRT(AC76+AD76+AE76+AF76+AG76+AH76+AI76+AJ76+AK76+AL76+AM76+AN76+AO76+AP76))</f>
        <v/>
      </c>
      <c r="AR76" s="701" t="str">
        <f aca="false">IF(B76="","",2*AQ76)</f>
        <v/>
      </c>
      <c r="AS76" s="706" t="str">
        <f aca="false">IF(B76="","",+AR76/1000)</f>
        <v/>
      </c>
      <c r="AT76" s="692" t="str">
        <f aca="false">IF('conversion datos'!$L$30='Patrones LACOMET'!$D$3,(IF(N76="","",AS76*39.37008)),IF('conversion datos'!$L$30='Patrones LACOMET'!$D$4,AS76,"No existe el patrón"))</f>
        <v/>
      </c>
      <c r="BI76" s="564"/>
      <c r="BJ76" s="564"/>
      <c r="BK76" s="564"/>
      <c r="BL76" s="564"/>
      <c r="BM76" s="655"/>
      <c r="BN76" s="655"/>
    </row>
    <row r="77" customFormat="false" ht="19.5" hidden="false" customHeight="true" outlineLevel="0" collapsed="false">
      <c r="A77" s="81" t="n">
        <f aca="false">+CALIBRACION!A60</f>
        <v>49</v>
      </c>
      <c r="B77" s="672" t="str">
        <f aca="false">IF(CALIBRACION!H60="","",CALIBRACION!H60)</f>
        <v/>
      </c>
      <c r="C77" s="693" t="str">
        <f aca="false">IF(B77="","",+($F$20)/SQRT((5)))</f>
        <v/>
      </c>
      <c r="D77" s="693" t="str">
        <f aca="false">IF(B77="","",$F$21/SQRT((3)))</f>
        <v/>
      </c>
      <c r="E77" s="693" t="str">
        <f aca="false">IF(B77="","",$F$22/(SQRT(12)))</f>
        <v/>
      </c>
      <c r="F77" s="693" t="str">
        <f aca="false">IF(B77="","",$F$23/(SQRT(3)))</f>
        <v/>
      </c>
      <c r="G77" s="694" t="str">
        <f aca="false">IF(B77="","",(SQRT((+C77^2+D77^2+E77^2+F77^2))/(10^-3)))</f>
        <v/>
      </c>
      <c r="H77" s="675" t="str">
        <f aca="false">IF(B77="","",(IF('conversion datos'!$L$30='Patrones LACOMET'!$D$3,(VLOOKUP(B77,'BLOQUES PATRON (pulg) '!$K$5:$Q$86,6,FALSE())*1000),IF('conversion datos'!$L$30='Patrones LACOMET'!$D$4,(VLOOKUP(B77,'BLOQUES PATRON (mm)'!$D$5:$H$126,5,FALSE())),"No existe el patrón"))))</f>
        <v/>
      </c>
      <c r="I77" s="676" t="str">
        <f aca="false">IF(B77="","",0.42^2)</f>
        <v/>
      </c>
      <c r="J77" s="676" t="str">
        <f aca="false">IF(B77="","",IF('conversion datos'!$L$30='Patrones LACOMET'!$D$3,LOOKUP(B77,'BLOQUES PATRON (pulg) '!$S$5:$S$86,'BLOQUES PATRON (pulg) '!$Z$5:$Z$86),IF('conversion datos'!$L$30='Patrones LACOMET'!$D$4,LOOKUP(B77,'BLOQUES PATRON (mm)'!$O$5:$O$126,'BLOQUES PATRON (mm)'!$U$5:$U$126),"No existe el patrón")))</f>
        <v/>
      </c>
      <c r="K77" s="677" t="str">
        <f aca="false">IF(B77="","",SQRT((H77^2)+(J77^2)+(I77^2)))</f>
        <v/>
      </c>
      <c r="L77" s="695" t="str">
        <f aca="false">IF(B77="","",$G$4)</f>
        <v/>
      </c>
      <c r="M77" s="695" t="str">
        <f aca="false">IF(B77="","",($G$5))</f>
        <v/>
      </c>
      <c r="N77" s="695" t="str">
        <f aca="false">IF(B77="","",($G$6))</f>
        <v/>
      </c>
      <c r="O77" s="696" t="str">
        <f aca="false">IF(B77="","",(($G$7)))</f>
        <v/>
      </c>
      <c r="P77" s="697" t="str">
        <f aca="false">IF(B77="","",$G$8)</f>
        <v/>
      </c>
      <c r="Q77" s="698" t="str">
        <f aca="false">IF(B77="","",SQRT((L77^2)*(M77^2)+(N77^2)+(O77^2)+(P77^2)))</f>
        <v/>
      </c>
      <c r="R77" s="699" t="str">
        <f aca="false">IF(B77="","",($G$12))</f>
        <v/>
      </c>
      <c r="S77" s="699" t="str">
        <f aca="false">IF(B77="","",($G$13))</f>
        <v/>
      </c>
      <c r="T77" s="700" t="str">
        <f aca="false">IF(B77="","",+$F$14/SQRT(12))</f>
        <v/>
      </c>
      <c r="U77" s="684" t="str">
        <f aca="false">IF(B77="","",(($M$17)/2)*1000)</f>
        <v/>
      </c>
      <c r="V77" s="685" t="str">
        <f aca="false">+IF(B77="","",+$G$15)</f>
        <v/>
      </c>
      <c r="W77" s="685" t="str">
        <f aca="false">+IF(B77="","",+$G$16)</f>
        <v/>
      </c>
      <c r="X77" s="685" t="str">
        <f aca="false">+IF(B77="","",+$G$17)</f>
        <v/>
      </c>
      <c r="Y77" s="686" t="str">
        <f aca="false">+IF(B77="","",K77*$G$9)</f>
        <v/>
      </c>
      <c r="Z77" s="686" t="str">
        <f aca="false">+IF(B77="","",K77*$G$12)</f>
        <v/>
      </c>
      <c r="AA77" s="686" t="str">
        <f aca="false">+IF(B77="","",K77*$G$13)</f>
        <v/>
      </c>
      <c r="AB77" s="686" t="str">
        <f aca="false">+IF(B77="","",K77*T77)</f>
        <v/>
      </c>
      <c r="AC77" s="687" t="str">
        <f aca="false">IF(B77="","",('SENSIBILIDAD 2'!B54^2)*(G77^2))</f>
        <v/>
      </c>
      <c r="AD77" s="688" t="str">
        <f aca="false">IF(B77="","",('SENSIBILIDAD 2'!C54^2)*(K77^2))</f>
        <v/>
      </c>
      <c r="AE77" s="688" t="str">
        <f aca="false">IF(B77="","",'SENSIBILIDAD 2'!D54^2*(R77^2))</f>
        <v/>
      </c>
      <c r="AF77" s="688" t="str">
        <f aca="false">IF(B77="","",'SENSIBILIDAD 2'!E54^2*(S77^2))</f>
        <v/>
      </c>
      <c r="AG77" s="688" t="str">
        <f aca="false">IF(B77="","",'SENSIBILIDAD 2'!F54^2*(T77^2))</f>
        <v/>
      </c>
      <c r="AH77" s="688" t="str">
        <f aca="false">IF(B77="","",(('SENSIBILIDAD 2'!G54)^2)*(Q77^2))</f>
        <v/>
      </c>
      <c r="AI77" s="688" t="str">
        <f aca="false">IF(B77="","",'SENSIBILIDAD 2'!H54^2*(U77^2))</f>
        <v/>
      </c>
      <c r="AJ77" s="688" t="str">
        <f aca="false">IF(B77="","",'SENSIBILIDAD 2'!M54^2*(V77^2))</f>
        <v/>
      </c>
      <c r="AK77" s="688" t="str">
        <f aca="false">IF(B77="","",'SENSIBILIDAD 2'!N54^2*(W77^2))</f>
        <v/>
      </c>
      <c r="AL77" s="688" t="str">
        <f aca="false">IF(B77="","",'SENSIBILIDAD 2'!O54^2*(X77^2))</f>
        <v/>
      </c>
      <c r="AM77" s="688" t="str">
        <f aca="false">IF($B77="","",(Y77^2)*('SENSIBILIDAD 2'!K54^2))</f>
        <v/>
      </c>
      <c r="AN77" s="688" t="str">
        <f aca="false">IF($B77="","",(Z77^2)*('SENSIBILIDAD 2'!I54^2))</f>
        <v/>
      </c>
      <c r="AO77" s="688" t="str">
        <f aca="false">IF($B77="","",(AA77^2)*('SENSIBILIDAD 2'!J54^2))</f>
        <v/>
      </c>
      <c r="AP77" s="688" t="str">
        <f aca="false">IF($B77="","",(AB77^2)*('SENSIBILIDAD 2'!L54^2))</f>
        <v/>
      </c>
      <c r="AQ77" s="689" t="str">
        <f aca="false">IF(B77="","",SQRT(AC77+AD77+AE77+AF77+AG77+AH77+AI77+AJ77+AK77+AL77+AM77+AN77+AO77+AP77))</f>
        <v/>
      </c>
      <c r="AR77" s="701" t="str">
        <f aca="false">IF(B77="","",2*AQ77)</f>
        <v/>
      </c>
      <c r="AS77" s="706" t="str">
        <f aca="false">IF(B77="","",+AR77/1000)</f>
        <v/>
      </c>
      <c r="AT77" s="692" t="str">
        <f aca="false">IF('conversion datos'!$L$30='Patrones LACOMET'!$D$3,(IF(N77="","",AS77*39.37008)),IF('conversion datos'!$L$30='Patrones LACOMET'!$D$4,AS77,"No existe el patrón"))</f>
        <v/>
      </c>
      <c r="BI77" s="564"/>
      <c r="BJ77" s="564"/>
      <c r="BK77" s="564"/>
      <c r="BL77" s="564"/>
      <c r="BM77" s="655"/>
      <c r="BN77" s="655"/>
    </row>
    <row r="78" customFormat="false" ht="19.5" hidden="false" customHeight="true" outlineLevel="0" collapsed="false">
      <c r="A78" s="81" t="n">
        <f aca="false">+CALIBRACION!A61</f>
        <v>50</v>
      </c>
      <c r="B78" s="672" t="str">
        <f aca="false">IF(CALIBRACION!H61="","",CALIBRACION!H61)</f>
        <v/>
      </c>
      <c r="C78" s="693" t="str">
        <f aca="false">IF(B78="","",+($F$20)/SQRT((5)))</f>
        <v/>
      </c>
      <c r="D78" s="693" t="str">
        <f aca="false">IF(B78="","",$F$21/SQRT((3)))</f>
        <v/>
      </c>
      <c r="E78" s="693" t="str">
        <f aca="false">IF(B78="","",$F$22/(SQRT(12)))</f>
        <v/>
      </c>
      <c r="F78" s="693" t="str">
        <f aca="false">IF(B78="","",$F$23/(SQRT(3)))</f>
        <v/>
      </c>
      <c r="G78" s="694" t="str">
        <f aca="false">IF(B78="","",(SQRT((+C78^2+D78^2+E78^2+F78^2))/(10^-3)))</f>
        <v/>
      </c>
      <c r="H78" s="675" t="str">
        <f aca="false">IF(B78="","",(IF('conversion datos'!$L$30='Patrones LACOMET'!$D$3,(VLOOKUP(B78,'BLOQUES PATRON (pulg) '!$K$5:$Q$86,6,FALSE())*1000),IF('conversion datos'!$L$30='Patrones LACOMET'!$D$4,(VLOOKUP(B78,'BLOQUES PATRON (mm)'!$D$5:$H$126,5,FALSE())),"No existe el patrón"))))</f>
        <v/>
      </c>
      <c r="I78" s="676" t="str">
        <f aca="false">IF(B78="","",0.42^2)</f>
        <v/>
      </c>
      <c r="J78" s="676" t="str">
        <f aca="false">IF(B78="","",IF('conversion datos'!$L$30='Patrones LACOMET'!$D$3,LOOKUP(B78,'BLOQUES PATRON (pulg) '!$S$5:$S$86,'BLOQUES PATRON (pulg) '!$Z$5:$Z$86),IF('conversion datos'!$L$30='Patrones LACOMET'!$D$4,LOOKUP(B78,'BLOQUES PATRON (mm)'!$O$5:$O$126,'BLOQUES PATRON (mm)'!$U$5:$U$126),"No existe el patrón")))</f>
        <v/>
      </c>
      <c r="K78" s="677" t="str">
        <f aca="false">IF(B78="","",SQRT((H78^2)+(J78^2)+(I78^2)))</f>
        <v/>
      </c>
      <c r="L78" s="695" t="str">
        <f aca="false">IF(B78="","",$G$4)</f>
        <v/>
      </c>
      <c r="M78" s="695" t="str">
        <f aca="false">IF(B78="","",($G$5))</f>
        <v/>
      </c>
      <c r="N78" s="695" t="str">
        <f aca="false">IF(B78="","",($G$6))</f>
        <v/>
      </c>
      <c r="O78" s="696" t="str">
        <f aca="false">IF(B78="","",(($G$7)))</f>
        <v/>
      </c>
      <c r="P78" s="697" t="str">
        <f aca="false">IF(B78="","",$G$8)</f>
        <v/>
      </c>
      <c r="Q78" s="698" t="str">
        <f aca="false">IF(B78="","",SQRT((L78^2)*(M78^2)+(N78^2)+(O78^2)+(P78^2)))</f>
        <v/>
      </c>
      <c r="R78" s="699" t="str">
        <f aca="false">IF(B78="","",($G$12))</f>
        <v/>
      </c>
      <c r="S78" s="699" t="str">
        <f aca="false">IF(B78="","",($G$13))</f>
        <v/>
      </c>
      <c r="T78" s="700" t="str">
        <f aca="false">IF(B78="","",+$F$14/SQRT(12))</f>
        <v/>
      </c>
      <c r="U78" s="684" t="str">
        <f aca="false">IF(B78="","",(($M$17)/2)*1000)</f>
        <v/>
      </c>
      <c r="V78" s="685" t="str">
        <f aca="false">+IF(B78="","",+$G$15)</f>
        <v/>
      </c>
      <c r="W78" s="685" t="str">
        <f aca="false">+IF(B78="","",+$G$16)</f>
        <v/>
      </c>
      <c r="X78" s="685" t="str">
        <f aca="false">+IF(B78="","",+$G$17)</f>
        <v/>
      </c>
      <c r="Y78" s="686" t="str">
        <f aca="false">+IF(B78="","",K78*$G$9)</f>
        <v/>
      </c>
      <c r="Z78" s="686" t="str">
        <f aca="false">+IF(B78="","",K78*$G$12)</f>
        <v/>
      </c>
      <c r="AA78" s="686" t="str">
        <f aca="false">+IF(B78="","",K78*$G$13)</f>
        <v/>
      </c>
      <c r="AB78" s="686" t="str">
        <f aca="false">+IF(B78="","",K78*T78)</f>
        <v/>
      </c>
      <c r="AC78" s="687" t="str">
        <f aca="false">IF(B78="","",('SENSIBILIDAD 2'!B55^2)*(G78^2))</f>
        <v/>
      </c>
      <c r="AD78" s="688" t="str">
        <f aca="false">IF(B78="","",('SENSIBILIDAD 2'!C55^2)*(K78^2))</f>
        <v/>
      </c>
      <c r="AE78" s="688" t="str">
        <f aca="false">IF(B78="","",'SENSIBILIDAD 2'!D55^2*(R78^2))</f>
        <v/>
      </c>
      <c r="AF78" s="688" t="str">
        <f aca="false">IF(B78="","",'SENSIBILIDAD 2'!E55^2*(S78^2))</f>
        <v/>
      </c>
      <c r="AG78" s="688" t="str">
        <f aca="false">IF(B78="","",'SENSIBILIDAD 2'!F55^2*(T78^2))</f>
        <v/>
      </c>
      <c r="AH78" s="688" t="str">
        <f aca="false">IF(B78="","",(('SENSIBILIDAD 2'!G55)^2)*(Q78^2))</f>
        <v/>
      </c>
      <c r="AI78" s="688" t="str">
        <f aca="false">IF(B78="","",'SENSIBILIDAD 2'!H55^2*(U78^2))</f>
        <v/>
      </c>
      <c r="AJ78" s="688" t="str">
        <f aca="false">IF(B78="","",'SENSIBILIDAD 2'!M55^2*(V78^2))</f>
        <v/>
      </c>
      <c r="AK78" s="688" t="str">
        <f aca="false">IF(B78="","",'SENSIBILIDAD 2'!N55^2*(W78^2))</f>
        <v/>
      </c>
      <c r="AL78" s="688" t="str">
        <f aca="false">IF(B78="","",'SENSIBILIDAD 2'!O55^2*(X78^2))</f>
        <v/>
      </c>
      <c r="AM78" s="688" t="str">
        <f aca="false">IF($B78="","",(Y78^2)*('SENSIBILIDAD 2'!K55^2))</f>
        <v/>
      </c>
      <c r="AN78" s="688" t="str">
        <f aca="false">IF($B78="","",(Z78^2)*('SENSIBILIDAD 2'!I55^2))</f>
        <v/>
      </c>
      <c r="AO78" s="688" t="str">
        <f aca="false">IF($B78="","",(AA78^2)*('SENSIBILIDAD 2'!J55^2))</f>
        <v/>
      </c>
      <c r="AP78" s="688" t="str">
        <f aca="false">IF($B78="","",(AB78^2)*('SENSIBILIDAD 2'!L55^2))</f>
        <v/>
      </c>
      <c r="AQ78" s="689" t="str">
        <f aca="false">IF(B78="","",SQRT(AC78+AD78+AE78+AF78+AG78+AH78+AI78+AJ78+AK78+AL78+AM78+AN78+AO78+AP78))</f>
        <v/>
      </c>
      <c r="AR78" s="701" t="str">
        <f aca="false">IF(B78="","",2*AQ78)</f>
        <v/>
      </c>
      <c r="AS78" s="706" t="str">
        <f aca="false">IF(B78="","",+AR78/1000)</f>
        <v/>
      </c>
      <c r="AT78" s="692" t="str">
        <f aca="false">IF('conversion datos'!$L$30='Patrones LACOMET'!$D$3,(IF(N78="","",AS78*39.37008)),IF('conversion datos'!$L$30='Patrones LACOMET'!$D$4,AS78,"No existe el patrón"))</f>
        <v/>
      </c>
      <c r="BI78" s="564"/>
      <c r="BJ78" s="564"/>
      <c r="BK78" s="564"/>
      <c r="BL78" s="564"/>
      <c r="BM78" s="655"/>
      <c r="BN78" s="655"/>
    </row>
    <row r="79" customFormat="false" ht="19.5" hidden="false" customHeight="true" outlineLevel="0" collapsed="false">
      <c r="A79" s="81" t="n">
        <f aca="false">+CALIBRACION!A62</f>
        <v>51</v>
      </c>
      <c r="B79" s="672" t="str">
        <f aca="false">IF(CALIBRACION!H62="","",CALIBRACION!H62)</f>
        <v/>
      </c>
      <c r="C79" s="693" t="str">
        <f aca="false">IF(B79="","",+($F$20)/SQRT((5)))</f>
        <v/>
      </c>
      <c r="D79" s="693" t="str">
        <f aca="false">IF(B79="","",$F$21/SQRT((3)))</f>
        <v/>
      </c>
      <c r="E79" s="693" t="str">
        <f aca="false">IF(B79="","",$F$22/(SQRT(12)))</f>
        <v/>
      </c>
      <c r="F79" s="693" t="str">
        <f aca="false">IF(B79="","",$F$23/(SQRT(3)))</f>
        <v/>
      </c>
      <c r="G79" s="694" t="str">
        <f aca="false">IF(B79="","",(SQRT((+C79^2+D79^2+E79^2+F79^2))/(10^-3)))</f>
        <v/>
      </c>
      <c r="H79" s="675" t="str">
        <f aca="false">IF(B79="","",(IF('conversion datos'!$L$30='Patrones LACOMET'!$D$3,(VLOOKUP(B79,'BLOQUES PATRON (pulg) '!$K$5:$Q$86,6,FALSE())*1000),IF('conversion datos'!$L$30='Patrones LACOMET'!$D$4,(VLOOKUP(B79,'BLOQUES PATRON (mm)'!$D$5:$H$126,5,FALSE())),"No existe el patrón"))))</f>
        <v/>
      </c>
      <c r="I79" s="676" t="str">
        <f aca="false">IF(B79="","",0.42^2)</f>
        <v/>
      </c>
      <c r="J79" s="676" t="str">
        <f aca="false">IF(B79="","",IF('conversion datos'!$L$30='Patrones LACOMET'!$D$3,LOOKUP(B79,'BLOQUES PATRON (pulg) '!$S$5:$S$86,'BLOQUES PATRON (pulg) '!$Z$5:$Z$86),IF('conversion datos'!$L$30='Patrones LACOMET'!$D$4,LOOKUP(B79,'BLOQUES PATRON (mm)'!$O$5:$O$126,'BLOQUES PATRON (mm)'!$U$5:$U$126),"No existe el patrón")))</f>
        <v/>
      </c>
      <c r="K79" s="677" t="str">
        <f aca="false">IF(B79="","",SQRT((H79^2)+(J79^2)+(I79^2)))</f>
        <v/>
      </c>
      <c r="L79" s="695" t="str">
        <f aca="false">IF(B79="","",$G$4)</f>
        <v/>
      </c>
      <c r="M79" s="695" t="str">
        <f aca="false">IF(B79="","",($G$5))</f>
        <v/>
      </c>
      <c r="N79" s="695" t="str">
        <f aca="false">IF(B79="","",($G$6))</f>
        <v/>
      </c>
      <c r="O79" s="696" t="str">
        <f aca="false">IF(B79="","",(($G$7)))</f>
        <v/>
      </c>
      <c r="P79" s="697" t="str">
        <f aca="false">IF(B79="","",$G$8)</f>
        <v/>
      </c>
      <c r="Q79" s="698" t="str">
        <f aca="false">IF(B79="","",SQRT((L79^2)*(M79^2)+(N79^2)+(O79^2)+(P79^2)))</f>
        <v/>
      </c>
      <c r="R79" s="699" t="str">
        <f aca="false">IF(B79="","",($G$12))</f>
        <v/>
      </c>
      <c r="S79" s="699" t="str">
        <f aca="false">IF(B79="","",($G$13))</f>
        <v/>
      </c>
      <c r="T79" s="700" t="str">
        <f aca="false">IF(B79="","",+$F$14/SQRT(12))</f>
        <v/>
      </c>
      <c r="U79" s="684" t="str">
        <f aca="false">IF(B79="","",(($M$17)/2)*1000)</f>
        <v/>
      </c>
      <c r="V79" s="685" t="str">
        <f aca="false">+IF(B79="","",+$G$15)</f>
        <v/>
      </c>
      <c r="W79" s="685" t="str">
        <f aca="false">+IF(B79="","",+$G$16)</f>
        <v/>
      </c>
      <c r="X79" s="685" t="str">
        <f aca="false">+IF(B79="","",+$G$17)</f>
        <v/>
      </c>
      <c r="Y79" s="686" t="str">
        <f aca="false">+IF(B79="","",K79*$G$9)</f>
        <v/>
      </c>
      <c r="Z79" s="686" t="str">
        <f aca="false">+IF(B79="","",K79*$G$12)</f>
        <v/>
      </c>
      <c r="AA79" s="686" t="str">
        <f aca="false">+IF(B79="","",K79*$G$13)</f>
        <v/>
      </c>
      <c r="AB79" s="686" t="str">
        <f aca="false">+IF(B79="","",K79*T79)</f>
        <v/>
      </c>
      <c r="AC79" s="687" t="str">
        <f aca="false">IF(B79="","",('SENSIBILIDAD 2'!B56^2)*(G79^2))</f>
        <v/>
      </c>
      <c r="AD79" s="688" t="str">
        <f aca="false">IF(B79="","",('SENSIBILIDAD 2'!C56^2)*(K79^2))</f>
        <v/>
      </c>
      <c r="AE79" s="688" t="str">
        <f aca="false">IF(B79="","",'SENSIBILIDAD 2'!D56^2*(R79^2))</f>
        <v/>
      </c>
      <c r="AF79" s="688" t="str">
        <f aca="false">IF(B79="","",'SENSIBILIDAD 2'!E56^2*(S79^2))</f>
        <v/>
      </c>
      <c r="AG79" s="688" t="str">
        <f aca="false">IF(B79="","",'SENSIBILIDAD 2'!F56^2*(T79^2))</f>
        <v/>
      </c>
      <c r="AH79" s="688" t="str">
        <f aca="false">IF(B79="","",(('SENSIBILIDAD 2'!G56)^2)*(Q79^2))</f>
        <v/>
      </c>
      <c r="AI79" s="688" t="str">
        <f aca="false">IF(B79="","",'SENSIBILIDAD 2'!H56^2*(U79^2))</f>
        <v/>
      </c>
      <c r="AJ79" s="688" t="str">
        <f aca="false">IF(B79="","",'SENSIBILIDAD 2'!M56^2*(V79^2))</f>
        <v/>
      </c>
      <c r="AK79" s="688" t="str">
        <f aca="false">IF(B79="","",'SENSIBILIDAD 2'!N56^2*(W79^2))</f>
        <v/>
      </c>
      <c r="AL79" s="688" t="str">
        <f aca="false">IF(B79="","",'SENSIBILIDAD 2'!O56^2*(X79^2))</f>
        <v/>
      </c>
      <c r="AM79" s="688" t="str">
        <f aca="false">IF($B79="","",(Y79^2)*('SENSIBILIDAD 2'!K56^2))</f>
        <v/>
      </c>
      <c r="AN79" s="688" t="str">
        <f aca="false">IF($B79="","",(Z79^2)*('SENSIBILIDAD 2'!I56^2))</f>
        <v/>
      </c>
      <c r="AO79" s="688" t="str">
        <f aca="false">IF($B79="","",(AA79^2)*('SENSIBILIDAD 2'!J56^2))</f>
        <v/>
      </c>
      <c r="AP79" s="688" t="str">
        <f aca="false">IF($B79="","",(AB79^2)*('SENSIBILIDAD 2'!L56^2))</f>
        <v/>
      </c>
      <c r="AQ79" s="689" t="str">
        <f aca="false">IF(B79="","",SQRT(AC79+AD79+AE79+AF79+AG79+AH79+AI79+AJ79+AK79+AL79+AM79+AN79+AO79+AP79))</f>
        <v/>
      </c>
      <c r="AR79" s="701" t="str">
        <f aca="false">IF(B79="","",2*AQ79)</f>
        <v/>
      </c>
      <c r="AS79" s="706" t="str">
        <f aca="false">IF(B79="","",+AR79/1000)</f>
        <v/>
      </c>
      <c r="AT79" s="692" t="str">
        <f aca="false">IF('conversion datos'!$L$30='Patrones LACOMET'!$D$3,(IF(N79="","",AS79*39.37008)),IF('conversion datos'!$L$30='Patrones LACOMET'!$D$4,AS79,"No existe el patrón"))</f>
        <v/>
      </c>
      <c r="BI79" s="564"/>
      <c r="BJ79" s="564"/>
      <c r="BK79" s="564"/>
      <c r="BL79" s="564"/>
      <c r="BM79" s="655"/>
      <c r="BN79" s="655"/>
    </row>
    <row r="80" customFormat="false" ht="19.5" hidden="false" customHeight="true" outlineLevel="0" collapsed="false">
      <c r="A80" s="81" t="n">
        <f aca="false">+CALIBRACION!A63</f>
        <v>52</v>
      </c>
      <c r="B80" s="672" t="str">
        <f aca="false">IF(CALIBRACION!H63="","",CALIBRACION!H63)</f>
        <v/>
      </c>
      <c r="C80" s="693" t="str">
        <f aca="false">IF(B80="","",+($F$20)/SQRT((5)))</f>
        <v/>
      </c>
      <c r="D80" s="693" t="str">
        <f aca="false">IF(B80="","",$F$21/SQRT((3)))</f>
        <v/>
      </c>
      <c r="E80" s="693" t="str">
        <f aca="false">IF(B80="","",$F$22/(SQRT(12)))</f>
        <v/>
      </c>
      <c r="F80" s="693" t="str">
        <f aca="false">IF(B80="","",$F$23/(SQRT(3)))</f>
        <v/>
      </c>
      <c r="G80" s="694" t="str">
        <f aca="false">IF(B80="","",(SQRT((+C80^2+D80^2+E80^2+F80^2))/(10^-3)))</f>
        <v/>
      </c>
      <c r="H80" s="675" t="str">
        <f aca="false">IF(B80="","",(IF('conversion datos'!$L$30='Patrones LACOMET'!$D$3,(VLOOKUP(B80,'BLOQUES PATRON (pulg) '!$K$5:$Q$86,6,FALSE())*1000),IF('conversion datos'!$L$30='Patrones LACOMET'!$D$4,(VLOOKUP(B80,'BLOQUES PATRON (mm)'!$D$5:$H$126,5,FALSE())),"No existe el patrón"))))</f>
        <v/>
      </c>
      <c r="I80" s="676" t="str">
        <f aca="false">IF(B80="","",0.42^2)</f>
        <v/>
      </c>
      <c r="J80" s="676" t="str">
        <f aca="false">IF(B80="","",IF('conversion datos'!$L$30='Patrones LACOMET'!$D$3,LOOKUP(B80,'BLOQUES PATRON (pulg) '!$S$5:$S$86,'BLOQUES PATRON (pulg) '!$Z$5:$Z$86),IF('conversion datos'!$L$30='Patrones LACOMET'!$D$4,LOOKUP(B80,'BLOQUES PATRON (mm)'!$O$5:$O$126,'BLOQUES PATRON (mm)'!$U$5:$U$126),"No existe el patrón")))</f>
        <v/>
      </c>
      <c r="K80" s="677" t="str">
        <f aca="false">IF(B80="","",SQRT((H80^2)+(J80^2)+(I80^2)))</f>
        <v/>
      </c>
      <c r="L80" s="695" t="str">
        <f aca="false">IF(B80="","",$G$4)</f>
        <v/>
      </c>
      <c r="M80" s="695" t="str">
        <f aca="false">IF(B80="","",($G$5))</f>
        <v/>
      </c>
      <c r="N80" s="695" t="str">
        <f aca="false">IF(B80="","",($G$6))</f>
        <v/>
      </c>
      <c r="O80" s="696" t="str">
        <f aca="false">IF(B80="","",(($G$7)))</f>
        <v/>
      </c>
      <c r="P80" s="697" t="str">
        <f aca="false">IF(B80="","",$G$8)</f>
        <v/>
      </c>
      <c r="Q80" s="698" t="str">
        <f aca="false">IF(B80="","",SQRT((L80^2)*(M80^2)+(N80^2)+(O80^2)+(P80^2)))</f>
        <v/>
      </c>
      <c r="R80" s="699" t="str">
        <f aca="false">IF(B80="","",($G$12))</f>
        <v/>
      </c>
      <c r="S80" s="699" t="str">
        <f aca="false">IF(B80="","",($G$13))</f>
        <v/>
      </c>
      <c r="T80" s="700" t="str">
        <f aca="false">IF(B80="","",+$F$14/SQRT(12))</f>
        <v/>
      </c>
      <c r="U80" s="684" t="str">
        <f aca="false">IF(B80="","",(($M$17)/2)*1000)</f>
        <v/>
      </c>
      <c r="V80" s="685" t="str">
        <f aca="false">+IF(B80="","",+$G$15)</f>
        <v/>
      </c>
      <c r="W80" s="685" t="str">
        <f aca="false">+IF(B80="","",+$G$16)</f>
        <v/>
      </c>
      <c r="X80" s="685" t="str">
        <f aca="false">+IF(B80="","",+$G$17)</f>
        <v/>
      </c>
      <c r="Y80" s="686" t="str">
        <f aca="false">+IF(B80="","",K80*$G$9)</f>
        <v/>
      </c>
      <c r="Z80" s="686" t="str">
        <f aca="false">+IF(B80="","",K80*$G$12)</f>
        <v/>
      </c>
      <c r="AA80" s="686" t="str">
        <f aca="false">+IF(B80="","",K80*$G$13)</f>
        <v/>
      </c>
      <c r="AB80" s="686" t="str">
        <f aca="false">+IF(B80="","",K80*T80)</f>
        <v/>
      </c>
      <c r="AC80" s="687" t="str">
        <f aca="false">IF(B80="","",('SENSIBILIDAD 2'!B57^2)*(G80^2))</f>
        <v/>
      </c>
      <c r="AD80" s="688" t="str">
        <f aca="false">IF(B80="","",('SENSIBILIDAD 2'!C57^2)*(K80^2))</f>
        <v/>
      </c>
      <c r="AE80" s="688" t="str">
        <f aca="false">IF(B80="","",'SENSIBILIDAD 2'!D57^2*(R80^2))</f>
        <v/>
      </c>
      <c r="AF80" s="688" t="str">
        <f aca="false">IF(B80="","",'SENSIBILIDAD 2'!E57^2*(S80^2))</f>
        <v/>
      </c>
      <c r="AG80" s="688" t="str">
        <f aca="false">IF(B80="","",'SENSIBILIDAD 2'!F57^2*(T80^2))</f>
        <v/>
      </c>
      <c r="AH80" s="688" t="str">
        <f aca="false">IF(B80="","",(('SENSIBILIDAD 2'!G57)^2)*(Q80^2))</f>
        <v/>
      </c>
      <c r="AI80" s="688" t="str">
        <f aca="false">IF(B80="","",'SENSIBILIDAD 2'!H57^2*(U80^2))</f>
        <v/>
      </c>
      <c r="AJ80" s="688" t="str">
        <f aca="false">IF(B80="","",'SENSIBILIDAD 2'!M57^2*(V80^2))</f>
        <v/>
      </c>
      <c r="AK80" s="688" t="str">
        <f aca="false">IF(B80="","",'SENSIBILIDAD 2'!N57^2*(W80^2))</f>
        <v/>
      </c>
      <c r="AL80" s="688" t="str">
        <f aca="false">IF(B80="","",'SENSIBILIDAD 2'!O57^2*(X80^2))</f>
        <v/>
      </c>
      <c r="AM80" s="688" t="str">
        <f aca="false">IF($B80="","",(Y80^2)*('SENSIBILIDAD 2'!K57^2))</f>
        <v/>
      </c>
      <c r="AN80" s="688" t="str">
        <f aca="false">IF($B80="","",(Z80^2)*('SENSIBILIDAD 2'!I57^2))</f>
        <v/>
      </c>
      <c r="AO80" s="688" t="str">
        <f aca="false">IF($B80="","",(AA80^2)*('SENSIBILIDAD 2'!J57^2))</f>
        <v/>
      </c>
      <c r="AP80" s="688" t="str">
        <f aca="false">IF($B80="","",(AB80^2)*('SENSIBILIDAD 2'!L57^2))</f>
        <v/>
      </c>
      <c r="AQ80" s="689" t="str">
        <f aca="false">IF(B80="","",SQRT(AC80+AD80+AE80+AF80+AG80+AH80+AI80+AJ80+AK80+AL80+AM80+AN80+AO80+AP80))</f>
        <v/>
      </c>
      <c r="AR80" s="701" t="str">
        <f aca="false">IF(B80="","",2*AQ80)</f>
        <v/>
      </c>
      <c r="AS80" s="706" t="str">
        <f aca="false">IF(B80="","",+AR80/1000)</f>
        <v/>
      </c>
      <c r="AT80" s="692" t="str">
        <f aca="false">IF('conversion datos'!$L$30='Patrones LACOMET'!$D$3,(IF(N80="","",AS80*39.37008)),IF('conversion datos'!$L$30='Patrones LACOMET'!$D$4,AS80,"No existe el patrón"))</f>
        <v/>
      </c>
      <c r="BI80" s="564"/>
      <c r="BJ80" s="564"/>
      <c r="BK80" s="564"/>
      <c r="BL80" s="564"/>
      <c r="BM80" s="655"/>
      <c r="BN80" s="655"/>
    </row>
    <row r="81" customFormat="false" ht="19.5" hidden="false" customHeight="true" outlineLevel="0" collapsed="false">
      <c r="A81" s="81" t="n">
        <f aca="false">+CALIBRACION!A64</f>
        <v>53</v>
      </c>
      <c r="B81" s="672" t="str">
        <f aca="false">IF(CALIBRACION!H64="","",CALIBRACION!H64)</f>
        <v/>
      </c>
      <c r="C81" s="693" t="str">
        <f aca="false">IF(B81="","",+($F$20)/SQRT((5)))</f>
        <v/>
      </c>
      <c r="D81" s="693" t="str">
        <f aca="false">IF(B81="","",$F$21/SQRT((3)))</f>
        <v/>
      </c>
      <c r="E81" s="693" t="str">
        <f aca="false">IF(B81="","",$F$22/(SQRT(12)))</f>
        <v/>
      </c>
      <c r="F81" s="693" t="str">
        <f aca="false">IF(B81="","",$F$23/(SQRT(3)))</f>
        <v/>
      </c>
      <c r="G81" s="694" t="str">
        <f aca="false">IF(B81="","",(SQRT((+C81^2+D81^2+E81^2+F81^2))/(10^-3)))</f>
        <v/>
      </c>
      <c r="H81" s="675" t="str">
        <f aca="false">IF(B81="","",(IF('conversion datos'!$L$30='Patrones LACOMET'!$D$3,(VLOOKUP(B81,'BLOQUES PATRON (pulg) '!$K$5:$Q$86,6,FALSE())*1000),IF('conversion datos'!$L$30='Patrones LACOMET'!$D$4,(VLOOKUP(B81,'BLOQUES PATRON (mm)'!$D$5:$H$126,5,FALSE())),"No existe el patrón"))))</f>
        <v/>
      </c>
      <c r="I81" s="676" t="str">
        <f aca="false">IF(B81="","",0.42^2)</f>
        <v/>
      </c>
      <c r="J81" s="676" t="str">
        <f aca="false">IF(B81="","",IF('conversion datos'!$L$30='Patrones LACOMET'!$D$3,LOOKUP(B81,'BLOQUES PATRON (pulg) '!$S$5:$S$86,'BLOQUES PATRON (pulg) '!$Z$5:$Z$86),IF('conversion datos'!$L$30='Patrones LACOMET'!$D$4,LOOKUP(B81,'BLOQUES PATRON (mm)'!$O$5:$O$126,'BLOQUES PATRON (mm)'!$U$5:$U$126),"No existe el patrón")))</f>
        <v/>
      </c>
      <c r="K81" s="677" t="str">
        <f aca="false">IF(B81="","",SQRT((H81^2)+(J81^2)+(I81^2)))</f>
        <v/>
      </c>
      <c r="L81" s="695" t="str">
        <f aca="false">IF(B81="","",$G$4)</f>
        <v/>
      </c>
      <c r="M81" s="695" t="str">
        <f aca="false">IF(B81="","",($G$5))</f>
        <v/>
      </c>
      <c r="N81" s="695" t="str">
        <f aca="false">IF(B81="","",($G$6))</f>
        <v/>
      </c>
      <c r="O81" s="696" t="str">
        <f aca="false">IF(B81="","",(($G$7)))</f>
        <v/>
      </c>
      <c r="P81" s="697" t="str">
        <f aca="false">IF(B81="","",$G$8)</f>
        <v/>
      </c>
      <c r="Q81" s="698" t="str">
        <f aca="false">IF(B81="","",SQRT((L81^2)*(M81^2)+(N81^2)+(O81^2)+(P81^2)))</f>
        <v/>
      </c>
      <c r="R81" s="699" t="str">
        <f aca="false">IF(B81="","",($G$12))</f>
        <v/>
      </c>
      <c r="S81" s="699" t="str">
        <f aca="false">IF(B81="","",($G$13))</f>
        <v/>
      </c>
      <c r="T81" s="700" t="str">
        <f aca="false">IF(B81="","",+$F$14/SQRT(12))</f>
        <v/>
      </c>
      <c r="U81" s="684" t="str">
        <f aca="false">IF(B81="","",(($M$17)/2)*1000)</f>
        <v/>
      </c>
      <c r="V81" s="685" t="str">
        <f aca="false">+IF(B81="","",+$G$15)</f>
        <v/>
      </c>
      <c r="W81" s="685" t="str">
        <f aca="false">+IF(B81="","",+$G$16)</f>
        <v/>
      </c>
      <c r="X81" s="685" t="str">
        <f aca="false">+IF(B81="","",+$G$17)</f>
        <v/>
      </c>
      <c r="Y81" s="686" t="str">
        <f aca="false">+IF(B81="","",K81*$G$9)</f>
        <v/>
      </c>
      <c r="Z81" s="686" t="str">
        <f aca="false">+IF(B81="","",K81*$G$12)</f>
        <v/>
      </c>
      <c r="AA81" s="686" t="str">
        <f aca="false">+IF(B81="","",K81*$G$13)</f>
        <v/>
      </c>
      <c r="AB81" s="686" t="str">
        <f aca="false">+IF(B81="","",K81*T81)</f>
        <v/>
      </c>
      <c r="AC81" s="687" t="str">
        <f aca="false">IF(B81="","",('SENSIBILIDAD 2'!B58^2)*(G81^2))</f>
        <v/>
      </c>
      <c r="AD81" s="688" t="str">
        <f aca="false">IF(B81="","",('SENSIBILIDAD 2'!C58^2)*(K81^2))</f>
        <v/>
      </c>
      <c r="AE81" s="688" t="str">
        <f aca="false">IF(B81="","",'SENSIBILIDAD 2'!D58^2*(R81^2))</f>
        <v/>
      </c>
      <c r="AF81" s="688" t="str">
        <f aca="false">IF(B81="","",'SENSIBILIDAD 2'!E58^2*(S81^2))</f>
        <v/>
      </c>
      <c r="AG81" s="688" t="str">
        <f aca="false">IF(B81="","",'SENSIBILIDAD 2'!F58^2*(T81^2))</f>
        <v/>
      </c>
      <c r="AH81" s="688" t="str">
        <f aca="false">IF(B81="","",(('SENSIBILIDAD 2'!G58)^2)*(Q81^2))</f>
        <v/>
      </c>
      <c r="AI81" s="688" t="str">
        <f aca="false">IF(B81="","",'SENSIBILIDAD 2'!H58^2*(U81^2))</f>
        <v/>
      </c>
      <c r="AJ81" s="688" t="str">
        <f aca="false">IF(B81="","",'SENSIBILIDAD 2'!M58^2*(V81^2))</f>
        <v/>
      </c>
      <c r="AK81" s="688" t="str">
        <f aca="false">IF(B81="","",'SENSIBILIDAD 2'!N58^2*(W81^2))</f>
        <v/>
      </c>
      <c r="AL81" s="688" t="str">
        <f aca="false">IF(B81="","",'SENSIBILIDAD 2'!O58^2*(X81^2))</f>
        <v/>
      </c>
      <c r="AM81" s="688" t="str">
        <f aca="false">IF($B81="","",(Y81^2)*('SENSIBILIDAD 2'!K58^2))</f>
        <v/>
      </c>
      <c r="AN81" s="688" t="str">
        <f aca="false">IF($B81="","",(Z81^2)*('SENSIBILIDAD 2'!I58^2))</f>
        <v/>
      </c>
      <c r="AO81" s="688" t="str">
        <f aca="false">IF($B81="","",(AA81^2)*('SENSIBILIDAD 2'!J58^2))</f>
        <v/>
      </c>
      <c r="AP81" s="688" t="str">
        <f aca="false">IF($B81="","",(AB81^2)*('SENSIBILIDAD 2'!L58^2))</f>
        <v/>
      </c>
      <c r="AQ81" s="689" t="str">
        <f aca="false">IF(B81="","",SQRT(AC81+AD81+AE81+AF81+AG81+AH81+AI81+AJ81+AK81+AL81+AM81+AN81+AO81+AP81))</f>
        <v/>
      </c>
      <c r="AR81" s="701" t="str">
        <f aca="false">IF(B81="","",2*AQ81)</f>
        <v/>
      </c>
      <c r="AS81" s="706" t="str">
        <f aca="false">IF(B81="","",+AR81/1000)</f>
        <v/>
      </c>
      <c r="AT81" s="692" t="str">
        <f aca="false">IF('conversion datos'!$L$30='Patrones LACOMET'!$D$3,(IF(N81="","",AS81*39.37008)),IF('conversion datos'!$L$30='Patrones LACOMET'!$D$4,AS81,"No existe el patrón"))</f>
        <v/>
      </c>
      <c r="BI81" s="564"/>
      <c r="BJ81" s="564"/>
      <c r="BK81" s="564"/>
      <c r="BL81" s="564"/>
      <c r="BM81" s="655"/>
      <c r="BN81" s="655"/>
    </row>
    <row r="82" customFormat="false" ht="19.5" hidden="false" customHeight="true" outlineLevel="0" collapsed="false">
      <c r="A82" s="81" t="n">
        <f aca="false">+CALIBRACION!A65</f>
        <v>54</v>
      </c>
      <c r="B82" s="672" t="str">
        <f aca="false">IF(CALIBRACION!H65="","",CALIBRACION!H65)</f>
        <v/>
      </c>
      <c r="C82" s="693" t="str">
        <f aca="false">IF(B82="","",+($F$20)/SQRT((5)))</f>
        <v/>
      </c>
      <c r="D82" s="693" t="str">
        <f aca="false">IF(B82="","",$F$21/SQRT((3)))</f>
        <v/>
      </c>
      <c r="E82" s="693" t="str">
        <f aca="false">IF(B82="","",$F$22/(SQRT(12)))</f>
        <v/>
      </c>
      <c r="F82" s="693" t="str">
        <f aca="false">IF(B82="","",$F$23/(SQRT(3)))</f>
        <v/>
      </c>
      <c r="G82" s="694" t="str">
        <f aca="false">IF(B82="","",(SQRT((+C82^2+D82^2+E82^2+F82^2))/(10^-3)))</f>
        <v/>
      </c>
      <c r="H82" s="675" t="str">
        <f aca="false">IF(B82="","",(IF('conversion datos'!$L$30='Patrones LACOMET'!$D$3,(VLOOKUP(B82,'BLOQUES PATRON (pulg) '!$K$5:$Q$86,6,FALSE())*1000),IF('conversion datos'!$L$30='Patrones LACOMET'!$D$4,(VLOOKUP(B82,'BLOQUES PATRON (mm)'!$D$5:$H$126,5,FALSE())),"No existe el patrón"))))</f>
        <v/>
      </c>
      <c r="I82" s="676" t="str">
        <f aca="false">IF(B82="","",0.42^2)</f>
        <v/>
      </c>
      <c r="J82" s="676" t="str">
        <f aca="false">IF(B82="","",IF('conversion datos'!$L$30='Patrones LACOMET'!$D$3,LOOKUP(B82,'BLOQUES PATRON (pulg) '!$S$5:$S$86,'BLOQUES PATRON (pulg) '!$Z$5:$Z$86),IF('conversion datos'!$L$30='Patrones LACOMET'!$D$4,LOOKUP(B82,'BLOQUES PATRON (mm)'!$O$5:$O$126,'BLOQUES PATRON (mm)'!$U$5:$U$126),"No existe el patrón")))</f>
        <v/>
      </c>
      <c r="K82" s="677" t="str">
        <f aca="false">IF(B82="","",SQRT((H82^2)+(J82^2)+(I82^2)))</f>
        <v/>
      </c>
      <c r="L82" s="695" t="str">
        <f aca="false">IF(B82="","",$G$4)</f>
        <v/>
      </c>
      <c r="M82" s="695" t="str">
        <f aca="false">IF(B82="","",($G$5))</f>
        <v/>
      </c>
      <c r="N82" s="695" t="str">
        <f aca="false">IF(B82="","",($G$6))</f>
        <v/>
      </c>
      <c r="O82" s="696" t="str">
        <f aca="false">IF(B82="","",(($G$7)))</f>
        <v/>
      </c>
      <c r="P82" s="697" t="str">
        <f aca="false">IF(B82="","",$G$8)</f>
        <v/>
      </c>
      <c r="Q82" s="698" t="str">
        <f aca="false">IF(B82="","",SQRT((L82^2)*(M82^2)+(N82^2)+(O82^2)+(P82^2)))</f>
        <v/>
      </c>
      <c r="R82" s="699" t="str">
        <f aca="false">IF(B82="","",($G$12))</f>
        <v/>
      </c>
      <c r="S82" s="699" t="str">
        <f aca="false">IF(B82="","",($G$13))</f>
        <v/>
      </c>
      <c r="T82" s="700" t="str">
        <f aca="false">IF(B82="","",+$F$14/SQRT(12))</f>
        <v/>
      </c>
      <c r="U82" s="684" t="str">
        <f aca="false">IF(B82="","",(($M$17)/2)*1000)</f>
        <v/>
      </c>
      <c r="V82" s="685" t="str">
        <f aca="false">+IF(B82="","",+$G$15)</f>
        <v/>
      </c>
      <c r="W82" s="685" t="str">
        <f aca="false">+IF(B82="","",+$G$16)</f>
        <v/>
      </c>
      <c r="X82" s="685" t="str">
        <f aca="false">+IF(B82="","",+$G$17)</f>
        <v/>
      </c>
      <c r="Y82" s="686" t="str">
        <f aca="false">+IF(B82="","",K82*$G$9)</f>
        <v/>
      </c>
      <c r="Z82" s="686" t="str">
        <f aca="false">+IF(B82="","",K82*$G$12)</f>
        <v/>
      </c>
      <c r="AA82" s="686" t="str">
        <f aca="false">+IF(B82="","",K82*$G$13)</f>
        <v/>
      </c>
      <c r="AB82" s="686" t="str">
        <f aca="false">+IF(B82="","",K82*T82)</f>
        <v/>
      </c>
      <c r="AC82" s="687" t="str">
        <f aca="false">IF(B82="","",('SENSIBILIDAD 2'!B59^2)*(G82^2))</f>
        <v/>
      </c>
      <c r="AD82" s="688" t="str">
        <f aca="false">IF(B82="","",('SENSIBILIDAD 2'!C59^2)*(K82^2))</f>
        <v/>
      </c>
      <c r="AE82" s="688" t="str">
        <f aca="false">IF(B82="","",'SENSIBILIDAD 2'!D59^2*(R82^2))</f>
        <v/>
      </c>
      <c r="AF82" s="688" t="str">
        <f aca="false">IF(B82="","",'SENSIBILIDAD 2'!E59^2*(S82^2))</f>
        <v/>
      </c>
      <c r="AG82" s="688" t="str">
        <f aca="false">IF(B82="","",'SENSIBILIDAD 2'!F59^2*(T82^2))</f>
        <v/>
      </c>
      <c r="AH82" s="688" t="str">
        <f aca="false">IF(B82="","",(('SENSIBILIDAD 2'!G59)^2)*(Q82^2))</f>
        <v/>
      </c>
      <c r="AI82" s="688" t="str">
        <f aca="false">IF(B82="","",'SENSIBILIDAD 2'!H59^2*(U82^2))</f>
        <v/>
      </c>
      <c r="AJ82" s="688" t="str">
        <f aca="false">IF(B82="","",'SENSIBILIDAD 2'!M59^2*(V82^2))</f>
        <v/>
      </c>
      <c r="AK82" s="688" t="str">
        <f aca="false">IF(B82="","",'SENSIBILIDAD 2'!N59^2*(W82^2))</f>
        <v/>
      </c>
      <c r="AL82" s="688" t="str">
        <f aca="false">IF(B82="","",'SENSIBILIDAD 2'!O59^2*(X82^2))</f>
        <v/>
      </c>
      <c r="AM82" s="688" t="str">
        <f aca="false">IF($B82="","",(Y82^2)*('SENSIBILIDAD 2'!K59^2))</f>
        <v/>
      </c>
      <c r="AN82" s="688" t="str">
        <f aca="false">IF($B82="","",(Z82^2)*('SENSIBILIDAD 2'!I59^2))</f>
        <v/>
      </c>
      <c r="AO82" s="688" t="str">
        <f aca="false">IF($B82="","",(AA82^2)*('SENSIBILIDAD 2'!J59^2))</f>
        <v/>
      </c>
      <c r="AP82" s="688" t="str">
        <f aca="false">IF($B82="","",(AB82^2)*('SENSIBILIDAD 2'!L59^2))</f>
        <v/>
      </c>
      <c r="AQ82" s="689" t="str">
        <f aca="false">IF(B82="","",SQRT(AC82+AD82+AE82+AF82+AG82+AH82+AI82+AJ82+AK82+AL82+AM82+AN82+AO82+AP82))</f>
        <v/>
      </c>
      <c r="AR82" s="701" t="str">
        <f aca="false">IF(B82="","",2*AQ82)</f>
        <v/>
      </c>
      <c r="AS82" s="706" t="str">
        <f aca="false">IF(B82="","",+AR82/1000)</f>
        <v/>
      </c>
      <c r="AT82" s="692" t="str">
        <f aca="false">IF('conversion datos'!$L$30='Patrones LACOMET'!$D$3,(IF(N82="","",AS82*39.37008)),IF('conversion datos'!$L$30='Patrones LACOMET'!$D$4,AS82,"No existe el patrón"))</f>
        <v/>
      </c>
      <c r="BI82" s="564"/>
      <c r="BJ82" s="564"/>
      <c r="BK82" s="564"/>
      <c r="BL82" s="564"/>
      <c r="BM82" s="655"/>
      <c r="BN82" s="655"/>
    </row>
    <row r="83" customFormat="false" ht="19.5" hidden="false" customHeight="true" outlineLevel="0" collapsed="false">
      <c r="A83" s="81" t="n">
        <f aca="false">+CALIBRACION!A66</f>
        <v>55</v>
      </c>
      <c r="B83" s="672" t="str">
        <f aca="false">IF(CALIBRACION!H66="","",CALIBRACION!H66)</f>
        <v/>
      </c>
      <c r="C83" s="693" t="str">
        <f aca="false">IF(B83="","",+($F$20)/SQRT((5)))</f>
        <v/>
      </c>
      <c r="D83" s="693" t="str">
        <f aca="false">IF(B83="","",$F$21/SQRT((3)))</f>
        <v/>
      </c>
      <c r="E83" s="693" t="str">
        <f aca="false">IF(B83="","",$F$22/(SQRT(12)))</f>
        <v/>
      </c>
      <c r="F83" s="693" t="str">
        <f aca="false">IF(B83="","",$F$23/(SQRT(3)))</f>
        <v/>
      </c>
      <c r="G83" s="694" t="str">
        <f aca="false">IF(B83="","",(SQRT((+C83^2+D83^2+E83^2+F83^2))/(10^-3)))</f>
        <v/>
      </c>
      <c r="H83" s="675" t="str">
        <f aca="false">IF(B83="","",(IF('conversion datos'!$L$30='Patrones LACOMET'!$D$3,(VLOOKUP(B83,'BLOQUES PATRON (pulg) '!$K$5:$Q$86,6,FALSE())*1000),IF('conversion datos'!$L$30='Patrones LACOMET'!$D$4,(VLOOKUP(B83,'BLOQUES PATRON (mm)'!$D$5:$H$126,5,FALSE())),"No existe el patrón"))))</f>
        <v/>
      </c>
      <c r="I83" s="676" t="str">
        <f aca="false">IF(B83="","",0.42^2)</f>
        <v/>
      </c>
      <c r="J83" s="676" t="str">
        <f aca="false">IF(B83="","",IF('conversion datos'!$L$30='Patrones LACOMET'!$D$3,LOOKUP(B83,'BLOQUES PATRON (pulg) '!$S$5:$S$86,'BLOQUES PATRON (pulg) '!$Z$5:$Z$86),IF('conversion datos'!$L$30='Patrones LACOMET'!$D$4,LOOKUP(B83,'BLOQUES PATRON (mm)'!$O$5:$O$126,'BLOQUES PATRON (mm)'!$U$5:$U$126),"No existe el patrón")))</f>
        <v/>
      </c>
      <c r="K83" s="677" t="str">
        <f aca="false">IF(B83="","",SQRT((H83^2)+(J83^2)+(I83^2)))</f>
        <v/>
      </c>
      <c r="L83" s="695" t="str">
        <f aca="false">IF(B83="","",$G$4)</f>
        <v/>
      </c>
      <c r="M83" s="695" t="str">
        <f aca="false">IF(B83="","",($G$5))</f>
        <v/>
      </c>
      <c r="N83" s="695" t="str">
        <f aca="false">IF(B83="","",($G$6))</f>
        <v/>
      </c>
      <c r="O83" s="696" t="str">
        <f aca="false">IF(B83="","",(($G$7)))</f>
        <v/>
      </c>
      <c r="P83" s="697" t="str">
        <f aca="false">IF(B83="","",$G$8)</f>
        <v/>
      </c>
      <c r="Q83" s="698" t="str">
        <f aca="false">IF(B83="","",SQRT((L83^2)*(M83^2)+(N83^2)+(O83^2)+(P83^2)))</f>
        <v/>
      </c>
      <c r="R83" s="699" t="str">
        <f aca="false">IF(B83="","",($G$12))</f>
        <v/>
      </c>
      <c r="S83" s="699" t="str">
        <f aca="false">IF(B83="","",($G$13))</f>
        <v/>
      </c>
      <c r="T83" s="700" t="str">
        <f aca="false">IF(B83="","",+$F$14/SQRT(12))</f>
        <v/>
      </c>
      <c r="U83" s="684" t="str">
        <f aca="false">IF(B83="","",(($M$17)/2)*1000)</f>
        <v/>
      </c>
      <c r="V83" s="685" t="str">
        <f aca="false">+IF(B83="","",+$G$15)</f>
        <v/>
      </c>
      <c r="W83" s="685" t="str">
        <f aca="false">+IF(B83="","",+$G$16)</f>
        <v/>
      </c>
      <c r="X83" s="685" t="str">
        <f aca="false">+IF(B83="","",+$G$17)</f>
        <v/>
      </c>
      <c r="Y83" s="686" t="str">
        <f aca="false">+IF(B83="","",K83*$G$9)</f>
        <v/>
      </c>
      <c r="Z83" s="686" t="str">
        <f aca="false">+IF(B83="","",K83*$G$12)</f>
        <v/>
      </c>
      <c r="AA83" s="686" t="str">
        <f aca="false">+IF(B83="","",K83*$G$13)</f>
        <v/>
      </c>
      <c r="AB83" s="686" t="str">
        <f aca="false">+IF(B83="","",K83*T83)</f>
        <v/>
      </c>
      <c r="AC83" s="687" t="str">
        <f aca="false">IF(B83="","",('SENSIBILIDAD 2'!B60^2)*(G83^2))</f>
        <v/>
      </c>
      <c r="AD83" s="688" t="str">
        <f aca="false">IF(B83="","",('SENSIBILIDAD 2'!C60^2)*(K83^2))</f>
        <v/>
      </c>
      <c r="AE83" s="688" t="str">
        <f aca="false">IF(B83="","",'SENSIBILIDAD 2'!D60^2*(R83^2))</f>
        <v/>
      </c>
      <c r="AF83" s="688" t="str">
        <f aca="false">IF(B83="","",'SENSIBILIDAD 2'!E60^2*(S83^2))</f>
        <v/>
      </c>
      <c r="AG83" s="688" t="str">
        <f aca="false">IF(B83="","",'SENSIBILIDAD 2'!F60^2*(T83^2))</f>
        <v/>
      </c>
      <c r="AH83" s="688" t="str">
        <f aca="false">IF(B83="","",(('SENSIBILIDAD 2'!G60)^2)*(Q83^2))</f>
        <v/>
      </c>
      <c r="AI83" s="688" t="str">
        <f aca="false">IF(B83="","",'SENSIBILIDAD 2'!H60^2*(U83^2))</f>
        <v/>
      </c>
      <c r="AJ83" s="688" t="str">
        <f aca="false">IF(B83="","",'SENSIBILIDAD 2'!M60^2*(V83^2))</f>
        <v/>
      </c>
      <c r="AK83" s="688" t="str">
        <f aca="false">IF(B83="","",'SENSIBILIDAD 2'!N60^2*(W83^2))</f>
        <v/>
      </c>
      <c r="AL83" s="688" t="str">
        <f aca="false">IF(B83="","",'SENSIBILIDAD 2'!O60^2*(X83^2))</f>
        <v/>
      </c>
      <c r="AM83" s="688" t="str">
        <f aca="false">IF($B83="","",(Y83^2)*('SENSIBILIDAD 2'!K60^2))</f>
        <v/>
      </c>
      <c r="AN83" s="688" t="str">
        <f aca="false">IF($B83="","",(Z83^2)*('SENSIBILIDAD 2'!I60^2))</f>
        <v/>
      </c>
      <c r="AO83" s="688" t="str">
        <f aca="false">IF($B83="","",(AA83^2)*('SENSIBILIDAD 2'!J60^2))</f>
        <v/>
      </c>
      <c r="AP83" s="688" t="str">
        <f aca="false">IF($B83="","",(AB83^2)*('SENSIBILIDAD 2'!L60^2))</f>
        <v/>
      </c>
      <c r="AQ83" s="689" t="str">
        <f aca="false">IF(B83="","",SQRT(AC83+AD83+AE83+AF83+AG83+AH83+AI83+AJ83+AK83+AL83+AM83+AN83+AO83+AP83))</f>
        <v/>
      </c>
      <c r="AR83" s="701" t="str">
        <f aca="false">IF(B83="","",2*AQ83)</f>
        <v/>
      </c>
      <c r="AS83" s="706" t="str">
        <f aca="false">IF(B83="","",+AR83/1000)</f>
        <v/>
      </c>
      <c r="AT83" s="692" t="str">
        <f aca="false">IF('conversion datos'!$L$30='Patrones LACOMET'!$D$3,(IF(N83="","",AS83*39.37008)),IF('conversion datos'!$L$30='Patrones LACOMET'!$D$4,AS83,"No existe el patrón"))</f>
        <v/>
      </c>
      <c r="BI83" s="564"/>
      <c r="BJ83" s="564"/>
      <c r="BK83" s="564"/>
      <c r="BL83" s="564"/>
      <c r="BM83" s="655"/>
      <c r="BN83" s="655"/>
    </row>
    <row r="84" customFormat="false" ht="19.5" hidden="false" customHeight="true" outlineLevel="0" collapsed="false">
      <c r="A84" s="81" t="n">
        <f aca="false">+CALIBRACION!A67</f>
        <v>56</v>
      </c>
      <c r="B84" s="672" t="str">
        <f aca="false">IF(CALIBRACION!H67="","",CALIBRACION!H67)</f>
        <v/>
      </c>
      <c r="C84" s="693" t="str">
        <f aca="false">IF(B84="","",+($F$20)/SQRT((5)))</f>
        <v/>
      </c>
      <c r="D84" s="693" t="str">
        <f aca="false">IF(B84="","",$F$21/SQRT((3)))</f>
        <v/>
      </c>
      <c r="E84" s="693" t="str">
        <f aca="false">IF(B84="","",$F$22/(SQRT(12)))</f>
        <v/>
      </c>
      <c r="F84" s="693" t="str">
        <f aca="false">IF(B84="","",$F$23/(SQRT(3)))</f>
        <v/>
      </c>
      <c r="G84" s="694" t="str">
        <f aca="false">IF(B84="","",(SQRT((+C84^2+D84^2+E84^2+F84^2))/(10^-3)))</f>
        <v/>
      </c>
      <c r="H84" s="675" t="str">
        <f aca="false">IF(B84="","",(IF('conversion datos'!$L$30='Patrones LACOMET'!$D$3,(VLOOKUP(B84,'BLOQUES PATRON (pulg) '!$K$5:$Q$86,6,FALSE())*1000),IF('conversion datos'!$L$30='Patrones LACOMET'!$D$4,(VLOOKUP(B84,'BLOQUES PATRON (mm)'!$D$5:$H$126,5,FALSE())),"No existe el patrón"))))</f>
        <v/>
      </c>
      <c r="I84" s="676" t="str">
        <f aca="false">IF(B84="","",0.42^2)</f>
        <v/>
      </c>
      <c r="J84" s="676" t="str">
        <f aca="false">IF(B84="","",IF('conversion datos'!$L$30='Patrones LACOMET'!$D$3,LOOKUP(B84,'BLOQUES PATRON (pulg) '!$S$5:$S$86,'BLOQUES PATRON (pulg) '!$Z$5:$Z$86),IF('conversion datos'!$L$30='Patrones LACOMET'!$D$4,LOOKUP(B84,'BLOQUES PATRON (mm)'!$O$5:$O$126,'BLOQUES PATRON (mm)'!$U$5:$U$126),"No existe el patrón")))</f>
        <v/>
      </c>
      <c r="K84" s="677" t="str">
        <f aca="false">IF(B84="","",SQRT((H84^2)+(J84^2)+(I84^2)))</f>
        <v/>
      </c>
      <c r="L84" s="695" t="str">
        <f aca="false">IF(B84="","",$G$4)</f>
        <v/>
      </c>
      <c r="M84" s="695" t="str">
        <f aca="false">IF(B84="","",($G$5))</f>
        <v/>
      </c>
      <c r="N84" s="695" t="str">
        <f aca="false">IF(B84="","",($G$6))</f>
        <v/>
      </c>
      <c r="O84" s="696" t="str">
        <f aca="false">IF(B84="","",(($G$7)))</f>
        <v/>
      </c>
      <c r="P84" s="697" t="str">
        <f aca="false">IF(B84="","",$G$8)</f>
        <v/>
      </c>
      <c r="Q84" s="698" t="str">
        <f aca="false">IF(B84="","",SQRT((L84^2)*(M84^2)+(N84^2)+(O84^2)+(P84^2)))</f>
        <v/>
      </c>
      <c r="R84" s="699" t="str">
        <f aca="false">IF(B84="","",($G$12))</f>
        <v/>
      </c>
      <c r="S84" s="699" t="str">
        <f aca="false">IF(B84="","",($G$13))</f>
        <v/>
      </c>
      <c r="T84" s="700" t="str">
        <f aca="false">IF(B84="","",+$F$14/SQRT(12))</f>
        <v/>
      </c>
      <c r="U84" s="684" t="str">
        <f aca="false">IF(B84="","",(($M$17)/2)*1000)</f>
        <v/>
      </c>
      <c r="V84" s="685" t="str">
        <f aca="false">+IF(B84="","",+$G$15)</f>
        <v/>
      </c>
      <c r="W84" s="685" t="str">
        <f aca="false">+IF(B84="","",+$G$16)</f>
        <v/>
      </c>
      <c r="X84" s="685" t="str">
        <f aca="false">+IF(B84="","",+$G$17)</f>
        <v/>
      </c>
      <c r="Y84" s="686" t="str">
        <f aca="false">+IF(B84="","",K84*$G$9)</f>
        <v/>
      </c>
      <c r="Z84" s="686" t="str">
        <f aca="false">+IF(B84="","",K84*$G$12)</f>
        <v/>
      </c>
      <c r="AA84" s="686" t="str">
        <f aca="false">+IF(B84="","",K84*$G$13)</f>
        <v/>
      </c>
      <c r="AB84" s="686" t="str">
        <f aca="false">+IF(B84="","",K84*T84)</f>
        <v/>
      </c>
      <c r="AC84" s="687" t="str">
        <f aca="false">IF(B84="","",('SENSIBILIDAD 2'!B61^2)*(G84^2))</f>
        <v/>
      </c>
      <c r="AD84" s="688" t="str">
        <f aca="false">IF(B84="","",('SENSIBILIDAD 2'!C61^2)*(K84^2))</f>
        <v/>
      </c>
      <c r="AE84" s="688" t="str">
        <f aca="false">IF(B84="","",'SENSIBILIDAD 2'!D61^2*(R84^2))</f>
        <v/>
      </c>
      <c r="AF84" s="688" t="str">
        <f aca="false">IF(B84="","",'SENSIBILIDAD 2'!E61^2*(S84^2))</f>
        <v/>
      </c>
      <c r="AG84" s="688" t="str">
        <f aca="false">IF(B84="","",'SENSIBILIDAD 2'!F61^2*(T84^2))</f>
        <v/>
      </c>
      <c r="AH84" s="688" t="str">
        <f aca="false">IF(B84="","",(('SENSIBILIDAD 2'!G61)^2)*(Q84^2))</f>
        <v/>
      </c>
      <c r="AI84" s="688" t="str">
        <f aca="false">IF(B84="","",'SENSIBILIDAD 2'!H61^2*(U84^2))</f>
        <v/>
      </c>
      <c r="AJ84" s="688" t="str">
        <f aca="false">IF(B84="","",'SENSIBILIDAD 2'!M61^2*(V84^2))</f>
        <v/>
      </c>
      <c r="AK84" s="688" t="str">
        <f aca="false">IF(B84="","",'SENSIBILIDAD 2'!N61^2*(W84^2))</f>
        <v/>
      </c>
      <c r="AL84" s="688" t="str">
        <f aca="false">IF(B84="","",'SENSIBILIDAD 2'!O61^2*(X84^2))</f>
        <v/>
      </c>
      <c r="AM84" s="688" t="str">
        <f aca="false">IF($B84="","",(Y84^2)*('SENSIBILIDAD 2'!K61^2))</f>
        <v/>
      </c>
      <c r="AN84" s="688" t="str">
        <f aca="false">IF($B84="","",(Z84^2)*('SENSIBILIDAD 2'!I61^2))</f>
        <v/>
      </c>
      <c r="AO84" s="688" t="str">
        <f aca="false">IF($B84="","",(AA84^2)*('SENSIBILIDAD 2'!J61^2))</f>
        <v/>
      </c>
      <c r="AP84" s="688" t="str">
        <f aca="false">IF($B84="","",(AB84^2)*('SENSIBILIDAD 2'!L61^2))</f>
        <v/>
      </c>
      <c r="AQ84" s="689" t="str">
        <f aca="false">IF(B84="","",SQRT(AC84+AD84+AE84+AF84+AG84+AH84+AI84+AJ84+AK84+AL84+AM84+AN84+AO84+AP84))</f>
        <v/>
      </c>
      <c r="AR84" s="701" t="str">
        <f aca="false">IF(B84="","",2*AQ84)</f>
        <v/>
      </c>
      <c r="AS84" s="706" t="str">
        <f aca="false">IF(B84="","",+AR84/1000)</f>
        <v/>
      </c>
      <c r="AT84" s="692" t="str">
        <f aca="false">IF('conversion datos'!$L$30='Patrones LACOMET'!$D$3,(IF(N84="","",AS84*39.37008)),IF('conversion datos'!$L$30='Patrones LACOMET'!$D$4,AS84,"No existe el patrón"))</f>
        <v/>
      </c>
      <c r="BI84" s="564"/>
      <c r="BJ84" s="564"/>
      <c r="BK84" s="564"/>
      <c r="BL84" s="564"/>
      <c r="BM84" s="655"/>
      <c r="BN84" s="655"/>
    </row>
    <row r="85" customFormat="false" ht="19.5" hidden="false" customHeight="true" outlineLevel="0" collapsed="false">
      <c r="A85" s="81" t="n">
        <f aca="false">+CALIBRACION!A68</f>
        <v>57</v>
      </c>
      <c r="B85" s="672" t="str">
        <f aca="false">IF(CALIBRACION!H68="","",CALIBRACION!H68)</f>
        <v/>
      </c>
      <c r="C85" s="693" t="str">
        <f aca="false">IF(B85="","",+($F$20)/SQRT((5)))</f>
        <v/>
      </c>
      <c r="D85" s="693" t="str">
        <f aca="false">IF(B85="","",$F$21/SQRT((3)))</f>
        <v/>
      </c>
      <c r="E85" s="693" t="str">
        <f aca="false">IF(B85="","",$F$22/(SQRT(12)))</f>
        <v/>
      </c>
      <c r="F85" s="693" t="str">
        <f aca="false">IF(B85="","",$F$23/(SQRT(3)))</f>
        <v/>
      </c>
      <c r="G85" s="694" t="str">
        <f aca="false">IF(B85="","",(SQRT((+C85^2+D85^2+E85^2+F85^2))/(10^-3)))</f>
        <v/>
      </c>
      <c r="H85" s="675" t="str">
        <f aca="false">IF(B85="","",(IF('conversion datos'!$L$30='Patrones LACOMET'!$D$3,(VLOOKUP(B85,'BLOQUES PATRON (pulg) '!$K$5:$Q$86,6,FALSE())*1000),IF('conversion datos'!$L$30='Patrones LACOMET'!$D$4,(VLOOKUP(B85,'BLOQUES PATRON (mm)'!$D$5:$H$126,5,FALSE())),"No existe el patrón"))))</f>
        <v/>
      </c>
      <c r="I85" s="676" t="str">
        <f aca="false">IF(B85="","",0.42^2)</f>
        <v/>
      </c>
      <c r="J85" s="676" t="str">
        <f aca="false">IF(B85="","",IF('conversion datos'!$L$30='Patrones LACOMET'!$D$3,LOOKUP(B85,'BLOQUES PATRON (pulg) '!$S$5:$S$86,'BLOQUES PATRON (pulg) '!$Z$5:$Z$86),IF('conversion datos'!$L$30='Patrones LACOMET'!$D$4,LOOKUP(B85,'BLOQUES PATRON (mm)'!$O$5:$O$126,'BLOQUES PATRON (mm)'!$U$5:$U$126),"No existe el patrón")))</f>
        <v/>
      </c>
      <c r="K85" s="677" t="str">
        <f aca="false">IF(B85="","",SQRT((H85^2)+(J85^2)+(I85^2)))</f>
        <v/>
      </c>
      <c r="L85" s="695" t="str">
        <f aca="false">IF(B85="","",$G$4)</f>
        <v/>
      </c>
      <c r="M85" s="695" t="str">
        <f aca="false">IF(B85="","",($G$5))</f>
        <v/>
      </c>
      <c r="N85" s="695" t="str">
        <f aca="false">IF(B85="","",($G$6))</f>
        <v/>
      </c>
      <c r="O85" s="696" t="str">
        <f aca="false">IF(B85="","",(($G$7)))</f>
        <v/>
      </c>
      <c r="P85" s="697" t="str">
        <f aca="false">IF(B85="","",$G$8)</f>
        <v/>
      </c>
      <c r="Q85" s="698" t="str">
        <f aca="false">IF(B85="","",SQRT((L85^2)*(M85^2)+(N85^2)+(O85^2)+(P85^2)))</f>
        <v/>
      </c>
      <c r="R85" s="699" t="str">
        <f aca="false">IF(B85="","",($G$12))</f>
        <v/>
      </c>
      <c r="S85" s="699" t="str">
        <f aca="false">IF(B85="","",($G$13))</f>
        <v/>
      </c>
      <c r="T85" s="700" t="str">
        <f aca="false">IF(B85="","",+$F$14/SQRT(12))</f>
        <v/>
      </c>
      <c r="U85" s="684" t="str">
        <f aca="false">IF(B85="","",(($M$17)/2)*1000)</f>
        <v/>
      </c>
      <c r="V85" s="685" t="str">
        <f aca="false">+IF(B85="","",+$G$15)</f>
        <v/>
      </c>
      <c r="W85" s="685" t="str">
        <f aca="false">+IF(B85="","",+$G$16)</f>
        <v/>
      </c>
      <c r="X85" s="685" t="str">
        <f aca="false">+IF(B85="","",+$G$17)</f>
        <v/>
      </c>
      <c r="Y85" s="686" t="str">
        <f aca="false">+IF(B85="","",K85*$G$9)</f>
        <v/>
      </c>
      <c r="Z85" s="686" t="str">
        <f aca="false">+IF(B85="","",K85*$G$12)</f>
        <v/>
      </c>
      <c r="AA85" s="686" t="str">
        <f aca="false">+IF(B85="","",K85*$G$13)</f>
        <v/>
      </c>
      <c r="AB85" s="686" t="str">
        <f aca="false">+IF(B85="","",K85*T85)</f>
        <v/>
      </c>
      <c r="AC85" s="687" t="str">
        <f aca="false">IF(B85="","",('SENSIBILIDAD 2'!B62^2)*(G85^2))</f>
        <v/>
      </c>
      <c r="AD85" s="688" t="str">
        <f aca="false">IF(B85="","",('SENSIBILIDAD 2'!C62^2)*(K85^2))</f>
        <v/>
      </c>
      <c r="AE85" s="688" t="str">
        <f aca="false">IF(B85="","",'SENSIBILIDAD 2'!D62^2*(R85^2))</f>
        <v/>
      </c>
      <c r="AF85" s="688" t="str">
        <f aca="false">IF(B85="","",'SENSIBILIDAD 2'!E62^2*(S85^2))</f>
        <v/>
      </c>
      <c r="AG85" s="688" t="str">
        <f aca="false">IF(B85="","",'SENSIBILIDAD 2'!F62^2*(T85^2))</f>
        <v/>
      </c>
      <c r="AH85" s="688" t="str">
        <f aca="false">IF(B85="","",(('SENSIBILIDAD 2'!G62)^2)*(Q85^2))</f>
        <v/>
      </c>
      <c r="AI85" s="688" t="str">
        <f aca="false">IF(B85="","",'SENSIBILIDAD 2'!H62^2*(U85^2))</f>
        <v/>
      </c>
      <c r="AJ85" s="688" t="str">
        <f aca="false">IF(B85="","",'SENSIBILIDAD 2'!M62^2*(V85^2))</f>
        <v/>
      </c>
      <c r="AK85" s="688" t="str">
        <f aca="false">IF(B85="","",'SENSIBILIDAD 2'!N62^2*(W85^2))</f>
        <v/>
      </c>
      <c r="AL85" s="688" t="str">
        <f aca="false">IF(B85="","",'SENSIBILIDAD 2'!O62^2*(X85^2))</f>
        <v/>
      </c>
      <c r="AM85" s="688" t="str">
        <f aca="false">IF($B85="","",(Y85^2)*('SENSIBILIDAD 2'!K62^2))</f>
        <v/>
      </c>
      <c r="AN85" s="688" t="str">
        <f aca="false">IF($B85="","",(Z85^2)*('SENSIBILIDAD 2'!I62^2))</f>
        <v/>
      </c>
      <c r="AO85" s="688" t="str">
        <f aca="false">IF($B85="","",(AA85^2)*('SENSIBILIDAD 2'!J62^2))</f>
        <v/>
      </c>
      <c r="AP85" s="688" t="str">
        <f aca="false">IF($B85="","",(AB85^2)*('SENSIBILIDAD 2'!L62^2))</f>
        <v/>
      </c>
      <c r="AQ85" s="689" t="str">
        <f aca="false">IF(B85="","",SQRT(AC85+AD85+AE85+AF85+AG85+AH85+AI85+AJ85+AK85+AL85+AM85+AN85+AO85+AP85))</f>
        <v/>
      </c>
      <c r="AR85" s="701" t="str">
        <f aca="false">IF(B85="","",2*AQ85)</f>
        <v/>
      </c>
      <c r="AS85" s="706" t="str">
        <f aca="false">IF(B85="","",+AR85/1000)</f>
        <v/>
      </c>
      <c r="AT85" s="692" t="str">
        <f aca="false">IF('conversion datos'!$L$30='Patrones LACOMET'!$D$3,(IF(N85="","",AS85*39.37008)),IF('conversion datos'!$L$30='Patrones LACOMET'!$D$4,AS85,"No existe el patrón"))</f>
        <v/>
      </c>
      <c r="BI85" s="564"/>
      <c r="BJ85" s="564"/>
      <c r="BK85" s="564"/>
      <c r="BL85" s="564"/>
      <c r="BM85" s="655"/>
      <c r="BN85" s="655"/>
    </row>
    <row r="86" customFormat="false" ht="19.5" hidden="false" customHeight="true" outlineLevel="0" collapsed="false">
      <c r="A86" s="81" t="n">
        <f aca="false">+CALIBRACION!A69</f>
        <v>58</v>
      </c>
      <c r="B86" s="672" t="str">
        <f aca="false">IF(CALIBRACION!H69="","",CALIBRACION!H69)</f>
        <v/>
      </c>
      <c r="C86" s="693" t="str">
        <f aca="false">IF(B86="","",+($F$20)/SQRT((5)))</f>
        <v/>
      </c>
      <c r="D86" s="693" t="str">
        <f aca="false">IF(B86="","",$F$21/SQRT((3)))</f>
        <v/>
      </c>
      <c r="E86" s="693" t="str">
        <f aca="false">IF(B86="","",$F$22/(SQRT(12)))</f>
        <v/>
      </c>
      <c r="F86" s="693" t="str">
        <f aca="false">IF(B86="","",$F$23/(SQRT(3)))</f>
        <v/>
      </c>
      <c r="G86" s="694" t="str">
        <f aca="false">IF(B86="","",(SQRT((+C86^2+D86^2+E86^2+F86^2))/(10^-3)))</f>
        <v/>
      </c>
      <c r="H86" s="675" t="str">
        <f aca="false">IF(B86="","",(IF('conversion datos'!$L$30='Patrones LACOMET'!$D$3,(VLOOKUP(B86,'BLOQUES PATRON (pulg) '!$K$5:$Q$86,6,FALSE())*1000),IF('conversion datos'!$L$30='Patrones LACOMET'!$D$4,(VLOOKUP(B86,'BLOQUES PATRON (mm)'!$D$5:$H$126,5,FALSE())),"No existe el patrón"))))</f>
        <v/>
      </c>
      <c r="I86" s="676" t="str">
        <f aca="false">IF(B86="","",0.42^2)</f>
        <v/>
      </c>
      <c r="J86" s="676" t="str">
        <f aca="false">IF(B86="","",IF('conversion datos'!$L$30='Patrones LACOMET'!$D$3,LOOKUP(B86,'BLOQUES PATRON (pulg) '!$S$5:$S$86,'BLOQUES PATRON (pulg) '!$Z$5:$Z$86),IF('conversion datos'!$L$30='Patrones LACOMET'!$D$4,LOOKUP(B86,'BLOQUES PATRON (mm)'!$O$5:$O$126,'BLOQUES PATRON (mm)'!$U$5:$U$126),"No existe el patrón")))</f>
        <v/>
      </c>
      <c r="K86" s="677" t="str">
        <f aca="false">IF(B86="","",SQRT((H86^2)+(J86^2)+(I86^2)))</f>
        <v/>
      </c>
      <c r="L86" s="695" t="str">
        <f aca="false">IF(B86="","",$G$4)</f>
        <v/>
      </c>
      <c r="M86" s="695" t="str">
        <f aca="false">IF(B86="","",($G$5))</f>
        <v/>
      </c>
      <c r="N86" s="695" t="str">
        <f aca="false">IF(B86="","",($G$6))</f>
        <v/>
      </c>
      <c r="O86" s="696" t="str">
        <f aca="false">IF(B86="","",(($G$7)))</f>
        <v/>
      </c>
      <c r="P86" s="697" t="str">
        <f aca="false">IF(B86="","",$G$8)</f>
        <v/>
      </c>
      <c r="Q86" s="698" t="str">
        <f aca="false">IF(B86="","",SQRT((L86^2)*(M86^2)+(N86^2)+(O86^2)+(P86^2)))</f>
        <v/>
      </c>
      <c r="R86" s="699" t="str">
        <f aca="false">IF(B86="","",($G$12))</f>
        <v/>
      </c>
      <c r="S86" s="699" t="str">
        <f aca="false">IF(B86="","",($G$13))</f>
        <v/>
      </c>
      <c r="T86" s="700" t="str">
        <f aca="false">IF(B86="","",+$F$14/SQRT(12))</f>
        <v/>
      </c>
      <c r="U86" s="684" t="str">
        <f aca="false">IF(B86="","",(($M$17)/2)*1000)</f>
        <v/>
      </c>
      <c r="V86" s="685" t="str">
        <f aca="false">+IF(B86="","",+$G$15)</f>
        <v/>
      </c>
      <c r="W86" s="685" t="str">
        <f aca="false">+IF(B86="","",+$G$16)</f>
        <v/>
      </c>
      <c r="X86" s="685" t="str">
        <f aca="false">+IF(B86="","",+$G$17)</f>
        <v/>
      </c>
      <c r="Y86" s="686" t="str">
        <f aca="false">+IF(B86="","",K86*$G$9)</f>
        <v/>
      </c>
      <c r="Z86" s="686" t="str">
        <f aca="false">+IF(B86="","",K86*$G$12)</f>
        <v/>
      </c>
      <c r="AA86" s="686" t="str">
        <f aca="false">+IF(B86="","",K86*$G$13)</f>
        <v/>
      </c>
      <c r="AB86" s="686" t="str">
        <f aca="false">+IF(B86="","",K86*T86)</f>
        <v/>
      </c>
      <c r="AC86" s="687" t="str">
        <f aca="false">IF(B86="","",('SENSIBILIDAD 2'!B63^2)*(G86^2))</f>
        <v/>
      </c>
      <c r="AD86" s="688" t="str">
        <f aca="false">IF(B86="","",('SENSIBILIDAD 2'!C63^2)*(K86^2))</f>
        <v/>
      </c>
      <c r="AE86" s="688" t="str">
        <f aca="false">IF(B86="","",'SENSIBILIDAD 2'!D63^2*(R86^2))</f>
        <v/>
      </c>
      <c r="AF86" s="688" t="str">
        <f aca="false">IF(B86="","",'SENSIBILIDAD 2'!E63^2*(S86^2))</f>
        <v/>
      </c>
      <c r="AG86" s="688" t="str">
        <f aca="false">IF(B86="","",'SENSIBILIDAD 2'!F63^2*(T86^2))</f>
        <v/>
      </c>
      <c r="AH86" s="688" t="str">
        <f aca="false">IF(B86="","",(('SENSIBILIDAD 2'!G63)^2)*(Q86^2))</f>
        <v/>
      </c>
      <c r="AI86" s="688" t="str">
        <f aca="false">IF(B86="","",'SENSIBILIDAD 2'!H63^2*(U86^2))</f>
        <v/>
      </c>
      <c r="AJ86" s="688" t="str">
        <f aca="false">IF(B86="","",'SENSIBILIDAD 2'!M63^2*(V86^2))</f>
        <v/>
      </c>
      <c r="AK86" s="688" t="str">
        <f aca="false">IF(B86="","",'SENSIBILIDAD 2'!N63^2*(W86^2))</f>
        <v/>
      </c>
      <c r="AL86" s="688" t="str">
        <f aca="false">IF(B86="","",'SENSIBILIDAD 2'!O63^2*(X86^2))</f>
        <v/>
      </c>
      <c r="AM86" s="688" t="str">
        <f aca="false">IF($B86="","",(Y86^2)*('SENSIBILIDAD 2'!K63^2))</f>
        <v/>
      </c>
      <c r="AN86" s="688" t="str">
        <f aca="false">IF($B86="","",(Z86^2)*('SENSIBILIDAD 2'!I63^2))</f>
        <v/>
      </c>
      <c r="AO86" s="688" t="str">
        <f aca="false">IF($B86="","",(AA86^2)*('SENSIBILIDAD 2'!J63^2))</f>
        <v/>
      </c>
      <c r="AP86" s="688" t="str">
        <f aca="false">IF($B86="","",(AB86^2)*('SENSIBILIDAD 2'!L63^2))</f>
        <v/>
      </c>
      <c r="AQ86" s="689" t="str">
        <f aca="false">IF(B86="","",SQRT(AC86+AD86+AE86+AF86+AG86+AH86+AI86+AJ86+AK86+AL86+AM86+AN86+AO86+AP86))</f>
        <v/>
      </c>
      <c r="AR86" s="701" t="str">
        <f aca="false">IF(B86="","",2*AQ86)</f>
        <v/>
      </c>
      <c r="AS86" s="706" t="str">
        <f aca="false">IF(B86="","",+AR86/1000)</f>
        <v/>
      </c>
      <c r="AT86" s="692" t="str">
        <f aca="false">IF('conversion datos'!$L$30='Patrones LACOMET'!$D$3,(IF(N86="","",AS86*39.37008)),IF('conversion datos'!$L$30='Patrones LACOMET'!$D$4,AS86,"No existe el patrón"))</f>
        <v/>
      </c>
      <c r="BI86" s="564"/>
      <c r="BJ86" s="564"/>
      <c r="BK86" s="564"/>
      <c r="BL86" s="564"/>
      <c r="BM86" s="655"/>
      <c r="BN86" s="655"/>
    </row>
    <row r="87" customFormat="false" ht="19.5" hidden="false" customHeight="true" outlineLevel="0" collapsed="false">
      <c r="A87" s="81" t="n">
        <f aca="false">+CALIBRACION!A70</f>
        <v>59</v>
      </c>
      <c r="B87" s="672" t="str">
        <f aca="false">IF(CALIBRACION!H70="","",CALIBRACION!H70)</f>
        <v/>
      </c>
      <c r="C87" s="693" t="str">
        <f aca="false">IF(B87="","",+($F$20)/SQRT((5)))</f>
        <v/>
      </c>
      <c r="D87" s="693" t="str">
        <f aca="false">IF(B87="","",$F$21/SQRT((3)))</f>
        <v/>
      </c>
      <c r="E87" s="693" t="str">
        <f aca="false">IF(B87="","",$F$22/(SQRT(12)))</f>
        <v/>
      </c>
      <c r="F87" s="693" t="str">
        <f aca="false">IF(B87="","",$F$23/(SQRT(3)))</f>
        <v/>
      </c>
      <c r="G87" s="694" t="str">
        <f aca="false">IF(B87="","",(SQRT((+C87^2+D87^2+E87^2+F87^2))/(10^-3)))</f>
        <v/>
      </c>
      <c r="H87" s="675" t="str">
        <f aca="false">IF(B87="","",(IF('conversion datos'!$L$30='Patrones LACOMET'!$D$3,(VLOOKUP(B87,'BLOQUES PATRON (pulg) '!$K$5:$Q$86,6,FALSE())*1000),IF('conversion datos'!$L$30='Patrones LACOMET'!$D$4,(VLOOKUP(B87,'BLOQUES PATRON (mm)'!$D$5:$H$126,5,FALSE())),"No existe el patrón"))))</f>
        <v/>
      </c>
      <c r="I87" s="676" t="str">
        <f aca="false">IF(B87="","",0.42^2)</f>
        <v/>
      </c>
      <c r="J87" s="676" t="str">
        <f aca="false">IF(B87="","",IF('conversion datos'!$L$30='Patrones LACOMET'!$D$3,LOOKUP(B87,'BLOQUES PATRON (pulg) '!$S$5:$S$86,'BLOQUES PATRON (pulg) '!$Z$5:$Z$86),IF('conversion datos'!$L$30='Patrones LACOMET'!$D$4,LOOKUP(B87,'BLOQUES PATRON (mm)'!$O$5:$O$126,'BLOQUES PATRON (mm)'!$U$5:$U$126),"No existe el patrón")))</f>
        <v/>
      </c>
      <c r="K87" s="677" t="str">
        <f aca="false">IF(B87="","",SQRT((H87^2)+(J87^2)+(I87^2)))</f>
        <v/>
      </c>
      <c r="L87" s="695" t="str">
        <f aca="false">IF(B87="","",$G$4)</f>
        <v/>
      </c>
      <c r="M87" s="695" t="str">
        <f aca="false">IF(B87="","",($G$5))</f>
        <v/>
      </c>
      <c r="N87" s="695" t="str">
        <f aca="false">IF(B87="","",($G$6))</f>
        <v/>
      </c>
      <c r="O87" s="696" t="str">
        <f aca="false">IF(B87="","",(($G$7)))</f>
        <v/>
      </c>
      <c r="P87" s="697" t="str">
        <f aca="false">IF(B87="","",$G$8)</f>
        <v/>
      </c>
      <c r="Q87" s="698" t="str">
        <f aca="false">IF(B87="","",SQRT((L87^2)*(M87^2)+(N87^2)+(O87^2)+(P87^2)))</f>
        <v/>
      </c>
      <c r="R87" s="699" t="str">
        <f aca="false">IF(B87="","",($G$12))</f>
        <v/>
      </c>
      <c r="S87" s="699" t="str">
        <f aca="false">IF(B87="","",($G$13))</f>
        <v/>
      </c>
      <c r="T87" s="700" t="str">
        <f aca="false">IF(B87="","",+$F$14/SQRT(12))</f>
        <v/>
      </c>
      <c r="U87" s="684" t="str">
        <f aca="false">IF(B87="","",(($M$17)/2)*1000)</f>
        <v/>
      </c>
      <c r="V87" s="685" t="str">
        <f aca="false">+IF(B87="","",+$G$15)</f>
        <v/>
      </c>
      <c r="W87" s="685" t="str">
        <f aca="false">+IF(B87="","",+$G$16)</f>
        <v/>
      </c>
      <c r="X87" s="685" t="str">
        <f aca="false">+IF(B87="","",+$G$17)</f>
        <v/>
      </c>
      <c r="Y87" s="686" t="str">
        <f aca="false">+IF(B87="","",K87*$G$9)</f>
        <v/>
      </c>
      <c r="Z87" s="686" t="str">
        <f aca="false">+IF(B87="","",K87*$G$12)</f>
        <v/>
      </c>
      <c r="AA87" s="686" t="str">
        <f aca="false">+IF(B87="","",K87*$G$13)</f>
        <v/>
      </c>
      <c r="AB87" s="686" t="str">
        <f aca="false">+IF(B87="","",K87*T87)</f>
        <v/>
      </c>
      <c r="AC87" s="687" t="str">
        <f aca="false">IF(B87="","",('SENSIBILIDAD 2'!B64^2)*(G87^2))</f>
        <v/>
      </c>
      <c r="AD87" s="688" t="str">
        <f aca="false">IF(B87="","",('SENSIBILIDAD 2'!C64^2)*(K87^2))</f>
        <v/>
      </c>
      <c r="AE87" s="688" t="str">
        <f aca="false">IF(B87="","",'SENSIBILIDAD 2'!D64^2*(R87^2))</f>
        <v/>
      </c>
      <c r="AF87" s="688" t="str">
        <f aca="false">IF(B87="","",'SENSIBILIDAD 2'!E64^2*(S87^2))</f>
        <v/>
      </c>
      <c r="AG87" s="688" t="str">
        <f aca="false">IF(B87="","",'SENSIBILIDAD 2'!F64^2*(T87^2))</f>
        <v/>
      </c>
      <c r="AH87" s="688" t="str">
        <f aca="false">IF(B87="","",(('SENSIBILIDAD 2'!G64)^2)*(Q87^2))</f>
        <v/>
      </c>
      <c r="AI87" s="688" t="str">
        <f aca="false">IF(B87="","",'SENSIBILIDAD 2'!H64^2*(U87^2))</f>
        <v/>
      </c>
      <c r="AJ87" s="688" t="str">
        <f aca="false">IF(B87="","",'SENSIBILIDAD 2'!M64^2*(V87^2))</f>
        <v/>
      </c>
      <c r="AK87" s="688" t="str">
        <f aca="false">IF(B87="","",'SENSIBILIDAD 2'!N64^2*(W87^2))</f>
        <v/>
      </c>
      <c r="AL87" s="688" t="str">
        <f aca="false">IF(B87="","",'SENSIBILIDAD 2'!O64^2*(X87^2))</f>
        <v/>
      </c>
      <c r="AM87" s="688" t="str">
        <f aca="false">IF($B87="","",(Y87^2)*('SENSIBILIDAD 2'!K64^2))</f>
        <v/>
      </c>
      <c r="AN87" s="688" t="str">
        <f aca="false">IF($B87="","",(Z87^2)*('SENSIBILIDAD 2'!I64^2))</f>
        <v/>
      </c>
      <c r="AO87" s="688" t="str">
        <f aca="false">IF($B87="","",(AA87^2)*('SENSIBILIDAD 2'!J64^2))</f>
        <v/>
      </c>
      <c r="AP87" s="688" t="str">
        <f aca="false">IF($B87="","",(AB87^2)*('SENSIBILIDAD 2'!L64^2))</f>
        <v/>
      </c>
      <c r="AQ87" s="689" t="str">
        <f aca="false">IF(B87="","",SQRT(AC87+AD87+AE87+AF87+AG87+AH87+AI87+AJ87+AK87+AL87+AM87+AN87+AO87+AP87))</f>
        <v/>
      </c>
      <c r="AR87" s="701" t="str">
        <f aca="false">IF(B87="","",2*AQ87)</f>
        <v/>
      </c>
      <c r="AS87" s="706" t="str">
        <f aca="false">IF(B87="","",+AR87/1000)</f>
        <v/>
      </c>
      <c r="AT87" s="692" t="str">
        <f aca="false">IF('conversion datos'!$L$30='Patrones LACOMET'!$D$3,(IF(N87="","",AS87*39.37008)),IF('conversion datos'!$L$30='Patrones LACOMET'!$D$4,AS87,"No existe el patrón"))</f>
        <v/>
      </c>
      <c r="BI87" s="564"/>
      <c r="BJ87" s="564"/>
      <c r="BK87" s="564"/>
      <c r="BL87" s="564"/>
      <c r="BM87" s="655"/>
      <c r="BN87" s="655"/>
    </row>
    <row r="88" customFormat="false" ht="19.5" hidden="false" customHeight="true" outlineLevel="0" collapsed="false">
      <c r="A88" s="81" t="n">
        <f aca="false">+CALIBRACION!A71</f>
        <v>60</v>
      </c>
      <c r="B88" s="672" t="str">
        <f aca="false">IF(CALIBRACION!H71="","",CALIBRACION!H71)</f>
        <v/>
      </c>
      <c r="C88" s="693" t="str">
        <f aca="false">IF(B88="","",+($F$20)/SQRT((5)))</f>
        <v/>
      </c>
      <c r="D88" s="693" t="str">
        <f aca="false">IF(B88="","",$F$21/SQRT((3)))</f>
        <v/>
      </c>
      <c r="E88" s="693" t="str">
        <f aca="false">IF(B88="","",$F$22/(SQRT(12)))</f>
        <v/>
      </c>
      <c r="F88" s="693" t="str">
        <f aca="false">IF(B88="","",$F$23/(SQRT(3)))</f>
        <v/>
      </c>
      <c r="G88" s="694" t="str">
        <f aca="false">IF(B88="","",(SQRT((+C88^2+D88^2+E88^2+F88^2))/(10^-3)))</f>
        <v/>
      </c>
      <c r="H88" s="675" t="str">
        <f aca="false">IF(B88="","",(IF('conversion datos'!$L$30='Patrones LACOMET'!$D$3,(VLOOKUP(B88,'BLOQUES PATRON (pulg) '!$K$5:$Q$86,6,FALSE())*1000),IF('conversion datos'!$L$30='Patrones LACOMET'!$D$4,(VLOOKUP(B88,'BLOQUES PATRON (mm)'!$D$5:$H$126,5,FALSE())),"No existe el patrón"))))</f>
        <v/>
      </c>
      <c r="I88" s="676" t="str">
        <f aca="false">IF(B88="","",0.42^2)</f>
        <v/>
      </c>
      <c r="J88" s="676" t="str">
        <f aca="false">IF(B88="","",IF('conversion datos'!$L$30='Patrones LACOMET'!$D$3,LOOKUP(B88,'BLOQUES PATRON (pulg) '!$S$5:$S$86,'BLOQUES PATRON (pulg) '!$Z$5:$Z$86),IF('conversion datos'!$L$30='Patrones LACOMET'!$D$4,LOOKUP(B88,'BLOQUES PATRON (mm)'!$O$5:$O$126,'BLOQUES PATRON (mm)'!$U$5:$U$126),"No existe el patrón")))</f>
        <v/>
      </c>
      <c r="K88" s="677" t="str">
        <f aca="false">IF(B88="","",SQRT((H88^2)+(J88^2)+(I88^2)))</f>
        <v/>
      </c>
      <c r="L88" s="695" t="str">
        <f aca="false">IF(B88="","",$G$4)</f>
        <v/>
      </c>
      <c r="M88" s="695" t="str">
        <f aca="false">IF(B88="","",($G$5))</f>
        <v/>
      </c>
      <c r="N88" s="695" t="str">
        <f aca="false">IF(B88="","",($G$6))</f>
        <v/>
      </c>
      <c r="O88" s="696" t="str">
        <f aca="false">IF(B88="","",(($G$7)))</f>
        <v/>
      </c>
      <c r="P88" s="697" t="str">
        <f aca="false">IF(B88="","",$G$8)</f>
        <v/>
      </c>
      <c r="Q88" s="698" t="str">
        <f aca="false">IF(B88="","",SQRT((L88^2)*(M88^2)+(N88^2)+(O88^2)+(P88^2)))</f>
        <v/>
      </c>
      <c r="R88" s="699" t="str">
        <f aca="false">IF(B88="","",($G$12))</f>
        <v/>
      </c>
      <c r="S88" s="699" t="str">
        <f aca="false">IF(B88="","",($G$13))</f>
        <v/>
      </c>
      <c r="T88" s="700" t="str">
        <f aca="false">IF(B88="","",+$F$14/SQRT(12))</f>
        <v/>
      </c>
      <c r="U88" s="684" t="str">
        <f aca="false">IF(B88="","",(($M$17)/2)*1000)</f>
        <v/>
      </c>
      <c r="V88" s="685" t="str">
        <f aca="false">+IF(B88="","",+$G$15)</f>
        <v/>
      </c>
      <c r="W88" s="685" t="str">
        <f aca="false">+IF(B88="","",+$G$16)</f>
        <v/>
      </c>
      <c r="X88" s="685" t="str">
        <f aca="false">+IF(B88="","",+$G$17)</f>
        <v/>
      </c>
      <c r="Y88" s="686" t="str">
        <f aca="false">+IF(B88="","",K88*$G$9)</f>
        <v/>
      </c>
      <c r="Z88" s="686" t="str">
        <f aca="false">+IF(B88="","",K88*$G$12)</f>
        <v/>
      </c>
      <c r="AA88" s="686" t="str">
        <f aca="false">+IF(B88="","",K88*$G$13)</f>
        <v/>
      </c>
      <c r="AB88" s="686" t="str">
        <f aca="false">+IF(B88="","",K88*T88)</f>
        <v/>
      </c>
      <c r="AC88" s="687" t="str">
        <f aca="false">IF(B88="","",('SENSIBILIDAD 2'!B65^2)*(G88^2))</f>
        <v/>
      </c>
      <c r="AD88" s="688" t="str">
        <f aca="false">IF(B88="","",('SENSIBILIDAD 2'!C65^2)*(K88^2))</f>
        <v/>
      </c>
      <c r="AE88" s="688" t="str">
        <f aca="false">IF(B88="","",'SENSIBILIDAD 2'!D65^2*(R88^2))</f>
        <v/>
      </c>
      <c r="AF88" s="688" t="str">
        <f aca="false">IF(B88="","",'SENSIBILIDAD 2'!E65^2*(S88^2))</f>
        <v/>
      </c>
      <c r="AG88" s="688" t="str">
        <f aca="false">IF(B88="","",'SENSIBILIDAD 2'!F65^2*(T88^2))</f>
        <v/>
      </c>
      <c r="AH88" s="688" t="str">
        <f aca="false">IF(B88="","",(('SENSIBILIDAD 2'!G65)^2)*(Q88^2))</f>
        <v/>
      </c>
      <c r="AI88" s="688" t="str">
        <f aca="false">IF(B88="","",'SENSIBILIDAD 2'!H65^2*(U88^2))</f>
        <v/>
      </c>
      <c r="AJ88" s="688" t="str">
        <f aca="false">IF(B88="","",'SENSIBILIDAD 2'!M65^2*(V88^2))</f>
        <v/>
      </c>
      <c r="AK88" s="688" t="str">
        <f aca="false">IF(B88="","",'SENSIBILIDAD 2'!N65^2*(W88^2))</f>
        <v/>
      </c>
      <c r="AL88" s="688" t="str">
        <f aca="false">IF(B88="","",'SENSIBILIDAD 2'!O65^2*(X88^2))</f>
        <v/>
      </c>
      <c r="AM88" s="688" t="str">
        <f aca="false">IF($B88="","",(Y88^2)*('SENSIBILIDAD 2'!K65^2))</f>
        <v/>
      </c>
      <c r="AN88" s="688" t="str">
        <f aca="false">IF($B88="","",(Z88^2)*('SENSIBILIDAD 2'!I65^2))</f>
        <v/>
      </c>
      <c r="AO88" s="688" t="str">
        <f aca="false">IF($B88="","",(AA88^2)*('SENSIBILIDAD 2'!J65^2))</f>
        <v/>
      </c>
      <c r="AP88" s="688" t="str">
        <f aca="false">IF($B88="","",(AB88^2)*('SENSIBILIDAD 2'!L65^2))</f>
        <v/>
      </c>
      <c r="AQ88" s="689" t="str">
        <f aca="false">IF(B88="","",SQRT(AC88+AD88+AE88+AF88+AG88+AH88+AI88+AJ88+AK88+AL88+AM88+AN88+AO88+AP88))</f>
        <v/>
      </c>
      <c r="AR88" s="701" t="str">
        <f aca="false">IF(B88="","",2*AQ88)</f>
        <v/>
      </c>
      <c r="AS88" s="706" t="str">
        <f aca="false">IF(B88="","",+AR88/1000)</f>
        <v/>
      </c>
      <c r="AT88" s="692" t="str">
        <f aca="false">IF('conversion datos'!$L$30='Patrones LACOMET'!$D$3,(IF(N88="","",AS88*39.37008)),IF('conversion datos'!$L$30='Patrones LACOMET'!$D$4,AS88,"No existe el patrón"))</f>
        <v/>
      </c>
      <c r="BI88" s="564"/>
      <c r="BJ88" s="564"/>
      <c r="BK88" s="564"/>
      <c r="BL88" s="564"/>
      <c r="BM88" s="655"/>
      <c r="BN88" s="655"/>
    </row>
    <row r="89" customFormat="false" ht="19.5" hidden="false" customHeight="true" outlineLevel="0" collapsed="false">
      <c r="A89" s="81" t="n">
        <f aca="false">+CALIBRACION!A72</f>
        <v>61</v>
      </c>
      <c r="B89" s="672" t="str">
        <f aca="false">IF(CALIBRACION!H72="","",CALIBRACION!H72)</f>
        <v/>
      </c>
      <c r="C89" s="693" t="str">
        <f aca="false">IF(B89="","",+($F$20)/SQRT((5)))</f>
        <v/>
      </c>
      <c r="D89" s="693" t="str">
        <f aca="false">IF(B89="","",$F$21/SQRT((3)))</f>
        <v/>
      </c>
      <c r="E89" s="693" t="str">
        <f aca="false">IF(B89="","",$F$22/(SQRT(12)))</f>
        <v/>
      </c>
      <c r="F89" s="693" t="str">
        <f aca="false">IF(B89="","",$F$23/(SQRT(3)))</f>
        <v/>
      </c>
      <c r="G89" s="694" t="str">
        <f aca="false">IF(B89="","",(SQRT((+C89^2+D89^2+E89^2+F89^2))/(10^-3)))</f>
        <v/>
      </c>
      <c r="H89" s="675" t="str">
        <f aca="false">IF(B89="","",(IF('conversion datos'!$L$30='Patrones LACOMET'!$D$3,(VLOOKUP(B89,'BLOQUES PATRON (pulg) '!$K$5:$Q$86,6,FALSE())*1000),IF('conversion datos'!$L$30='Patrones LACOMET'!$D$4,(VLOOKUP(B89,'BLOQUES PATRON (mm)'!$D$5:$H$126,5,FALSE())),"No existe el patrón"))))</f>
        <v/>
      </c>
      <c r="I89" s="676" t="str">
        <f aca="false">IF(B89="","",0.42^2)</f>
        <v/>
      </c>
      <c r="J89" s="676" t="str">
        <f aca="false">IF(B89="","",IF('conversion datos'!$L$30='Patrones LACOMET'!$D$3,LOOKUP(B89,'BLOQUES PATRON (pulg) '!$S$5:$S$86,'BLOQUES PATRON (pulg) '!$Z$5:$Z$86),IF('conversion datos'!$L$30='Patrones LACOMET'!$D$4,LOOKUP(B89,'BLOQUES PATRON (mm)'!$O$5:$O$126,'BLOQUES PATRON (mm)'!$U$5:$U$126),"No existe el patrón")))</f>
        <v/>
      </c>
      <c r="K89" s="677" t="str">
        <f aca="false">IF(B89="","",SQRT((H89^2)+(J89^2)+(I89^2)))</f>
        <v/>
      </c>
      <c r="L89" s="695" t="str">
        <f aca="false">IF(B89="","",$G$4)</f>
        <v/>
      </c>
      <c r="M89" s="695" t="str">
        <f aca="false">IF(B89="","",($G$5))</f>
        <v/>
      </c>
      <c r="N89" s="695" t="str">
        <f aca="false">IF(B89="","",($G$6))</f>
        <v/>
      </c>
      <c r="O89" s="696" t="str">
        <f aca="false">IF(B89="","",(($G$7)))</f>
        <v/>
      </c>
      <c r="P89" s="697" t="str">
        <f aca="false">IF(B89="","",$G$8)</f>
        <v/>
      </c>
      <c r="Q89" s="698" t="str">
        <f aca="false">IF(B89="","",SQRT((L89^2)*(M89^2)+(N89^2)+(O89^2)+(P89^2)))</f>
        <v/>
      </c>
      <c r="R89" s="699" t="str">
        <f aca="false">IF(B89="","",($G$12))</f>
        <v/>
      </c>
      <c r="S89" s="699" t="str">
        <f aca="false">IF(B89="","",($G$13))</f>
        <v/>
      </c>
      <c r="T89" s="700" t="str">
        <f aca="false">IF(B89="","",+$F$14/SQRT(12))</f>
        <v/>
      </c>
      <c r="U89" s="684" t="str">
        <f aca="false">IF(B89="","",(($M$17)/2)*1000)</f>
        <v/>
      </c>
      <c r="V89" s="685" t="str">
        <f aca="false">+IF(B89="","",+$G$15)</f>
        <v/>
      </c>
      <c r="W89" s="685" t="str">
        <f aca="false">+IF(B89="","",+$G$16)</f>
        <v/>
      </c>
      <c r="X89" s="685" t="str">
        <f aca="false">+IF(B89="","",+$G$17)</f>
        <v/>
      </c>
      <c r="Y89" s="686" t="str">
        <f aca="false">+IF(B89="","",K89*$G$9)</f>
        <v/>
      </c>
      <c r="Z89" s="686" t="str">
        <f aca="false">+IF(B89="","",K89*$G$12)</f>
        <v/>
      </c>
      <c r="AA89" s="686" t="str">
        <f aca="false">+IF(B89="","",K89*$G$13)</f>
        <v/>
      </c>
      <c r="AB89" s="686" t="str">
        <f aca="false">+IF(B89="","",K89*T89)</f>
        <v/>
      </c>
      <c r="AC89" s="687" t="str">
        <f aca="false">IF(B89="","",('SENSIBILIDAD 2'!B66^2)*(G89^2))</f>
        <v/>
      </c>
      <c r="AD89" s="688" t="str">
        <f aca="false">IF(B89="","",('SENSIBILIDAD 2'!C66^2)*(K89^2))</f>
        <v/>
      </c>
      <c r="AE89" s="688" t="str">
        <f aca="false">IF(B89="","",'SENSIBILIDAD 2'!D66^2*(R89^2))</f>
        <v/>
      </c>
      <c r="AF89" s="688" t="str">
        <f aca="false">IF(B89="","",'SENSIBILIDAD 2'!E66^2*(S89^2))</f>
        <v/>
      </c>
      <c r="AG89" s="688" t="str">
        <f aca="false">IF(B89="","",'SENSIBILIDAD 2'!F66^2*(T89^2))</f>
        <v/>
      </c>
      <c r="AH89" s="688" t="str">
        <f aca="false">IF(B89="","",(('SENSIBILIDAD 2'!G66)^2)*(Q89^2))</f>
        <v/>
      </c>
      <c r="AI89" s="688" t="str">
        <f aca="false">IF(B89="","",'SENSIBILIDAD 2'!H66^2*(U89^2))</f>
        <v/>
      </c>
      <c r="AJ89" s="688" t="str">
        <f aca="false">IF(B89="","",'SENSIBILIDAD 2'!M66^2*(V89^2))</f>
        <v/>
      </c>
      <c r="AK89" s="688" t="str">
        <f aca="false">IF(B89="","",'SENSIBILIDAD 2'!N66^2*(W89^2))</f>
        <v/>
      </c>
      <c r="AL89" s="688" t="str">
        <f aca="false">IF(B89="","",'SENSIBILIDAD 2'!O66^2*(X89^2))</f>
        <v/>
      </c>
      <c r="AM89" s="688" t="str">
        <f aca="false">IF($B89="","",(Y89^2)*('SENSIBILIDAD 2'!K66^2))</f>
        <v/>
      </c>
      <c r="AN89" s="688" t="str">
        <f aca="false">IF($B89="","",(Z89^2)*('SENSIBILIDAD 2'!I66^2))</f>
        <v/>
      </c>
      <c r="AO89" s="688" t="str">
        <f aca="false">IF($B89="","",(AA89^2)*('SENSIBILIDAD 2'!J66^2))</f>
        <v/>
      </c>
      <c r="AP89" s="688" t="str">
        <f aca="false">IF($B89="","",(AB89^2)*('SENSIBILIDAD 2'!L66^2))</f>
        <v/>
      </c>
      <c r="AQ89" s="689" t="str">
        <f aca="false">IF(B89="","",SQRT(AC89+AD89+AE89+AF89+AG89+AH89+AI89+AJ89+AK89+AL89+AM89+AN89+AO89+AP89))</f>
        <v/>
      </c>
      <c r="AR89" s="701" t="str">
        <f aca="false">IF(B89="","",2*AQ89)</f>
        <v/>
      </c>
      <c r="AS89" s="706" t="str">
        <f aca="false">IF(B89="","",+AR89/1000)</f>
        <v/>
      </c>
      <c r="AT89" s="692" t="str">
        <f aca="false">IF('conversion datos'!$L$30='Patrones LACOMET'!$D$3,(IF(N89="","",AS89*39.37008)),IF('conversion datos'!$L$30='Patrones LACOMET'!$D$4,AS89,"No existe el patrón"))</f>
        <v/>
      </c>
      <c r="BI89" s="564"/>
      <c r="BJ89" s="564"/>
      <c r="BK89" s="564"/>
      <c r="BL89" s="564"/>
      <c r="BM89" s="655"/>
      <c r="BN89" s="655"/>
    </row>
    <row r="90" customFormat="false" ht="19.5" hidden="false" customHeight="true" outlineLevel="0" collapsed="false">
      <c r="A90" s="81" t="n">
        <f aca="false">+CALIBRACION!A73</f>
        <v>62</v>
      </c>
      <c r="B90" s="672" t="str">
        <f aca="false">IF(CALIBRACION!H73="","",CALIBRACION!H73)</f>
        <v/>
      </c>
      <c r="C90" s="693" t="str">
        <f aca="false">IF(B90="","",+($F$20)/SQRT((5)))</f>
        <v/>
      </c>
      <c r="D90" s="693" t="str">
        <f aca="false">IF(B90="","",$F$21/SQRT((3)))</f>
        <v/>
      </c>
      <c r="E90" s="693" t="str">
        <f aca="false">IF(B90="","",$F$22/(SQRT(12)))</f>
        <v/>
      </c>
      <c r="F90" s="693" t="str">
        <f aca="false">IF(B90="","",$F$23/(SQRT(3)))</f>
        <v/>
      </c>
      <c r="G90" s="694" t="str">
        <f aca="false">IF(B90="","",(SQRT((+C90^2+D90^2+E90^2+F90^2))/(10^-3)))</f>
        <v/>
      </c>
      <c r="H90" s="675" t="str">
        <f aca="false">IF(B90="","",(IF('conversion datos'!$L$30='Patrones LACOMET'!$D$3,(VLOOKUP(B90,'BLOQUES PATRON (pulg) '!$K$5:$Q$86,6,FALSE())*1000),IF('conversion datos'!$L$30='Patrones LACOMET'!$D$4,(VLOOKUP(B90,'BLOQUES PATRON (mm)'!$D$5:$H$126,5,FALSE())),"No existe el patrón"))))</f>
        <v/>
      </c>
      <c r="I90" s="676" t="str">
        <f aca="false">IF(B90="","",0.42^2)</f>
        <v/>
      </c>
      <c r="J90" s="676" t="str">
        <f aca="false">IF(B90="","",IF('conversion datos'!$L$30='Patrones LACOMET'!$D$3,LOOKUP(B90,'BLOQUES PATRON (pulg) '!$S$5:$S$86,'BLOQUES PATRON (pulg) '!$Z$5:$Z$86),IF('conversion datos'!$L$30='Patrones LACOMET'!$D$4,LOOKUP(B90,'BLOQUES PATRON (mm)'!$O$5:$O$126,'BLOQUES PATRON (mm)'!$U$5:$U$126),"No existe el patrón")))</f>
        <v/>
      </c>
      <c r="K90" s="677" t="str">
        <f aca="false">IF(B90="","",SQRT((H90^2)+(J90^2)+(I90^2)))</f>
        <v/>
      </c>
      <c r="L90" s="695" t="str">
        <f aca="false">IF(B90="","",$G$4)</f>
        <v/>
      </c>
      <c r="M90" s="695" t="str">
        <f aca="false">IF(B90="","",($G$5))</f>
        <v/>
      </c>
      <c r="N90" s="695" t="str">
        <f aca="false">IF(B90="","",($G$6))</f>
        <v/>
      </c>
      <c r="O90" s="696" t="str">
        <f aca="false">IF(B90="","",(($G$7)))</f>
        <v/>
      </c>
      <c r="P90" s="697" t="str">
        <f aca="false">IF(B90="","",$G$8)</f>
        <v/>
      </c>
      <c r="Q90" s="698" t="str">
        <f aca="false">IF(B90="","",SQRT((L90^2)*(M90^2)+(N90^2)+(O90^2)+(P90^2)))</f>
        <v/>
      </c>
      <c r="R90" s="699" t="str">
        <f aca="false">IF(B90="","",($G$12))</f>
        <v/>
      </c>
      <c r="S90" s="699" t="str">
        <f aca="false">IF(B90="","",($G$13))</f>
        <v/>
      </c>
      <c r="T90" s="700" t="str">
        <f aca="false">IF(B90="","",+$F$14/SQRT(12))</f>
        <v/>
      </c>
      <c r="U90" s="684" t="str">
        <f aca="false">IF(B90="","",(($M$17)/2)*1000)</f>
        <v/>
      </c>
      <c r="V90" s="685" t="str">
        <f aca="false">+IF(B90="","",+$G$15)</f>
        <v/>
      </c>
      <c r="W90" s="685" t="str">
        <f aca="false">+IF(B90="","",+$G$16)</f>
        <v/>
      </c>
      <c r="X90" s="685" t="str">
        <f aca="false">+IF(B90="","",+$G$17)</f>
        <v/>
      </c>
      <c r="Y90" s="686" t="str">
        <f aca="false">+IF(B90="","",K90*$G$9)</f>
        <v/>
      </c>
      <c r="Z90" s="686" t="str">
        <f aca="false">+IF(B90="","",K90*$G$12)</f>
        <v/>
      </c>
      <c r="AA90" s="686" t="str">
        <f aca="false">+IF(B90="","",K90*$G$13)</f>
        <v/>
      </c>
      <c r="AB90" s="686" t="str">
        <f aca="false">+IF(B90="","",K90*T90)</f>
        <v/>
      </c>
      <c r="AC90" s="687" t="str">
        <f aca="false">IF(B90="","",('SENSIBILIDAD 2'!B67^2)*(G90^2))</f>
        <v/>
      </c>
      <c r="AD90" s="688" t="str">
        <f aca="false">IF(B90="","",('SENSIBILIDAD 2'!C67^2)*(K90^2))</f>
        <v/>
      </c>
      <c r="AE90" s="688" t="str">
        <f aca="false">IF(B90="","",'SENSIBILIDAD 2'!D67^2*(R90^2))</f>
        <v/>
      </c>
      <c r="AF90" s="688" t="str">
        <f aca="false">IF(B90="","",'SENSIBILIDAD 2'!E67^2*(S90^2))</f>
        <v/>
      </c>
      <c r="AG90" s="688" t="str">
        <f aca="false">IF(B90="","",'SENSIBILIDAD 2'!F67^2*(T90^2))</f>
        <v/>
      </c>
      <c r="AH90" s="688" t="str">
        <f aca="false">IF(B90="","",(('SENSIBILIDAD 2'!G67)^2)*(Q90^2))</f>
        <v/>
      </c>
      <c r="AI90" s="688" t="str">
        <f aca="false">IF(B90="","",'SENSIBILIDAD 2'!H67^2*(U90^2))</f>
        <v/>
      </c>
      <c r="AJ90" s="688" t="str">
        <f aca="false">IF(B90="","",'SENSIBILIDAD 2'!M67^2*(V90^2))</f>
        <v/>
      </c>
      <c r="AK90" s="688" t="str">
        <f aca="false">IF(B90="","",'SENSIBILIDAD 2'!N67^2*(W90^2))</f>
        <v/>
      </c>
      <c r="AL90" s="688" t="str">
        <f aca="false">IF(B90="","",'SENSIBILIDAD 2'!O67^2*(X90^2))</f>
        <v/>
      </c>
      <c r="AM90" s="688" t="str">
        <f aca="false">IF($B90="","",(Y90^2)*('SENSIBILIDAD 2'!K67^2))</f>
        <v/>
      </c>
      <c r="AN90" s="688" t="str">
        <f aca="false">IF($B90="","",(Z90^2)*('SENSIBILIDAD 2'!I67^2))</f>
        <v/>
      </c>
      <c r="AO90" s="688" t="str">
        <f aca="false">IF($B90="","",(AA90^2)*('SENSIBILIDAD 2'!J67^2))</f>
        <v/>
      </c>
      <c r="AP90" s="688" t="str">
        <f aca="false">IF($B90="","",(AB90^2)*('SENSIBILIDAD 2'!L67^2))</f>
        <v/>
      </c>
      <c r="AQ90" s="689" t="str">
        <f aca="false">IF(B90="","",SQRT(AC90+AD90+AE90+AF90+AG90+AH90+AI90+AJ90+AK90+AL90+AM90+AN90+AO90+AP90))</f>
        <v/>
      </c>
      <c r="AR90" s="701" t="str">
        <f aca="false">IF(B90="","",2*AQ90)</f>
        <v/>
      </c>
      <c r="AS90" s="706" t="str">
        <f aca="false">IF(B90="","",+AR90/1000)</f>
        <v/>
      </c>
      <c r="AT90" s="692" t="str">
        <f aca="false">IF('conversion datos'!$L$30='Patrones LACOMET'!$D$3,(IF(N90="","",AS90*39.37008)),IF('conversion datos'!$L$30='Patrones LACOMET'!$D$4,AS90,"No existe el patrón"))</f>
        <v/>
      </c>
      <c r="BI90" s="564"/>
      <c r="BJ90" s="564"/>
      <c r="BK90" s="564"/>
      <c r="BL90" s="564"/>
      <c r="BM90" s="655"/>
      <c r="BN90" s="655"/>
    </row>
    <row r="91" customFormat="false" ht="19.5" hidden="false" customHeight="true" outlineLevel="0" collapsed="false">
      <c r="A91" s="81" t="n">
        <f aca="false">+CALIBRACION!A74</f>
        <v>63</v>
      </c>
      <c r="B91" s="672" t="str">
        <f aca="false">IF(CALIBRACION!H74="","",CALIBRACION!H74)</f>
        <v/>
      </c>
      <c r="C91" s="693" t="str">
        <f aca="false">IF(B91="","",+($F$20)/SQRT((5)))</f>
        <v/>
      </c>
      <c r="D91" s="693" t="str">
        <f aca="false">IF(B91="","",$F$21/SQRT((3)))</f>
        <v/>
      </c>
      <c r="E91" s="693" t="str">
        <f aca="false">IF(B91="","",$F$22/(SQRT(12)))</f>
        <v/>
      </c>
      <c r="F91" s="693" t="str">
        <f aca="false">IF(B91="","",$F$23/(SQRT(3)))</f>
        <v/>
      </c>
      <c r="G91" s="694" t="str">
        <f aca="false">IF(B91="","",(SQRT((+C91^2+D91^2+E91^2+F91^2))/(10^-3)))</f>
        <v/>
      </c>
      <c r="H91" s="675" t="str">
        <f aca="false">IF(B91="","",(IF('conversion datos'!$L$30='Patrones LACOMET'!$D$3,(VLOOKUP(B91,'BLOQUES PATRON (pulg) '!$K$5:$Q$86,6,FALSE())*1000),IF('conversion datos'!$L$30='Patrones LACOMET'!$D$4,(VLOOKUP(B91,'BLOQUES PATRON (mm)'!$D$5:$H$126,5,FALSE())),"No existe el patrón"))))</f>
        <v/>
      </c>
      <c r="I91" s="676" t="str">
        <f aca="false">IF(B91="","",0.42^2)</f>
        <v/>
      </c>
      <c r="J91" s="676" t="str">
        <f aca="false">IF(B91="","",IF('conversion datos'!$L$30='Patrones LACOMET'!$D$3,LOOKUP(B91,'BLOQUES PATRON (pulg) '!$S$5:$S$86,'BLOQUES PATRON (pulg) '!$Z$5:$Z$86),IF('conversion datos'!$L$30='Patrones LACOMET'!$D$4,LOOKUP(B91,'BLOQUES PATRON (mm)'!$O$5:$O$126,'BLOQUES PATRON (mm)'!$U$5:$U$126),"No existe el patrón")))</f>
        <v/>
      </c>
      <c r="K91" s="677" t="str">
        <f aca="false">IF(B91="","",SQRT((H91^2)+(J91^2)+(I91^2)))</f>
        <v/>
      </c>
      <c r="L91" s="695" t="str">
        <f aca="false">IF(B91="","",$G$4)</f>
        <v/>
      </c>
      <c r="M91" s="695" t="str">
        <f aca="false">IF(B91="","",($G$5))</f>
        <v/>
      </c>
      <c r="N91" s="695" t="str">
        <f aca="false">IF(B91="","",($G$6))</f>
        <v/>
      </c>
      <c r="O91" s="696" t="str">
        <f aca="false">IF(B91="","",(($G$7)))</f>
        <v/>
      </c>
      <c r="P91" s="697" t="str">
        <f aca="false">IF(B91="","",$G$8)</f>
        <v/>
      </c>
      <c r="Q91" s="698" t="str">
        <f aca="false">IF(B91="","",SQRT((L91^2)*(M91^2)+(N91^2)+(O91^2)+(P91^2)))</f>
        <v/>
      </c>
      <c r="R91" s="699" t="str">
        <f aca="false">IF(B91="","",($G$12))</f>
        <v/>
      </c>
      <c r="S91" s="699" t="str">
        <f aca="false">IF(B91="","",($G$13))</f>
        <v/>
      </c>
      <c r="T91" s="700" t="str">
        <f aca="false">IF(B91="","",+$F$14/SQRT(12))</f>
        <v/>
      </c>
      <c r="U91" s="684" t="str">
        <f aca="false">IF(B91="","",(($M$17)/2)*1000)</f>
        <v/>
      </c>
      <c r="V91" s="685" t="str">
        <f aca="false">+IF(B91="","",+$G$15)</f>
        <v/>
      </c>
      <c r="W91" s="685" t="str">
        <f aca="false">+IF(B91="","",+$G$16)</f>
        <v/>
      </c>
      <c r="X91" s="685" t="str">
        <f aca="false">+IF(B91="","",+$G$17)</f>
        <v/>
      </c>
      <c r="Y91" s="686" t="str">
        <f aca="false">+IF(B91="","",K91*$G$9)</f>
        <v/>
      </c>
      <c r="Z91" s="686" t="str">
        <f aca="false">+IF(B91="","",K91*$G$12)</f>
        <v/>
      </c>
      <c r="AA91" s="686" t="str">
        <f aca="false">+IF(B91="","",K91*$G$13)</f>
        <v/>
      </c>
      <c r="AB91" s="686" t="str">
        <f aca="false">+IF(B91="","",K91*T91)</f>
        <v/>
      </c>
      <c r="AC91" s="687" t="str">
        <f aca="false">IF(B91="","",('SENSIBILIDAD 2'!B68^2)*(G91^2))</f>
        <v/>
      </c>
      <c r="AD91" s="688" t="str">
        <f aca="false">IF(B91="","",('SENSIBILIDAD 2'!C68^2)*(K91^2))</f>
        <v/>
      </c>
      <c r="AE91" s="688" t="str">
        <f aca="false">IF(B91="","",'SENSIBILIDAD 2'!D68^2*(R91^2))</f>
        <v/>
      </c>
      <c r="AF91" s="688" t="str">
        <f aca="false">IF(B91="","",'SENSIBILIDAD 2'!E68^2*(S91^2))</f>
        <v/>
      </c>
      <c r="AG91" s="688" t="str">
        <f aca="false">IF(B91="","",'SENSIBILIDAD 2'!F68^2*(T91^2))</f>
        <v/>
      </c>
      <c r="AH91" s="688" t="str">
        <f aca="false">IF(B91="","",(('SENSIBILIDAD 2'!G68)^2)*(Q91^2))</f>
        <v/>
      </c>
      <c r="AI91" s="688" t="str">
        <f aca="false">IF(B91="","",'SENSIBILIDAD 2'!H68^2*(U91^2))</f>
        <v/>
      </c>
      <c r="AJ91" s="688" t="str">
        <f aca="false">IF(B91="","",'SENSIBILIDAD 2'!M68^2*(V91^2))</f>
        <v/>
      </c>
      <c r="AK91" s="688" t="str">
        <f aca="false">IF(B91="","",'SENSIBILIDAD 2'!N68^2*(W91^2))</f>
        <v/>
      </c>
      <c r="AL91" s="688" t="str">
        <f aca="false">IF(B91="","",'SENSIBILIDAD 2'!O68^2*(X91^2))</f>
        <v/>
      </c>
      <c r="AM91" s="688" t="str">
        <f aca="false">IF($B91="","",(Y91^2)*('SENSIBILIDAD 2'!K68^2))</f>
        <v/>
      </c>
      <c r="AN91" s="688" t="str">
        <f aca="false">IF($B91="","",(Z91^2)*('SENSIBILIDAD 2'!I68^2))</f>
        <v/>
      </c>
      <c r="AO91" s="688" t="str">
        <f aca="false">IF($B91="","",(AA91^2)*('SENSIBILIDAD 2'!J68^2))</f>
        <v/>
      </c>
      <c r="AP91" s="688" t="str">
        <f aca="false">IF($B91="","",(AB91^2)*('SENSIBILIDAD 2'!L68^2))</f>
        <v/>
      </c>
      <c r="AQ91" s="689" t="str">
        <f aca="false">IF(B91="","",SQRT(AC91+AD91+AE91+AF91+AG91+AH91+AI91+AJ91+AK91+AL91+AM91+AN91+AO91+AP91))</f>
        <v/>
      </c>
      <c r="AR91" s="701" t="str">
        <f aca="false">IF(B91="","",2*AQ91)</f>
        <v/>
      </c>
      <c r="AS91" s="706" t="str">
        <f aca="false">IF(B91="","",+AR91/1000)</f>
        <v/>
      </c>
      <c r="AT91" s="692" t="str">
        <f aca="false">IF('conversion datos'!$L$30='Patrones LACOMET'!$D$3,(IF(N91="","",AS91*39.37008)),IF('conversion datos'!$L$30='Patrones LACOMET'!$D$4,AS91,"No existe el patrón"))</f>
        <v/>
      </c>
      <c r="BI91" s="564"/>
      <c r="BJ91" s="564"/>
      <c r="BK91" s="564"/>
      <c r="BL91" s="564"/>
      <c r="BM91" s="655"/>
      <c r="BN91" s="655"/>
    </row>
    <row r="92" customFormat="false" ht="19.5" hidden="false" customHeight="true" outlineLevel="0" collapsed="false">
      <c r="A92" s="81" t="n">
        <f aca="false">+CALIBRACION!A75</f>
        <v>64</v>
      </c>
      <c r="B92" s="672" t="str">
        <f aca="false">IF(CALIBRACION!H75="","",CALIBRACION!H75)</f>
        <v/>
      </c>
      <c r="C92" s="693" t="str">
        <f aca="false">IF(B92="","",+($F$20)/SQRT((5)))</f>
        <v/>
      </c>
      <c r="D92" s="693" t="str">
        <f aca="false">IF(B92="","",$F$21/SQRT((3)))</f>
        <v/>
      </c>
      <c r="E92" s="693" t="str">
        <f aca="false">IF(B92="","",$F$22/(SQRT(12)))</f>
        <v/>
      </c>
      <c r="F92" s="693" t="str">
        <f aca="false">IF(B92="","",$F$23/(SQRT(3)))</f>
        <v/>
      </c>
      <c r="G92" s="694" t="str">
        <f aca="false">IF(B92="","",(SQRT((+C92^2+D92^2+E92^2+F92^2))/(10^-3)))</f>
        <v/>
      </c>
      <c r="H92" s="675" t="str">
        <f aca="false">IF(B92="","",(IF('conversion datos'!$L$30='Patrones LACOMET'!$D$3,(VLOOKUP(B92,'BLOQUES PATRON (pulg) '!$K$5:$Q$86,6,FALSE())*1000),IF('conversion datos'!$L$30='Patrones LACOMET'!$D$4,(VLOOKUP(B92,'BLOQUES PATRON (mm)'!$D$5:$H$126,5,FALSE())),"No existe el patrón"))))</f>
        <v/>
      </c>
      <c r="I92" s="676" t="str">
        <f aca="false">IF(B92="","",0.42^2)</f>
        <v/>
      </c>
      <c r="J92" s="676" t="str">
        <f aca="false">IF(B92="","",IF('conversion datos'!$L$30='Patrones LACOMET'!$D$3,LOOKUP(B92,'BLOQUES PATRON (pulg) '!$S$5:$S$86,'BLOQUES PATRON (pulg) '!$Z$5:$Z$86),IF('conversion datos'!$L$30='Patrones LACOMET'!$D$4,LOOKUP(B92,'BLOQUES PATRON (mm)'!$O$5:$O$126,'BLOQUES PATRON (mm)'!$U$5:$U$126),"No existe el patrón")))</f>
        <v/>
      </c>
      <c r="K92" s="677" t="str">
        <f aca="false">IF(B92="","",SQRT((H92^2)+(J92^2)+(I92^2)))</f>
        <v/>
      </c>
      <c r="L92" s="695" t="str">
        <f aca="false">IF(B92="","",$G$4)</f>
        <v/>
      </c>
      <c r="M92" s="695" t="str">
        <f aca="false">IF(B92="","",($G$5))</f>
        <v/>
      </c>
      <c r="N92" s="695" t="str">
        <f aca="false">IF(B92="","",($G$6))</f>
        <v/>
      </c>
      <c r="O92" s="696" t="str">
        <f aca="false">IF(B92="","",(($G$7)))</f>
        <v/>
      </c>
      <c r="P92" s="697" t="str">
        <f aca="false">IF(B92="","",$G$8)</f>
        <v/>
      </c>
      <c r="Q92" s="698" t="str">
        <f aca="false">IF(B92="","",SQRT((L92^2)*(M92^2)+(N92^2)+(O92^2)+(P92^2)))</f>
        <v/>
      </c>
      <c r="R92" s="699" t="str">
        <f aca="false">IF(B92="","",($G$12))</f>
        <v/>
      </c>
      <c r="S92" s="699" t="str">
        <f aca="false">IF(B92="","",($G$13))</f>
        <v/>
      </c>
      <c r="T92" s="700" t="str">
        <f aca="false">IF(B92="","",+$F$14/SQRT(12))</f>
        <v/>
      </c>
      <c r="U92" s="684" t="str">
        <f aca="false">IF(B92="","",(($M$17)/2)*1000)</f>
        <v/>
      </c>
      <c r="V92" s="685" t="str">
        <f aca="false">+IF(B92="","",+$G$15)</f>
        <v/>
      </c>
      <c r="W92" s="685" t="str">
        <f aca="false">+IF(B92="","",+$G$16)</f>
        <v/>
      </c>
      <c r="X92" s="685" t="str">
        <f aca="false">+IF(B92="","",+$G$17)</f>
        <v/>
      </c>
      <c r="Y92" s="686" t="str">
        <f aca="false">+IF(B92="","",K92*$G$9)</f>
        <v/>
      </c>
      <c r="Z92" s="686" t="str">
        <f aca="false">+IF(B92="","",K92*$G$12)</f>
        <v/>
      </c>
      <c r="AA92" s="686" t="str">
        <f aca="false">+IF(B92="","",K92*$G$13)</f>
        <v/>
      </c>
      <c r="AB92" s="686" t="str">
        <f aca="false">+IF(B92="","",K92*T92)</f>
        <v/>
      </c>
      <c r="AC92" s="687" t="str">
        <f aca="false">IF(B92="","",('SENSIBILIDAD 2'!B69^2)*(G92^2))</f>
        <v/>
      </c>
      <c r="AD92" s="688" t="str">
        <f aca="false">IF(B92="","",('SENSIBILIDAD 2'!C69^2)*(K92^2))</f>
        <v/>
      </c>
      <c r="AE92" s="688" t="str">
        <f aca="false">IF(B92="","",'SENSIBILIDAD 2'!D69^2*(R92^2))</f>
        <v/>
      </c>
      <c r="AF92" s="688" t="str">
        <f aca="false">IF(B92="","",'SENSIBILIDAD 2'!E69^2*(S92^2))</f>
        <v/>
      </c>
      <c r="AG92" s="688" t="str">
        <f aca="false">IF(B92="","",'SENSIBILIDAD 2'!F69^2*(T92^2))</f>
        <v/>
      </c>
      <c r="AH92" s="688" t="str">
        <f aca="false">IF(B92="","",(('SENSIBILIDAD 2'!G69)^2)*(Q92^2))</f>
        <v/>
      </c>
      <c r="AI92" s="688" t="str">
        <f aca="false">IF(B92="","",'SENSIBILIDAD 2'!H69^2*(U92^2))</f>
        <v/>
      </c>
      <c r="AJ92" s="688" t="str">
        <f aca="false">IF(B92="","",'SENSIBILIDAD 2'!M69^2*(V92^2))</f>
        <v/>
      </c>
      <c r="AK92" s="688" t="str">
        <f aca="false">IF(B92="","",'SENSIBILIDAD 2'!N69^2*(W92^2))</f>
        <v/>
      </c>
      <c r="AL92" s="688" t="str">
        <f aca="false">IF(B92="","",'SENSIBILIDAD 2'!O69^2*(X92^2))</f>
        <v/>
      </c>
      <c r="AM92" s="688" t="str">
        <f aca="false">IF($B92="","",(Y92^2)*('SENSIBILIDAD 2'!K69^2))</f>
        <v/>
      </c>
      <c r="AN92" s="688" t="str">
        <f aca="false">IF($B92="","",(Z92^2)*('SENSIBILIDAD 2'!I69^2))</f>
        <v/>
      </c>
      <c r="AO92" s="688" t="str">
        <f aca="false">IF($B92="","",(AA92^2)*('SENSIBILIDAD 2'!J69^2))</f>
        <v/>
      </c>
      <c r="AP92" s="688" t="str">
        <f aca="false">IF($B92="","",(AB92^2)*('SENSIBILIDAD 2'!L69^2))</f>
        <v/>
      </c>
      <c r="AQ92" s="689" t="str">
        <f aca="false">IF(B92="","",SQRT(AC92+AD92+AE92+AF92+AG92+AH92+AI92+AJ92+AK92+AL92+AM92+AN92+AO92+AP92))</f>
        <v/>
      </c>
      <c r="AR92" s="701" t="str">
        <f aca="false">IF(B92="","",2*AQ92)</f>
        <v/>
      </c>
      <c r="AS92" s="706" t="str">
        <f aca="false">IF(B92="","",+AR92/1000)</f>
        <v/>
      </c>
      <c r="AT92" s="692" t="str">
        <f aca="false">IF('conversion datos'!$L$30='Patrones LACOMET'!$D$3,(IF(N92="","",AS92*39.37008)),IF('conversion datos'!$L$30='Patrones LACOMET'!$D$4,AS92,"No existe el patrón"))</f>
        <v/>
      </c>
      <c r="BI92" s="564"/>
      <c r="BJ92" s="564"/>
      <c r="BK92" s="564"/>
      <c r="BL92" s="564"/>
      <c r="BM92" s="655"/>
      <c r="BN92" s="655"/>
    </row>
    <row r="93" customFormat="false" ht="19.5" hidden="false" customHeight="true" outlineLevel="0" collapsed="false">
      <c r="A93" s="81" t="n">
        <f aca="false">+CALIBRACION!A76</f>
        <v>65</v>
      </c>
      <c r="B93" s="672" t="str">
        <f aca="false">IF(CALIBRACION!H76="","",CALIBRACION!H76)</f>
        <v/>
      </c>
      <c r="C93" s="693" t="str">
        <f aca="false">IF(B93="","",+($F$20)/SQRT((5)))</f>
        <v/>
      </c>
      <c r="D93" s="693" t="str">
        <f aca="false">IF(B93="","",$F$21/SQRT((3)))</f>
        <v/>
      </c>
      <c r="E93" s="693" t="str">
        <f aca="false">IF(B93="","",$F$22/(SQRT(12)))</f>
        <v/>
      </c>
      <c r="F93" s="693" t="str">
        <f aca="false">IF(B93="","",$F$23/(SQRT(3)))</f>
        <v/>
      </c>
      <c r="G93" s="694" t="str">
        <f aca="false">IF(B93="","",(SQRT((+C93^2+D93^2+E93^2+F93^2))/(10^-3)))</f>
        <v/>
      </c>
      <c r="H93" s="675" t="str">
        <f aca="false">IF(B93="","",(IF('conversion datos'!$L$30='Patrones LACOMET'!$D$3,(VLOOKUP(B93,'BLOQUES PATRON (pulg) '!$K$5:$Q$86,6,FALSE())*1000),IF('conversion datos'!$L$30='Patrones LACOMET'!$D$4,(VLOOKUP(B93,'BLOQUES PATRON (mm)'!$D$5:$H$126,5,FALSE())),"No existe el patrón"))))</f>
        <v/>
      </c>
      <c r="I93" s="676" t="str">
        <f aca="false">IF(B93="","",0.42^2)</f>
        <v/>
      </c>
      <c r="J93" s="676" t="str">
        <f aca="false">IF(B93="","",IF('conversion datos'!$L$30='Patrones LACOMET'!$D$3,LOOKUP(B93,'BLOQUES PATRON (pulg) '!$S$5:$S$86,'BLOQUES PATRON (pulg) '!$Z$5:$Z$86),IF('conversion datos'!$L$30='Patrones LACOMET'!$D$4,LOOKUP(B93,'BLOQUES PATRON (mm)'!$O$5:$O$126,'BLOQUES PATRON (mm)'!$U$5:$U$126),"No existe el patrón")))</f>
        <v/>
      </c>
      <c r="K93" s="677" t="str">
        <f aca="false">IF(B93="","",SQRT((H93^2)+(J93^2)+(I93^2)))</f>
        <v/>
      </c>
      <c r="L93" s="695" t="str">
        <f aca="false">IF(B93="","",$G$4)</f>
        <v/>
      </c>
      <c r="M93" s="695" t="str">
        <f aca="false">IF(B93="","",($G$5))</f>
        <v/>
      </c>
      <c r="N93" s="695" t="str">
        <f aca="false">IF(B93="","",($G$6))</f>
        <v/>
      </c>
      <c r="O93" s="696" t="str">
        <f aca="false">IF(B93="","",(($G$7)))</f>
        <v/>
      </c>
      <c r="P93" s="697" t="str">
        <f aca="false">IF(B93="","",$G$8)</f>
        <v/>
      </c>
      <c r="Q93" s="698" t="str">
        <f aca="false">IF(B93="","",SQRT((L93^2)*(M93^2)+(N93^2)+(O93^2)+(P93^2)))</f>
        <v/>
      </c>
      <c r="R93" s="699" t="str">
        <f aca="false">IF(B93="","",($G$12))</f>
        <v/>
      </c>
      <c r="S93" s="699" t="str">
        <f aca="false">IF(B93="","",($G$13))</f>
        <v/>
      </c>
      <c r="T93" s="700" t="str">
        <f aca="false">IF(B93="","",+$F$14/SQRT(12))</f>
        <v/>
      </c>
      <c r="U93" s="684" t="str">
        <f aca="false">IF(B93="","",(($M$17)/2)*1000)</f>
        <v/>
      </c>
      <c r="V93" s="685" t="str">
        <f aca="false">+IF(B93="","",+$G$15)</f>
        <v/>
      </c>
      <c r="W93" s="685" t="str">
        <f aca="false">+IF(B93="","",+$G$16)</f>
        <v/>
      </c>
      <c r="X93" s="685" t="str">
        <f aca="false">+IF(B93="","",+$G$17)</f>
        <v/>
      </c>
      <c r="Y93" s="686" t="str">
        <f aca="false">+IF(B93="","",K93*$G$9)</f>
        <v/>
      </c>
      <c r="Z93" s="686" t="str">
        <f aca="false">+IF(B93="","",K93*$G$12)</f>
        <v/>
      </c>
      <c r="AA93" s="686" t="str">
        <f aca="false">+IF(B93="","",K93*$G$13)</f>
        <v/>
      </c>
      <c r="AB93" s="686" t="str">
        <f aca="false">+IF(B93="","",K93*T93)</f>
        <v/>
      </c>
      <c r="AC93" s="687" t="str">
        <f aca="false">IF(B93="","",('SENSIBILIDAD 2'!B70^2)*(G93^2))</f>
        <v/>
      </c>
      <c r="AD93" s="688" t="str">
        <f aca="false">IF(B93="","",('SENSIBILIDAD 2'!C70^2)*(K93^2))</f>
        <v/>
      </c>
      <c r="AE93" s="688" t="str">
        <f aca="false">IF(B93="","",'SENSIBILIDAD 2'!D70^2*(R93^2))</f>
        <v/>
      </c>
      <c r="AF93" s="688" t="str">
        <f aca="false">IF(B93="","",'SENSIBILIDAD 2'!E70^2*(S93^2))</f>
        <v/>
      </c>
      <c r="AG93" s="688" t="str">
        <f aca="false">IF(B93="","",'SENSIBILIDAD 2'!F70^2*(T93^2))</f>
        <v/>
      </c>
      <c r="AH93" s="688" t="str">
        <f aca="false">IF(B93="","",(('SENSIBILIDAD 2'!G70)^2)*(Q93^2))</f>
        <v/>
      </c>
      <c r="AI93" s="688" t="str">
        <f aca="false">IF(B93="","",'SENSIBILIDAD 2'!H70^2*(U93^2))</f>
        <v/>
      </c>
      <c r="AJ93" s="688" t="str">
        <f aca="false">IF(B93="","",'SENSIBILIDAD 2'!M70^2*(V93^2))</f>
        <v/>
      </c>
      <c r="AK93" s="688" t="str">
        <f aca="false">IF(B93="","",'SENSIBILIDAD 2'!N70^2*(W93^2))</f>
        <v/>
      </c>
      <c r="AL93" s="688" t="str">
        <f aca="false">IF(B93="","",'SENSIBILIDAD 2'!O70^2*(X93^2))</f>
        <v/>
      </c>
      <c r="AM93" s="688" t="str">
        <f aca="false">IF($B93="","",(Y93^2)*('SENSIBILIDAD 2'!K70^2))</f>
        <v/>
      </c>
      <c r="AN93" s="688" t="str">
        <f aca="false">IF($B93="","",(Z93^2)*('SENSIBILIDAD 2'!I70^2))</f>
        <v/>
      </c>
      <c r="AO93" s="688" t="str">
        <f aca="false">IF($B93="","",(AA93^2)*('SENSIBILIDAD 2'!J70^2))</f>
        <v/>
      </c>
      <c r="AP93" s="688" t="str">
        <f aca="false">IF($B93="","",(AB93^2)*('SENSIBILIDAD 2'!L70^2))</f>
        <v/>
      </c>
      <c r="AQ93" s="689" t="str">
        <f aca="false">IF(B93="","",SQRT(AC93+AD93+AE93+AF93+AG93+AH93+AI93+AJ93+AK93+AL93+AM93+AN93+AO93+AP93))</f>
        <v/>
      </c>
      <c r="AR93" s="701" t="str">
        <f aca="false">IF(B93="","",2*AQ93)</f>
        <v/>
      </c>
      <c r="AS93" s="706" t="str">
        <f aca="false">IF(B93="","",+AR93/1000)</f>
        <v/>
      </c>
      <c r="AT93" s="692" t="str">
        <f aca="false">IF('conversion datos'!$L$30='Patrones LACOMET'!$D$3,(IF(N93="","",AS93*39.37008)),IF('conversion datos'!$L$30='Patrones LACOMET'!$D$4,AS93,"No existe el patrón"))</f>
        <v/>
      </c>
      <c r="BI93" s="564"/>
      <c r="BJ93" s="564"/>
      <c r="BK93" s="564"/>
      <c r="BL93" s="564"/>
      <c r="BM93" s="655"/>
      <c r="BN93" s="655"/>
    </row>
    <row r="94" customFormat="false" ht="19.5" hidden="false" customHeight="true" outlineLevel="0" collapsed="false">
      <c r="A94" s="81" t="n">
        <f aca="false">+CALIBRACION!A77</f>
        <v>66</v>
      </c>
      <c r="B94" s="672" t="str">
        <f aca="false">IF(CALIBRACION!H77="","",CALIBRACION!H77)</f>
        <v/>
      </c>
      <c r="C94" s="693" t="str">
        <f aca="false">IF(B94="","",+($F$20)/SQRT((5)))</f>
        <v/>
      </c>
      <c r="D94" s="693" t="str">
        <f aca="false">IF(B94="","",$F$21/SQRT((3)))</f>
        <v/>
      </c>
      <c r="E94" s="693" t="str">
        <f aca="false">IF(B94="","",$F$22/(SQRT(12)))</f>
        <v/>
      </c>
      <c r="F94" s="693" t="str">
        <f aca="false">IF(B94="","",$F$23/(SQRT(3)))</f>
        <v/>
      </c>
      <c r="G94" s="694" t="str">
        <f aca="false">IF(B94="","",(SQRT((+C94^2+D94^2+E94^2+F94^2))/(10^-3)))</f>
        <v/>
      </c>
      <c r="H94" s="675" t="str">
        <f aca="false">IF(B94="","",(IF('conversion datos'!$L$30='Patrones LACOMET'!$D$3,(VLOOKUP(B94,'BLOQUES PATRON (pulg) '!$K$5:$Q$86,6,FALSE())*1000),IF('conversion datos'!$L$30='Patrones LACOMET'!$D$4,(VLOOKUP(B94,'BLOQUES PATRON (mm)'!$D$5:$H$126,5,FALSE())),"No existe el patrón"))))</f>
        <v/>
      </c>
      <c r="I94" s="676" t="str">
        <f aca="false">IF(B94="","",0.42^2)</f>
        <v/>
      </c>
      <c r="J94" s="676" t="str">
        <f aca="false">IF(B94="","",IF('conversion datos'!$L$30='Patrones LACOMET'!$D$3,LOOKUP(B94,'BLOQUES PATRON (pulg) '!$S$5:$S$86,'BLOQUES PATRON (pulg) '!$Z$5:$Z$86),IF('conversion datos'!$L$30='Patrones LACOMET'!$D$4,LOOKUP(B94,'BLOQUES PATRON (mm)'!$O$5:$O$126,'BLOQUES PATRON (mm)'!$U$5:$U$126),"No existe el patrón")))</f>
        <v/>
      </c>
      <c r="K94" s="677" t="str">
        <f aca="false">IF(B94="","",SQRT((H94^2)+(J94^2)+(I94^2)))</f>
        <v/>
      </c>
      <c r="L94" s="695" t="str">
        <f aca="false">IF(B94="","",$G$4)</f>
        <v/>
      </c>
      <c r="M94" s="695" t="str">
        <f aca="false">IF(B94="","",($G$5))</f>
        <v/>
      </c>
      <c r="N94" s="695" t="str">
        <f aca="false">IF(B94="","",($G$6))</f>
        <v/>
      </c>
      <c r="O94" s="696" t="str">
        <f aca="false">IF(B94="","",(($G$7)))</f>
        <v/>
      </c>
      <c r="P94" s="697" t="str">
        <f aca="false">IF(B94="","",$G$8)</f>
        <v/>
      </c>
      <c r="Q94" s="698" t="str">
        <f aca="false">IF(B94="","",SQRT((L94^2)*(M94^2)+(N94^2)+(O94^2)+(P94^2)))</f>
        <v/>
      </c>
      <c r="R94" s="699" t="str">
        <f aca="false">IF(B94="","",($G$12))</f>
        <v/>
      </c>
      <c r="S94" s="699" t="str">
        <f aca="false">IF(B94="","",($G$13))</f>
        <v/>
      </c>
      <c r="T94" s="700" t="str">
        <f aca="false">IF(B94="","",+$F$14/SQRT(12))</f>
        <v/>
      </c>
      <c r="U94" s="684" t="str">
        <f aca="false">IF(B94="","",(($M$17)/2)*1000)</f>
        <v/>
      </c>
      <c r="V94" s="685" t="str">
        <f aca="false">+IF(B94="","",+$G$15)</f>
        <v/>
      </c>
      <c r="W94" s="685" t="str">
        <f aca="false">+IF(B94="","",+$G$16)</f>
        <v/>
      </c>
      <c r="X94" s="685" t="str">
        <f aca="false">+IF(B94="","",+$G$17)</f>
        <v/>
      </c>
      <c r="Y94" s="686" t="str">
        <f aca="false">+IF(B94="","",K94*$G$9)</f>
        <v/>
      </c>
      <c r="Z94" s="686" t="str">
        <f aca="false">+IF(B94="","",K94*$G$12)</f>
        <v/>
      </c>
      <c r="AA94" s="686" t="str">
        <f aca="false">+IF(B94="","",K94*$G$13)</f>
        <v/>
      </c>
      <c r="AB94" s="686" t="str">
        <f aca="false">+IF(B94="","",K94*T94)</f>
        <v/>
      </c>
      <c r="AC94" s="687" t="str">
        <f aca="false">IF(B94="","",('SENSIBILIDAD 2'!B71^2)*(G94^2))</f>
        <v/>
      </c>
      <c r="AD94" s="688" t="str">
        <f aca="false">IF(B94="","",('SENSIBILIDAD 2'!C71^2)*(K94^2))</f>
        <v/>
      </c>
      <c r="AE94" s="688" t="str">
        <f aca="false">IF(B94="","",'SENSIBILIDAD 2'!D71^2*(R94^2))</f>
        <v/>
      </c>
      <c r="AF94" s="688" t="str">
        <f aca="false">IF(B94="","",'SENSIBILIDAD 2'!E71^2*(S94^2))</f>
        <v/>
      </c>
      <c r="AG94" s="688" t="str">
        <f aca="false">IF(B94="","",'SENSIBILIDAD 2'!F71^2*(T94^2))</f>
        <v/>
      </c>
      <c r="AH94" s="688" t="str">
        <f aca="false">IF(B94="","",(('SENSIBILIDAD 2'!G71)^2)*(Q94^2))</f>
        <v/>
      </c>
      <c r="AI94" s="688" t="str">
        <f aca="false">IF(B94="","",'SENSIBILIDAD 2'!H71^2*(U94^2))</f>
        <v/>
      </c>
      <c r="AJ94" s="688" t="str">
        <f aca="false">IF(B94="","",'SENSIBILIDAD 2'!M71^2*(V94^2))</f>
        <v/>
      </c>
      <c r="AK94" s="688" t="str">
        <f aca="false">IF(B94="","",'SENSIBILIDAD 2'!N71^2*(W94^2))</f>
        <v/>
      </c>
      <c r="AL94" s="688" t="str">
        <f aca="false">IF(B94="","",'SENSIBILIDAD 2'!O71^2*(X94^2))</f>
        <v/>
      </c>
      <c r="AM94" s="688" t="str">
        <f aca="false">IF($B94="","",(Y94^2)*('SENSIBILIDAD 2'!K71^2))</f>
        <v/>
      </c>
      <c r="AN94" s="688" t="str">
        <f aca="false">IF($B94="","",(Z94^2)*('SENSIBILIDAD 2'!I71^2))</f>
        <v/>
      </c>
      <c r="AO94" s="688" t="str">
        <f aca="false">IF($B94="","",(AA94^2)*('SENSIBILIDAD 2'!J71^2))</f>
        <v/>
      </c>
      <c r="AP94" s="688" t="str">
        <f aca="false">IF($B94="","",(AB94^2)*('SENSIBILIDAD 2'!L71^2))</f>
        <v/>
      </c>
      <c r="AQ94" s="689" t="str">
        <f aca="false">IF(B94="","",SQRT(AC94+AD94+AE94+AF94+AG94+AH94+AI94+AJ94+AK94+AL94+AM94+AN94+AO94+AP94))</f>
        <v/>
      </c>
      <c r="AR94" s="701" t="str">
        <f aca="false">IF(B94="","",2*AQ94)</f>
        <v/>
      </c>
      <c r="AS94" s="706" t="str">
        <f aca="false">IF(B94="","",+AR94/1000)</f>
        <v/>
      </c>
      <c r="AT94" s="692" t="str">
        <f aca="false">IF('conversion datos'!$L$30='Patrones LACOMET'!$D$3,(IF(N94="","",AS94*39.37008)),IF('conversion datos'!$L$30='Patrones LACOMET'!$D$4,AS94,"No existe el patrón"))</f>
        <v/>
      </c>
      <c r="BI94" s="564"/>
      <c r="BJ94" s="564"/>
      <c r="BK94" s="564"/>
      <c r="BL94" s="564"/>
      <c r="BM94" s="655"/>
      <c r="BN94" s="655"/>
    </row>
    <row r="95" customFormat="false" ht="19.5" hidden="false" customHeight="true" outlineLevel="0" collapsed="false">
      <c r="A95" s="81" t="n">
        <f aca="false">+CALIBRACION!A78</f>
        <v>67</v>
      </c>
      <c r="B95" s="672" t="str">
        <f aca="false">IF(CALIBRACION!H78="","",CALIBRACION!H78)</f>
        <v/>
      </c>
      <c r="C95" s="693" t="str">
        <f aca="false">IF(B95="","",+($F$20)/SQRT((5)))</f>
        <v/>
      </c>
      <c r="D95" s="693" t="str">
        <f aca="false">IF(B95="","",$F$21/SQRT((3)))</f>
        <v/>
      </c>
      <c r="E95" s="693" t="str">
        <f aca="false">IF(B95="","",$F$22/(SQRT(12)))</f>
        <v/>
      </c>
      <c r="F95" s="693" t="str">
        <f aca="false">IF(B95="","",$F$23/(SQRT(3)))</f>
        <v/>
      </c>
      <c r="G95" s="694" t="str">
        <f aca="false">IF(B95="","",(SQRT((+C95^2+D95^2+E95^2+F95^2))/(10^-3)))</f>
        <v/>
      </c>
      <c r="H95" s="675" t="str">
        <f aca="false">IF(B95="","",(IF('conversion datos'!$L$30='Patrones LACOMET'!$D$3,(VLOOKUP(B95,'BLOQUES PATRON (pulg) '!$K$5:$Q$86,6,FALSE())*1000),IF('conversion datos'!$L$30='Patrones LACOMET'!$D$4,(VLOOKUP(B95,'BLOQUES PATRON (mm)'!$D$5:$H$126,5,FALSE())),"No existe el patrón"))))</f>
        <v/>
      </c>
      <c r="I95" s="676" t="str">
        <f aca="false">IF(B95="","",0.42^2)</f>
        <v/>
      </c>
      <c r="J95" s="676" t="str">
        <f aca="false">IF(B95="","",IF('conversion datos'!$L$30='Patrones LACOMET'!$D$3,LOOKUP(B95,'BLOQUES PATRON (pulg) '!$S$5:$S$86,'BLOQUES PATRON (pulg) '!$Z$5:$Z$86),IF('conversion datos'!$L$30='Patrones LACOMET'!$D$4,LOOKUP(B95,'BLOQUES PATRON (mm)'!$O$5:$O$126,'BLOQUES PATRON (mm)'!$U$5:$U$126),"No existe el patrón")))</f>
        <v/>
      </c>
      <c r="K95" s="677" t="str">
        <f aca="false">IF(B95="","",SQRT((H95^2)+(J95^2)+(I95^2)))</f>
        <v/>
      </c>
      <c r="L95" s="695" t="str">
        <f aca="false">IF(B95="","",$G$4)</f>
        <v/>
      </c>
      <c r="M95" s="695" t="str">
        <f aca="false">IF(B95="","",($G$5))</f>
        <v/>
      </c>
      <c r="N95" s="695" t="str">
        <f aca="false">IF(B95="","",($G$6))</f>
        <v/>
      </c>
      <c r="O95" s="696" t="str">
        <f aca="false">IF(B95="","",(($G$7)))</f>
        <v/>
      </c>
      <c r="P95" s="697" t="str">
        <f aca="false">IF(B95="","",$G$8)</f>
        <v/>
      </c>
      <c r="Q95" s="698" t="str">
        <f aca="false">IF(B95="","",SQRT((L95^2)*(M95^2)+(N95^2)+(O95^2)+(P95^2)))</f>
        <v/>
      </c>
      <c r="R95" s="699" t="str">
        <f aca="false">IF(B95="","",($G$12))</f>
        <v/>
      </c>
      <c r="S95" s="699" t="str">
        <f aca="false">IF(B95="","",($G$13))</f>
        <v/>
      </c>
      <c r="T95" s="700" t="str">
        <f aca="false">IF(B95="","",+$F$14/SQRT(12))</f>
        <v/>
      </c>
      <c r="U95" s="684" t="str">
        <f aca="false">IF(B95="","",(($M$17)/2)*1000)</f>
        <v/>
      </c>
      <c r="V95" s="685" t="str">
        <f aca="false">+IF(B95="","",+$G$15)</f>
        <v/>
      </c>
      <c r="W95" s="685" t="str">
        <f aca="false">+IF(B95="","",+$G$16)</f>
        <v/>
      </c>
      <c r="X95" s="685" t="str">
        <f aca="false">+IF(B95="","",+$G$17)</f>
        <v/>
      </c>
      <c r="Y95" s="686" t="str">
        <f aca="false">+IF(B95="","",K95*$G$9)</f>
        <v/>
      </c>
      <c r="Z95" s="686" t="str">
        <f aca="false">+IF(B95="","",K95*$G$12)</f>
        <v/>
      </c>
      <c r="AA95" s="686" t="str">
        <f aca="false">+IF(B95="","",K95*$G$13)</f>
        <v/>
      </c>
      <c r="AB95" s="686" t="str">
        <f aca="false">+IF(B95="","",K95*T95)</f>
        <v/>
      </c>
      <c r="AC95" s="687" t="str">
        <f aca="false">IF(B95="","",('SENSIBILIDAD 2'!B72^2)*(G95^2))</f>
        <v/>
      </c>
      <c r="AD95" s="688" t="str">
        <f aca="false">IF(B95="","",('SENSIBILIDAD 2'!C72^2)*(K95^2))</f>
        <v/>
      </c>
      <c r="AE95" s="688" t="str">
        <f aca="false">IF(B95="","",'SENSIBILIDAD 2'!D72^2*(R95^2))</f>
        <v/>
      </c>
      <c r="AF95" s="688" t="str">
        <f aca="false">IF(B95="","",'SENSIBILIDAD 2'!E72^2*(S95^2))</f>
        <v/>
      </c>
      <c r="AG95" s="688" t="str">
        <f aca="false">IF(B95="","",'SENSIBILIDAD 2'!F72^2*(T95^2))</f>
        <v/>
      </c>
      <c r="AH95" s="688" t="str">
        <f aca="false">IF(B95="","",(('SENSIBILIDAD 2'!G72)^2)*(Q95^2))</f>
        <v/>
      </c>
      <c r="AI95" s="688" t="str">
        <f aca="false">IF(B95="","",'SENSIBILIDAD 2'!H72^2*(U95^2))</f>
        <v/>
      </c>
      <c r="AJ95" s="688" t="str">
        <f aca="false">IF(B95="","",'SENSIBILIDAD 2'!M72^2*(V95^2))</f>
        <v/>
      </c>
      <c r="AK95" s="688" t="str">
        <f aca="false">IF(B95="","",'SENSIBILIDAD 2'!N72^2*(W95^2))</f>
        <v/>
      </c>
      <c r="AL95" s="688" t="str">
        <f aca="false">IF(B95="","",'SENSIBILIDAD 2'!O72^2*(X95^2))</f>
        <v/>
      </c>
      <c r="AM95" s="688" t="str">
        <f aca="false">IF($B95="","",(Y95^2)*('SENSIBILIDAD 2'!K72^2))</f>
        <v/>
      </c>
      <c r="AN95" s="688" t="str">
        <f aca="false">IF($B95="","",(Z95^2)*('SENSIBILIDAD 2'!I72^2))</f>
        <v/>
      </c>
      <c r="AO95" s="688" t="str">
        <f aca="false">IF($B95="","",(AA95^2)*('SENSIBILIDAD 2'!J72^2))</f>
        <v/>
      </c>
      <c r="AP95" s="688" t="str">
        <f aca="false">IF($B95="","",(AB95^2)*('SENSIBILIDAD 2'!L72^2))</f>
        <v/>
      </c>
      <c r="AQ95" s="689" t="str">
        <f aca="false">IF(B95="","",SQRT(AC95+AD95+AE95+AF95+AG95+AH95+AI95+AJ95+AK95+AL95+AM95+AN95+AO95+AP95))</f>
        <v/>
      </c>
      <c r="AR95" s="701" t="str">
        <f aca="false">IF(B95="","",2*AQ95)</f>
        <v/>
      </c>
      <c r="AS95" s="706" t="str">
        <f aca="false">IF(B95="","",+AR95/1000)</f>
        <v/>
      </c>
      <c r="AT95" s="692" t="str">
        <f aca="false">IF('conversion datos'!$L$30='Patrones LACOMET'!$D$3,(IF(N95="","",AS95*39.37008)),IF('conversion datos'!$L$30='Patrones LACOMET'!$D$4,AS95,"No existe el patrón"))</f>
        <v/>
      </c>
      <c r="BI95" s="564"/>
      <c r="BJ95" s="564"/>
      <c r="BK95" s="564"/>
      <c r="BL95" s="564"/>
      <c r="BM95" s="655"/>
      <c r="BN95" s="655"/>
    </row>
    <row r="96" customFormat="false" ht="19.5" hidden="false" customHeight="true" outlineLevel="0" collapsed="false">
      <c r="A96" s="81" t="n">
        <f aca="false">+CALIBRACION!A79</f>
        <v>68</v>
      </c>
      <c r="B96" s="672" t="str">
        <f aca="false">IF(CALIBRACION!H79="","",CALIBRACION!H79)</f>
        <v/>
      </c>
      <c r="C96" s="693" t="str">
        <f aca="false">IF(B96="","",+($F$20)/SQRT((5)))</f>
        <v/>
      </c>
      <c r="D96" s="693" t="str">
        <f aca="false">IF(B96="","",$F$21/SQRT((3)))</f>
        <v/>
      </c>
      <c r="E96" s="693" t="str">
        <f aca="false">IF(B96="","",$F$22/(SQRT(12)))</f>
        <v/>
      </c>
      <c r="F96" s="693" t="str">
        <f aca="false">IF(B96="","",$F$23/(SQRT(3)))</f>
        <v/>
      </c>
      <c r="G96" s="694" t="str">
        <f aca="false">IF(B96="","",(SQRT((+C96^2+D96^2+E96^2+F96^2))/(10^-3)))</f>
        <v/>
      </c>
      <c r="H96" s="675" t="str">
        <f aca="false">IF(B96="","",(IF('conversion datos'!$L$30='Patrones LACOMET'!$D$3,(VLOOKUP(B96,'BLOQUES PATRON (pulg) '!$K$5:$Q$86,6,FALSE())*1000),IF('conversion datos'!$L$30='Patrones LACOMET'!$D$4,(VLOOKUP(B96,'BLOQUES PATRON (mm)'!$D$5:$H$126,5,FALSE())),"No existe el patrón"))))</f>
        <v/>
      </c>
      <c r="I96" s="676" t="str">
        <f aca="false">IF(B96="","",0.42^2)</f>
        <v/>
      </c>
      <c r="J96" s="676" t="str">
        <f aca="false">IF(B96="","",IF('conversion datos'!$L$30='Patrones LACOMET'!$D$3,LOOKUP(B96,'BLOQUES PATRON (pulg) '!$S$5:$S$86,'BLOQUES PATRON (pulg) '!$Z$5:$Z$86),IF('conversion datos'!$L$30='Patrones LACOMET'!$D$4,LOOKUP(B96,'BLOQUES PATRON (mm)'!$O$5:$O$126,'BLOQUES PATRON (mm)'!$U$5:$U$126),"No existe el patrón")))</f>
        <v/>
      </c>
      <c r="K96" s="677" t="str">
        <f aca="false">IF(B96="","",SQRT((H96^2)+(J96^2)+(I96^2)))</f>
        <v/>
      </c>
      <c r="L96" s="695" t="str">
        <f aca="false">IF(B96="","",$G$4)</f>
        <v/>
      </c>
      <c r="M96" s="695" t="str">
        <f aca="false">IF(B96="","",($G$5))</f>
        <v/>
      </c>
      <c r="N96" s="695" t="str">
        <f aca="false">IF(B96="","",($G$6))</f>
        <v/>
      </c>
      <c r="O96" s="696" t="str">
        <f aca="false">IF(B96="","",(($G$7)))</f>
        <v/>
      </c>
      <c r="P96" s="697" t="str">
        <f aca="false">IF(B96="","",$G$8)</f>
        <v/>
      </c>
      <c r="Q96" s="698" t="str">
        <f aca="false">IF(B96="","",SQRT((L96^2)*(M96^2)+(N96^2)+(O96^2)+(P96^2)))</f>
        <v/>
      </c>
      <c r="R96" s="699" t="str">
        <f aca="false">IF(B96="","",($G$12))</f>
        <v/>
      </c>
      <c r="S96" s="699" t="str">
        <f aca="false">IF(B96="","",($G$13))</f>
        <v/>
      </c>
      <c r="T96" s="700" t="str">
        <f aca="false">IF(B96="","",+$F$14/SQRT(12))</f>
        <v/>
      </c>
      <c r="U96" s="684" t="str">
        <f aca="false">IF(B96="","",(($M$17)/2)*1000)</f>
        <v/>
      </c>
      <c r="V96" s="685" t="str">
        <f aca="false">+IF(B96="","",+$G$15)</f>
        <v/>
      </c>
      <c r="W96" s="685" t="str">
        <f aca="false">+IF(B96="","",+$G$16)</f>
        <v/>
      </c>
      <c r="X96" s="685" t="str">
        <f aca="false">+IF(B96="","",+$G$17)</f>
        <v/>
      </c>
      <c r="Y96" s="686" t="str">
        <f aca="false">+IF(B96="","",K96*$G$9)</f>
        <v/>
      </c>
      <c r="Z96" s="686" t="str">
        <f aca="false">+IF(B96="","",K96*$G$12)</f>
        <v/>
      </c>
      <c r="AA96" s="686" t="str">
        <f aca="false">+IF(B96="","",K96*$G$13)</f>
        <v/>
      </c>
      <c r="AB96" s="686" t="str">
        <f aca="false">+IF(B96="","",K96*T96)</f>
        <v/>
      </c>
      <c r="AC96" s="687" t="str">
        <f aca="false">IF(B96="","",('SENSIBILIDAD 2'!B73^2)*(G96^2))</f>
        <v/>
      </c>
      <c r="AD96" s="688" t="str">
        <f aca="false">IF(B96="","",('SENSIBILIDAD 2'!C73^2)*(K96^2))</f>
        <v/>
      </c>
      <c r="AE96" s="688" t="str">
        <f aca="false">IF(B96="","",'SENSIBILIDAD 2'!D73^2*(R96^2))</f>
        <v/>
      </c>
      <c r="AF96" s="688" t="str">
        <f aca="false">IF(B96="","",'SENSIBILIDAD 2'!E73^2*(S96^2))</f>
        <v/>
      </c>
      <c r="AG96" s="688" t="str">
        <f aca="false">IF(B96="","",'SENSIBILIDAD 2'!F73^2*(T96^2))</f>
        <v/>
      </c>
      <c r="AH96" s="688" t="str">
        <f aca="false">IF(B96="","",(('SENSIBILIDAD 2'!G73)^2)*(Q96^2))</f>
        <v/>
      </c>
      <c r="AI96" s="688" t="str">
        <f aca="false">IF(B96="","",'SENSIBILIDAD 2'!H73^2*(U96^2))</f>
        <v/>
      </c>
      <c r="AJ96" s="688" t="str">
        <f aca="false">IF(B96="","",'SENSIBILIDAD 2'!M73^2*(V96^2))</f>
        <v/>
      </c>
      <c r="AK96" s="688" t="str">
        <f aca="false">IF(B96="","",'SENSIBILIDAD 2'!N73^2*(W96^2))</f>
        <v/>
      </c>
      <c r="AL96" s="688" t="str">
        <f aca="false">IF(B96="","",'SENSIBILIDAD 2'!O73^2*(X96^2))</f>
        <v/>
      </c>
      <c r="AM96" s="688" t="str">
        <f aca="false">IF($B96="","",(Y96^2)*('SENSIBILIDAD 2'!K73^2))</f>
        <v/>
      </c>
      <c r="AN96" s="688" t="str">
        <f aca="false">IF($B96="","",(Z96^2)*('SENSIBILIDAD 2'!I73^2))</f>
        <v/>
      </c>
      <c r="AO96" s="688" t="str">
        <f aca="false">IF($B96="","",(AA96^2)*('SENSIBILIDAD 2'!J73^2))</f>
        <v/>
      </c>
      <c r="AP96" s="688" t="str">
        <f aca="false">IF($B96="","",(AB96^2)*('SENSIBILIDAD 2'!L73^2))</f>
        <v/>
      </c>
      <c r="AQ96" s="689" t="str">
        <f aca="false">IF(B96="","",SQRT(AC96+AD96+AE96+AF96+AG96+AH96+AI96+AJ96+AK96+AL96+AM96+AN96+AO96+AP96))</f>
        <v/>
      </c>
      <c r="AR96" s="701" t="str">
        <f aca="false">IF(B96="","",2*AQ96)</f>
        <v/>
      </c>
      <c r="AS96" s="706" t="str">
        <f aca="false">IF(B96="","",+AR96/1000)</f>
        <v/>
      </c>
      <c r="AT96" s="692" t="str">
        <f aca="false">IF('conversion datos'!$L$30='Patrones LACOMET'!$D$3,(IF(N96="","",AS96*39.37008)),IF('conversion datos'!$L$30='Patrones LACOMET'!$D$4,AS96,"No existe el patrón"))</f>
        <v/>
      </c>
      <c r="BI96" s="564"/>
      <c r="BJ96" s="564"/>
      <c r="BK96" s="564"/>
      <c r="BL96" s="564"/>
      <c r="BM96" s="655"/>
      <c r="BN96" s="655"/>
    </row>
    <row r="97" customFormat="false" ht="19.5" hidden="false" customHeight="true" outlineLevel="0" collapsed="false">
      <c r="A97" s="81" t="n">
        <f aca="false">+CALIBRACION!A80</f>
        <v>69</v>
      </c>
      <c r="B97" s="672" t="str">
        <f aca="false">IF(CALIBRACION!H80="","",CALIBRACION!H80)</f>
        <v/>
      </c>
      <c r="C97" s="693" t="str">
        <f aca="false">IF(B97="","",+($F$20)/SQRT((5)))</f>
        <v/>
      </c>
      <c r="D97" s="693" t="str">
        <f aca="false">IF(B97="","",$F$21/SQRT((3)))</f>
        <v/>
      </c>
      <c r="E97" s="693" t="str">
        <f aca="false">IF(B97="","",$F$22/(SQRT(12)))</f>
        <v/>
      </c>
      <c r="F97" s="693" t="str">
        <f aca="false">IF(B97="","",$F$23/(SQRT(3)))</f>
        <v/>
      </c>
      <c r="G97" s="694" t="str">
        <f aca="false">IF(B97="","",(SQRT((+C97^2+D97^2+E97^2+F97^2))/(10^-3)))</f>
        <v/>
      </c>
      <c r="H97" s="675" t="str">
        <f aca="false">IF(B97="","",(IF('conversion datos'!$L$30='Patrones LACOMET'!$D$3,(VLOOKUP(B97,'BLOQUES PATRON (pulg) '!$K$5:$Q$86,6,FALSE())*1000),IF('conversion datos'!$L$30='Patrones LACOMET'!$D$4,(VLOOKUP(B97,'BLOQUES PATRON (mm)'!$D$5:$H$126,5,FALSE())),"No existe el patrón"))))</f>
        <v/>
      </c>
      <c r="I97" s="676" t="str">
        <f aca="false">IF(B97="","",0.42^2)</f>
        <v/>
      </c>
      <c r="J97" s="676" t="str">
        <f aca="false">IF(B97="","",IF('conversion datos'!$L$30='Patrones LACOMET'!$D$3,LOOKUP(B97,'BLOQUES PATRON (pulg) '!$S$5:$S$86,'BLOQUES PATRON (pulg) '!$Z$5:$Z$86),IF('conversion datos'!$L$30='Patrones LACOMET'!$D$4,LOOKUP(B97,'BLOQUES PATRON (mm)'!$O$5:$O$126,'BLOQUES PATRON (mm)'!$U$5:$U$126),"No existe el patrón")))</f>
        <v/>
      </c>
      <c r="K97" s="677" t="str">
        <f aca="false">IF(B97="","",SQRT((H97^2)+(J97^2)+(I97^2)))</f>
        <v/>
      </c>
      <c r="L97" s="695" t="str">
        <f aca="false">IF(B97="","",$G$4)</f>
        <v/>
      </c>
      <c r="M97" s="695" t="str">
        <f aca="false">IF(B97="","",($G$5))</f>
        <v/>
      </c>
      <c r="N97" s="695" t="str">
        <f aca="false">IF(B97="","",($G$6))</f>
        <v/>
      </c>
      <c r="O97" s="696" t="str">
        <f aca="false">IF(B97="","",(($G$7)))</f>
        <v/>
      </c>
      <c r="P97" s="697" t="str">
        <f aca="false">IF(B97="","",$G$8)</f>
        <v/>
      </c>
      <c r="Q97" s="698" t="str">
        <f aca="false">IF(B97="","",SQRT((L97^2)*(M97^2)+(N97^2)+(O97^2)+(P97^2)))</f>
        <v/>
      </c>
      <c r="R97" s="699" t="str">
        <f aca="false">IF(B97="","",($G$12))</f>
        <v/>
      </c>
      <c r="S97" s="699" t="str">
        <f aca="false">IF(B97="","",($G$13))</f>
        <v/>
      </c>
      <c r="T97" s="700" t="str">
        <f aca="false">IF(B97="","",+$F$14/SQRT(12))</f>
        <v/>
      </c>
      <c r="U97" s="684" t="str">
        <f aca="false">IF(B97="","",(($M$17)/2)*1000)</f>
        <v/>
      </c>
      <c r="V97" s="685" t="str">
        <f aca="false">+IF(B97="","",+$G$15)</f>
        <v/>
      </c>
      <c r="W97" s="685" t="str">
        <f aca="false">+IF(B97="","",+$G$16)</f>
        <v/>
      </c>
      <c r="X97" s="685" t="str">
        <f aca="false">+IF(B97="","",+$G$17)</f>
        <v/>
      </c>
      <c r="Y97" s="686" t="str">
        <f aca="false">+IF(B97="","",K97*$G$9)</f>
        <v/>
      </c>
      <c r="Z97" s="686" t="str">
        <f aca="false">+IF(B97="","",K97*$G$12)</f>
        <v/>
      </c>
      <c r="AA97" s="686" t="str">
        <f aca="false">+IF(B97="","",K97*$G$13)</f>
        <v/>
      </c>
      <c r="AB97" s="686" t="str">
        <f aca="false">+IF(B97="","",K97*T97)</f>
        <v/>
      </c>
      <c r="AC97" s="687" t="str">
        <f aca="false">IF(B97="","",('SENSIBILIDAD 2'!B74^2)*(G97^2))</f>
        <v/>
      </c>
      <c r="AD97" s="688" t="str">
        <f aca="false">IF(B97="","",('SENSIBILIDAD 2'!C74^2)*(K97^2))</f>
        <v/>
      </c>
      <c r="AE97" s="688" t="str">
        <f aca="false">IF(B97="","",'SENSIBILIDAD 2'!D74^2*(R97^2))</f>
        <v/>
      </c>
      <c r="AF97" s="688" t="str">
        <f aca="false">IF(B97="","",'SENSIBILIDAD 2'!E74^2*(S97^2))</f>
        <v/>
      </c>
      <c r="AG97" s="688" t="str">
        <f aca="false">IF(B97="","",'SENSIBILIDAD 2'!F74^2*(T97^2))</f>
        <v/>
      </c>
      <c r="AH97" s="688" t="str">
        <f aca="false">IF(B97="","",(('SENSIBILIDAD 2'!G74)^2)*(Q97^2))</f>
        <v/>
      </c>
      <c r="AI97" s="688" t="str">
        <f aca="false">IF(B97="","",'SENSIBILIDAD 2'!H74^2*(U97^2))</f>
        <v/>
      </c>
      <c r="AJ97" s="688" t="str">
        <f aca="false">IF(B97="","",'SENSIBILIDAD 2'!M74^2*(V97^2))</f>
        <v/>
      </c>
      <c r="AK97" s="688" t="str">
        <f aca="false">IF(B97="","",'SENSIBILIDAD 2'!N74^2*(W97^2))</f>
        <v/>
      </c>
      <c r="AL97" s="688" t="str">
        <f aca="false">IF(B97="","",'SENSIBILIDAD 2'!O74^2*(X97^2))</f>
        <v/>
      </c>
      <c r="AM97" s="688" t="str">
        <f aca="false">IF($B97="","",(Y97^2)*('SENSIBILIDAD 2'!K74^2))</f>
        <v/>
      </c>
      <c r="AN97" s="688" t="str">
        <f aca="false">IF($B97="","",(Z97^2)*('SENSIBILIDAD 2'!I74^2))</f>
        <v/>
      </c>
      <c r="AO97" s="688" t="str">
        <f aca="false">IF($B97="","",(AA97^2)*('SENSIBILIDAD 2'!J74^2))</f>
        <v/>
      </c>
      <c r="AP97" s="688" t="str">
        <f aca="false">IF($B97="","",(AB97^2)*('SENSIBILIDAD 2'!L74^2))</f>
        <v/>
      </c>
      <c r="AQ97" s="689" t="str">
        <f aca="false">IF(B97="","",SQRT(AC97+AD97+AE97+AF97+AG97+AH97+AI97+AJ97+AK97+AL97+AM97+AN97+AO97+AP97))</f>
        <v/>
      </c>
      <c r="AR97" s="701" t="str">
        <f aca="false">IF(B97="","",2*AQ97)</f>
        <v/>
      </c>
      <c r="AS97" s="706" t="str">
        <f aca="false">IF(B97="","",+AR97/1000)</f>
        <v/>
      </c>
      <c r="AT97" s="692" t="str">
        <f aca="false">IF('conversion datos'!$L$30='Patrones LACOMET'!$D$3,(IF(N97="","",AS97*39.37008)),IF('conversion datos'!$L$30='Patrones LACOMET'!$D$4,AS97,"No existe el patrón"))</f>
        <v/>
      </c>
      <c r="BI97" s="564"/>
      <c r="BJ97" s="564"/>
      <c r="BK97" s="564"/>
      <c r="BL97" s="564"/>
      <c r="BM97" s="655"/>
      <c r="BN97" s="655"/>
    </row>
    <row r="98" customFormat="false" ht="19.5" hidden="false" customHeight="true" outlineLevel="0" collapsed="false">
      <c r="A98" s="81" t="n">
        <f aca="false">+CALIBRACION!A81</f>
        <v>70</v>
      </c>
      <c r="B98" s="672" t="str">
        <f aca="false">IF(CALIBRACION!H81="","",CALIBRACION!H81)</f>
        <v/>
      </c>
      <c r="C98" s="693" t="str">
        <f aca="false">IF(B98="","",+($F$20)/SQRT((5)))</f>
        <v/>
      </c>
      <c r="D98" s="693" t="str">
        <f aca="false">IF(B98="","",$F$21/SQRT((3)))</f>
        <v/>
      </c>
      <c r="E98" s="693" t="str">
        <f aca="false">IF(B98="","",$F$22/(SQRT(12)))</f>
        <v/>
      </c>
      <c r="F98" s="693" t="str">
        <f aca="false">IF(B98="","",$F$23/(SQRT(3)))</f>
        <v/>
      </c>
      <c r="G98" s="694" t="str">
        <f aca="false">IF(B98="","",(SQRT((+C98^2+D98^2+E98^2+F98^2))/(10^-3)))</f>
        <v/>
      </c>
      <c r="H98" s="675" t="str">
        <f aca="false">IF(B98="","",(IF('conversion datos'!$L$30='Patrones LACOMET'!$D$3,(VLOOKUP(B98,'BLOQUES PATRON (pulg) '!$K$5:$Q$86,6,FALSE())*1000),IF('conversion datos'!$L$30='Patrones LACOMET'!$D$4,(VLOOKUP(B98,'BLOQUES PATRON (mm)'!$D$5:$H$126,5,FALSE())),"No existe el patrón"))))</f>
        <v/>
      </c>
      <c r="I98" s="676" t="str">
        <f aca="false">IF(B98="","",0.42^2)</f>
        <v/>
      </c>
      <c r="J98" s="676" t="str">
        <f aca="false">IF(B98="","",IF('conversion datos'!$L$30='Patrones LACOMET'!$D$3,LOOKUP(B98,'BLOQUES PATRON (pulg) '!$S$5:$S$86,'BLOQUES PATRON (pulg) '!$Z$5:$Z$86),IF('conversion datos'!$L$30='Patrones LACOMET'!$D$4,LOOKUP(B98,'BLOQUES PATRON (mm)'!$O$5:$O$126,'BLOQUES PATRON (mm)'!$U$5:$U$126),"No existe el patrón")))</f>
        <v/>
      </c>
      <c r="K98" s="677" t="str">
        <f aca="false">IF(B98="","",SQRT((H98^2)+(J98^2)+(I98^2)))</f>
        <v/>
      </c>
      <c r="L98" s="695" t="str">
        <f aca="false">IF(B98="","",$G$4)</f>
        <v/>
      </c>
      <c r="M98" s="695" t="str">
        <f aca="false">IF(B98="","",($G$5))</f>
        <v/>
      </c>
      <c r="N98" s="695" t="str">
        <f aca="false">IF(B98="","",($G$6))</f>
        <v/>
      </c>
      <c r="O98" s="696" t="str">
        <f aca="false">IF(B98="","",(($G$7)))</f>
        <v/>
      </c>
      <c r="P98" s="697" t="str">
        <f aca="false">IF(B98="","",$G$8)</f>
        <v/>
      </c>
      <c r="Q98" s="698" t="str">
        <f aca="false">IF(B98="","",SQRT((L98^2)*(M98^2)+(N98^2)+(O98^2)+(P98^2)))</f>
        <v/>
      </c>
      <c r="R98" s="699" t="str">
        <f aca="false">IF(B98="","",($G$12))</f>
        <v/>
      </c>
      <c r="S98" s="699" t="str">
        <f aca="false">IF(B98="","",($G$13))</f>
        <v/>
      </c>
      <c r="T98" s="700" t="str">
        <f aca="false">IF(B98="","",+$F$14/SQRT(12))</f>
        <v/>
      </c>
      <c r="U98" s="684" t="str">
        <f aca="false">IF(B98="","",(($M$17)/2)*1000)</f>
        <v/>
      </c>
      <c r="V98" s="685" t="str">
        <f aca="false">+IF(B98="","",+$G$15)</f>
        <v/>
      </c>
      <c r="W98" s="685" t="str">
        <f aca="false">+IF(B98="","",+$G$16)</f>
        <v/>
      </c>
      <c r="X98" s="685" t="str">
        <f aca="false">+IF(B98="","",+$G$17)</f>
        <v/>
      </c>
      <c r="Y98" s="686" t="str">
        <f aca="false">+IF(B98="","",K98*$G$9)</f>
        <v/>
      </c>
      <c r="Z98" s="686" t="str">
        <f aca="false">+IF(B98="","",K98*$G$12)</f>
        <v/>
      </c>
      <c r="AA98" s="686" t="str">
        <f aca="false">+IF(B98="","",K98*$G$13)</f>
        <v/>
      </c>
      <c r="AB98" s="686" t="str">
        <f aca="false">+IF(B98="","",K98*T98)</f>
        <v/>
      </c>
      <c r="AC98" s="687" t="str">
        <f aca="false">IF(B98="","",('SENSIBILIDAD 2'!B75^2)*(G98^2))</f>
        <v/>
      </c>
      <c r="AD98" s="688" t="str">
        <f aca="false">IF(B98="","",('SENSIBILIDAD 2'!C75^2)*(K98^2))</f>
        <v/>
      </c>
      <c r="AE98" s="688" t="str">
        <f aca="false">IF(B98="","",'SENSIBILIDAD 2'!D75^2*(R98^2))</f>
        <v/>
      </c>
      <c r="AF98" s="688" t="str">
        <f aca="false">IF(B98="","",'SENSIBILIDAD 2'!E75^2*(S98^2))</f>
        <v/>
      </c>
      <c r="AG98" s="688" t="str">
        <f aca="false">IF(B98="","",'SENSIBILIDAD 2'!F75^2*(T98^2))</f>
        <v/>
      </c>
      <c r="AH98" s="688" t="str">
        <f aca="false">IF(B98="","",(('SENSIBILIDAD 2'!G75)^2)*(Q98^2))</f>
        <v/>
      </c>
      <c r="AI98" s="688" t="str">
        <f aca="false">IF(B98="","",'SENSIBILIDAD 2'!H75^2*(U98^2))</f>
        <v/>
      </c>
      <c r="AJ98" s="688" t="str">
        <f aca="false">IF(B98="","",'SENSIBILIDAD 2'!M75^2*(V98^2))</f>
        <v/>
      </c>
      <c r="AK98" s="688" t="str">
        <f aca="false">IF(B98="","",'SENSIBILIDAD 2'!N75^2*(W98^2))</f>
        <v/>
      </c>
      <c r="AL98" s="688" t="str">
        <f aca="false">IF(B98="","",'SENSIBILIDAD 2'!O75^2*(X98^2))</f>
        <v/>
      </c>
      <c r="AM98" s="688" t="str">
        <f aca="false">IF($B98="","",(Y98^2)*('SENSIBILIDAD 2'!K75^2))</f>
        <v/>
      </c>
      <c r="AN98" s="688" t="str">
        <f aca="false">IF($B98="","",(Z98^2)*('SENSIBILIDAD 2'!I75^2))</f>
        <v/>
      </c>
      <c r="AO98" s="688" t="str">
        <f aca="false">IF($B98="","",(AA98^2)*('SENSIBILIDAD 2'!J75^2))</f>
        <v/>
      </c>
      <c r="AP98" s="688" t="str">
        <f aca="false">IF($B98="","",(AB98^2)*('SENSIBILIDAD 2'!L75^2))</f>
        <v/>
      </c>
      <c r="AQ98" s="689" t="str">
        <f aca="false">IF(B98="","",SQRT(AC98+AD98+AE98+AF98+AG98+AH98+AI98+AJ98+AK98+AL98+AM98+AN98+AO98+AP98))</f>
        <v/>
      </c>
      <c r="AR98" s="701" t="str">
        <f aca="false">IF(B98="","",2*AQ98)</f>
        <v/>
      </c>
      <c r="AS98" s="706" t="str">
        <f aca="false">IF(B98="","",+AR98/1000)</f>
        <v/>
      </c>
      <c r="AT98" s="692" t="str">
        <f aca="false">IF('conversion datos'!$L$30='Patrones LACOMET'!$D$3,(IF(N98="","",AS98*39.37008)),IF('conversion datos'!$L$30='Patrones LACOMET'!$D$4,AS98,"No existe el patrón"))</f>
        <v/>
      </c>
      <c r="BI98" s="564"/>
      <c r="BJ98" s="564"/>
      <c r="BK98" s="564"/>
      <c r="BL98" s="564"/>
      <c r="BM98" s="655"/>
      <c r="BN98" s="655"/>
    </row>
    <row r="99" customFormat="false" ht="19.5" hidden="false" customHeight="true" outlineLevel="0" collapsed="false">
      <c r="A99" s="81" t="n">
        <f aca="false">+CALIBRACION!A82</f>
        <v>71</v>
      </c>
      <c r="B99" s="672" t="str">
        <f aca="false">IF(CALIBRACION!H82="","",CALIBRACION!H82)</f>
        <v/>
      </c>
      <c r="C99" s="693" t="str">
        <f aca="false">IF(B99="","",+($F$20)/SQRT((5)))</f>
        <v/>
      </c>
      <c r="D99" s="693" t="str">
        <f aca="false">IF(B99="","",$F$21/SQRT((3)))</f>
        <v/>
      </c>
      <c r="E99" s="693" t="str">
        <f aca="false">IF(B99="","",$F$22/(SQRT(12)))</f>
        <v/>
      </c>
      <c r="F99" s="693" t="str">
        <f aca="false">IF(B99="","",$F$23/(SQRT(3)))</f>
        <v/>
      </c>
      <c r="G99" s="694" t="str">
        <f aca="false">IF(B99="","",(SQRT((+C99^2+D99^2+E99^2+F99^2))/(10^-3)))</f>
        <v/>
      </c>
      <c r="H99" s="675" t="str">
        <f aca="false">IF(B99="","",(IF('conversion datos'!$L$30='Patrones LACOMET'!$D$3,(VLOOKUP(B99,'BLOQUES PATRON (pulg) '!$K$5:$Q$86,6,FALSE())*1000),IF('conversion datos'!$L$30='Patrones LACOMET'!$D$4,(VLOOKUP(B99,'BLOQUES PATRON (mm)'!$D$5:$H$126,5,FALSE())),"No existe el patrón"))))</f>
        <v/>
      </c>
      <c r="I99" s="676" t="str">
        <f aca="false">IF(B99="","",0.42^2)</f>
        <v/>
      </c>
      <c r="J99" s="676" t="str">
        <f aca="false">IF(B99="","",IF('conversion datos'!$L$30='Patrones LACOMET'!$D$3,LOOKUP(B99,'BLOQUES PATRON (pulg) '!$S$5:$S$86,'BLOQUES PATRON (pulg) '!$Z$5:$Z$86),IF('conversion datos'!$L$30='Patrones LACOMET'!$D$4,LOOKUP(B99,'BLOQUES PATRON (mm)'!$O$5:$O$126,'BLOQUES PATRON (mm)'!$U$5:$U$126),"No existe el patrón")))</f>
        <v/>
      </c>
      <c r="K99" s="677" t="str">
        <f aca="false">IF(B99="","",SQRT((H99^2)+(J99^2)+(I99^2)))</f>
        <v/>
      </c>
      <c r="L99" s="695" t="str">
        <f aca="false">IF(B99="","",$G$4)</f>
        <v/>
      </c>
      <c r="M99" s="695" t="str">
        <f aca="false">IF(B99="","",($G$5))</f>
        <v/>
      </c>
      <c r="N99" s="695" t="str">
        <f aca="false">IF(B99="","",($G$6))</f>
        <v/>
      </c>
      <c r="O99" s="696" t="str">
        <f aca="false">IF(B99="","",(($G$7)))</f>
        <v/>
      </c>
      <c r="P99" s="697" t="str">
        <f aca="false">IF(B99="","",$G$8)</f>
        <v/>
      </c>
      <c r="Q99" s="698" t="str">
        <f aca="false">IF(B99="","",SQRT((L99^2)*(M99^2)+(N99^2)+(O99^2)+(P99^2)))</f>
        <v/>
      </c>
      <c r="R99" s="699" t="str">
        <f aca="false">IF(B99="","",($G$12))</f>
        <v/>
      </c>
      <c r="S99" s="699" t="str">
        <f aca="false">IF(B99="","",($G$13))</f>
        <v/>
      </c>
      <c r="T99" s="700" t="str">
        <f aca="false">IF(B99="","",+$F$14/SQRT(12))</f>
        <v/>
      </c>
      <c r="U99" s="684" t="str">
        <f aca="false">IF(B99="","",(($M$17)/2)*1000)</f>
        <v/>
      </c>
      <c r="V99" s="685" t="str">
        <f aca="false">+IF(B99="","",+$G$15)</f>
        <v/>
      </c>
      <c r="W99" s="685" t="str">
        <f aca="false">+IF(B99="","",+$G$16)</f>
        <v/>
      </c>
      <c r="X99" s="685" t="str">
        <f aca="false">+IF(B99="","",+$G$17)</f>
        <v/>
      </c>
      <c r="Y99" s="686" t="str">
        <f aca="false">+IF(B99="","",K99*$G$9)</f>
        <v/>
      </c>
      <c r="Z99" s="686" t="str">
        <f aca="false">+IF(B99="","",K99*$G$12)</f>
        <v/>
      </c>
      <c r="AA99" s="686" t="str">
        <f aca="false">+IF(B99="","",K99*$G$13)</f>
        <v/>
      </c>
      <c r="AB99" s="686" t="str">
        <f aca="false">+IF(B99="","",K99*T99)</f>
        <v/>
      </c>
      <c r="AC99" s="687" t="str">
        <f aca="false">IF(B99="","",('SENSIBILIDAD 2'!B76^2)*(G99^2))</f>
        <v/>
      </c>
      <c r="AD99" s="688" t="str">
        <f aca="false">IF(B99="","",('SENSIBILIDAD 2'!C76^2)*(K99^2))</f>
        <v/>
      </c>
      <c r="AE99" s="688" t="str">
        <f aca="false">IF(B99="","",'SENSIBILIDAD 2'!D76^2*(R99^2))</f>
        <v/>
      </c>
      <c r="AF99" s="688" t="str">
        <f aca="false">IF(B99="","",'SENSIBILIDAD 2'!E76^2*(S99^2))</f>
        <v/>
      </c>
      <c r="AG99" s="688" t="str">
        <f aca="false">IF(B99="","",'SENSIBILIDAD 2'!F76^2*(T99^2))</f>
        <v/>
      </c>
      <c r="AH99" s="688" t="str">
        <f aca="false">IF(B99="","",(('SENSIBILIDAD 2'!G76)^2)*(Q99^2))</f>
        <v/>
      </c>
      <c r="AI99" s="688" t="str">
        <f aca="false">IF(B99="","",'SENSIBILIDAD 2'!H76^2*(U99^2))</f>
        <v/>
      </c>
      <c r="AJ99" s="688" t="str">
        <f aca="false">IF(B99="","",'SENSIBILIDAD 2'!M76^2*(V99^2))</f>
        <v/>
      </c>
      <c r="AK99" s="688" t="str">
        <f aca="false">IF(B99="","",'SENSIBILIDAD 2'!N76^2*(W99^2))</f>
        <v/>
      </c>
      <c r="AL99" s="688" t="str">
        <f aca="false">IF(B99="","",'SENSIBILIDAD 2'!O76^2*(X99^2))</f>
        <v/>
      </c>
      <c r="AM99" s="688" t="str">
        <f aca="false">IF($B99="","",(Y99^2)*('SENSIBILIDAD 2'!K76^2))</f>
        <v/>
      </c>
      <c r="AN99" s="688" t="str">
        <f aca="false">IF($B99="","",(Z99^2)*('SENSIBILIDAD 2'!I76^2))</f>
        <v/>
      </c>
      <c r="AO99" s="688" t="str">
        <f aca="false">IF($B99="","",(AA99^2)*('SENSIBILIDAD 2'!J76^2))</f>
        <v/>
      </c>
      <c r="AP99" s="688" t="str">
        <f aca="false">IF($B99="","",(AB99^2)*('SENSIBILIDAD 2'!L76^2))</f>
        <v/>
      </c>
      <c r="AQ99" s="689" t="str">
        <f aca="false">IF(B99="","",SQRT(AC99+AD99+AE99+AF99+AG99+AH99+AI99+AJ99+AK99+AL99+AM99+AN99+AO99+AP99))</f>
        <v/>
      </c>
      <c r="AR99" s="701" t="str">
        <f aca="false">IF(B99="","",2*AQ99)</f>
        <v/>
      </c>
      <c r="AS99" s="706" t="str">
        <f aca="false">IF(B99="","",+AR99/1000)</f>
        <v/>
      </c>
      <c r="AT99" s="692" t="str">
        <f aca="false">IF('conversion datos'!$L$30='Patrones LACOMET'!$D$3,(IF(N99="","",AS99*39.37008)),IF('conversion datos'!$L$30='Patrones LACOMET'!$D$4,AS99,"No existe el patrón"))</f>
        <v/>
      </c>
      <c r="BI99" s="564"/>
      <c r="BJ99" s="564"/>
      <c r="BK99" s="564"/>
      <c r="BL99" s="564"/>
      <c r="BM99" s="655"/>
      <c r="BN99" s="655"/>
    </row>
    <row r="100" customFormat="false" ht="19.5" hidden="false" customHeight="true" outlineLevel="0" collapsed="false">
      <c r="A100" s="81" t="n">
        <f aca="false">+CALIBRACION!A83</f>
        <v>72</v>
      </c>
      <c r="B100" s="672" t="str">
        <f aca="false">IF(CALIBRACION!H83="","",CALIBRACION!H83)</f>
        <v/>
      </c>
      <c r="C100" s="693" t="str">
        <f aca="false">IF(B100="","",+($F$20)/SQRT((5)))</f>
        <v/>
      </c>
      <c r="D100" s="693" t="str">
        <f aca="false">IF(B100="","",$F$21/SQRT((3)))</f>
        <v/>
      </c>
      <c r="E100" s="693" t="str">
        <f aca="false">IF(B100="","",$F$22/(SQRT(12)))</f>
        <v/>
      </c>
      <c r="F100" s="693" t="str">
        <f aca="false">IF(B100="","",$F$23/(SQRT(3)))</f>
        <v/>
      </c>
      <c r="G100" s="694" t="str">
        <f aca="false">IF(B100="","",(SQRT((+C100^2+D100^2+E100^2+F100^2))/(10^-3)))</f>
        <v/>
      </c>
      <c r="H100" s="675" t="str">
        <f aca="false">IF(B100="","",(IF('conversion datos'!$L$30='Patrones LACOMET'!$D$3,(VLOOKUP(B100,'BLOQUES PATRON (pulg) '!$K$5:$Q$86,6,FALSE())*1000),IF('conversion datos'!$L$30='Patrones LACOMET'!$D$4,(VLOOKUP(B100,'BLOQUES PATRON (mm)'!$D$5:$H$126,5,FALSE())),"No existe el patrón"))))</f>
        <v/>
      </c>
      <c r="I100" s="676" t="str">
        <f aca="false">IF(B100="","",0.42^2)</f>
        <v/>
      </c>
      <c r="J100" s="676" t="str">
        <f aca="false">IF(B100="","",IF('conversion datos'!$L$30='Patrones LACOMET'!$D$3,LOOKUP(B100,'BLOQUES PATRON (pulg) '!$S$5:$S$86,'BLOQUES PATRON (pulg) '!$Z$5:$Z$86),IF('conversion datos'!$L$30='Patrones LACOMET'!$D$4,LOOKUP(B100,'BLOQUES PATRON (mm)'!$O$5:$O$126,'BLOQUES PATRON (mm)'!$U$5:$U$126),"No existe el patrón")))</f>
        <v/>
      </c>
      <c r="K100" s="677" t="str">
        <f aca="false">IF(B100="","",SQRT((H100^2)+(J100^2)+(I100^2)))</f>
        <v/>
      </c>
      <c r="L100" s="695" t="str">
        <f aca="false">IF(B100="","",$G$4)</f>
        <v/>
      </c>
      <c r="M100" s="695" t="str">
        <f aca="false">IF(B100="","",($G$5))</f>
        <v/>
      </c>
      <c r="N100" s="695" t="str">
        <f aca="false">IF(B100="","",($G$6))</f>
        <v/>
      </c>
      <c r="O100" s="696" t="str">
        <f aca="false">IF(B100="","",(($G$7)))</f>
        <v/>
      </c>
      <c r="P100" s="697" t="str">
        <f aca="false">IF(B100="","",$G$8)</f>
        <v/>
      </c>
      <c r="Q100" s="698" t="str">
        <f aca="false">IF(B100="","",SQRT((L100^2)*(M100^2)+(N100^2)+(O100^2)+(P100^2)))</f>
        <v/>
      </c>
      <c r="R100" s="699" t="str">
        <f aca="false">IF(B100="","",($G$12))</f>
        <v/>
      </c>
      <c r="S100" s="699" t="str">
        <f aca="false">IF(B100="","",($G$13))</f>
        <v/>
      </c>
      <c r="T100" s="700" t="str">
        <f aca="false">IF(B100="","",+$F$14/SQRT(12))</f>
        <v/>
      </c>
      <c r="U100" s="684" t="str">
        <f aca="false">IF(B100="","",(($M$17)/2)*1000)</f>
        <v/>
      </c>
      <c r="V100" s="685" t="str">
        <f aca="false">+IF(B100="","",+$G$15)</f>
        <v/>
      </c>
      <c r="W100" s="685" t="str">
        <f aca="false">+IF(B100="","",+$G$16)</f>
        <v/>
      </c>
      <c r="X100" s="685" t="str">
        <f aca="false">+IF(B100="","",+$G$17)</f>
        <v/>
      </c>
      <c r="Y100" s="686" t="str">
        <f aca="false">+IF(B100="","",K100*$G$9)</f>
        <v/>
      </c>
      <c r="Z100" s="686" t="str">
        <f aca="false">+IF(B100="","",K100*$G$12)</f>
        <v/>
      </c>
      <c r="AA100" s="686" t="str">
        <f aca="false">+IF(B100="","",K100*$G$13)</f>
        <v/>
      </c>
      <c r="AB100" s="686" t="str">
        <f aca="false">+IF(B100="","",K100*T100)</f>
        <v/>
      </c>
      <c r="AC100" s="687" t="str">
        <f aca="false">IF(B100="","",('SENSIBILIDAD 2'!B77^2)*(G100^2))</f>
        <v/>
      </c>
      <c r="AD100" s="688" t="str">
        <f aca="false">IF(B100="","",('SENSIBILIDAD 2'!C77^2)*(K100^2))</f>
        <v/>
      </c>
      <c r="AE100" s="688" t="str">
        <f aca="false">IF(B100="","",'SENSIBILIDAD 2'!D77^2*(R100^2))</f>
        <v/>
      </c>
      <c r="AF100" s="688" t="str">
        <f aca="false">IF(B100="","",'SENSIBILIDAD 2'!E77^2*(S100^2))</f>
        <v/>
      </c>
      <c r="AG100" s="688" t="str">
        <f aca="false">IF(B100="","",'SENSIBILIDAD 2'!F77^2*(T100^2))</f>
        <v/>
      </c>
      <c r="AH100" s="688" t="str">
        <f aca="false">IF(B100="","",(('SENSIBILIDAD 2'!G77)^2)*(Q100^2))</f>
        <v/>
      </c>
      <c r="AI100" s="688" t="str">
        <f aca="false">IF(B100="","",'SENSIBILIDAD 2'!H77^2*(U100^2))</f>
        <v/>
      </c>
      <c r="AJ100" s="688" t="str">
        <f aca="false">IF(B100="","",'SENSIBILIDAD 2'!M77^2*(V100^2))</f>
        <v/>
      </c>
      <c r="AK100" s="688" t="str">
        <f aca="false">IF(B100="","",'SENSIBILIDAD 2'!N77^2*(W100^2))</f>
        <v/>
      </c>
      <c r="AL100" s="688" t="str">
        <f aca="false">IF(B100="","",'SENSIBILIDAD 2'!O77^2*(X100^2))</f>
        <v/>
      </c>
      <c r="AM100" s="688" t="str">
        <f aca="false">IF($B100="","",(Y100^2)*('SENSIBILIDAD 2'!K77^2))</f>
        <v/>
      </c>
      <c r="AN100" s="688" t="str">
        <f aca="false">IF($B100="","",(Z100^2)*('SENSIBILIDAD 2'!I77^2))</f>
        <v/>
      </c>
      <c r="AO100" s="688" t="str">
        <f aca="false">IF($B100="","",(AA100^2)*('SENSIBILIDAD 2'!J77^2))</f>
        <v/>
      </c>
      <c r="AP100" s="688" t="str">
        <f aca="false">IF($B100="","",(AB100^2)*('SENSIBILIDAD 2'!L77^2))</f>
        <v/>
      </c>
      <c r="AQ100" s="689" t="str">
        <f aca="false">IF(B100="","",SQRT(AC100+AD100+AE100+AF100+AG100+AH100+AI100+AJ100+AK100+AL100+AM100+AN100+AO100+AP100))</f>
        <v/>
      </c>
      <c r="AR100" s="701" t="str">
        <f aca="false">IF(B100="","",2*AQ100)</f>
        <v/>
      </c>
      <c r="AS100" s="706" t="str">
        <f aca="false">IF(B100="","",+AR100/1000)</f>
        <v/>
      </c>
      <c r="AT100" s="692" t="str">
        <f aca="false">IF('conversion datos'!$L$30='Patrones LACOMET'!$D$3,(IF(N100="","",AS100*39.37008)),IF('conversion datos'!$L$30='Patrones LACOMET'!$D$4,AS100,"No existe el patrón"))</f>
        <v/>
      </c>
      <c r="BI100" s="564"/>
      <c r="BJ100" s="564"/>
      <c r="BK100" s="564"/>
      <c r="BL100" s="564"/>
      <c r="BM100" s="655"/>
      <c r="BN100" s="655"/>
    </row>
    <row r="101" customFormat="false" ht="19.5" hidden="false" customHeight="true" outlineLevel="0" collapsed="false">
      <c r="A101" s="81" t="n">
        <f aca="false">+CALIBRACION!A84</f>
        <v>73</v>
      </c>
      <c r="B101" s="672" t="str">
        <f aca="false">IF(CALIBRACION!H84="","",CALIBRACION!H84)</f>
        <v/>
      </c>
      <c r="C101" s="693" t="str">
        <f aca="false">IF(B101="","",+($F$20)/SQRT((5)))</f>
        <v/>
      </c>
      <c r="D101" s="693" t="str">
        <f aca="false">IF(B101="","",$F$21/SQRT((3)))</f>
        <v/>
      </c>
      <c r="E101" s="693" t="str">
        <f aca="false">IF(B101="","",$F$22/(SQRT(12)))</f>
        <v/>
      </c>
      <c r="F101" s="693" t="str">
        <f aca="false">IF(B101="","",$F$23/(SQRT(3)))</f>
        <v/>
      </c>
      <c r="G101" s="694" t="str">
        <f aca="false">IF(B101="","",(SQRT((+C101^2+D101^2+E101^2+F101^2))/(10^-3)))</f>
        <v/>
      </c>
      <c r="H101" s="675" t="str">
        <f aca="false">IF(B101="","",(IF('conversion datos'!$L$30='Patrones LACOMET'!$D$3,(VLOOKUP(B101,'BLOQUES PATRON (pulg) '!$K$5:$Q$86,6,FALSE())*1000),IF('conversion datos'!$L$30='Patrones LACOMET'!$D$4,(VLOOKUP(B101,'BLOQUES PATRON (mm)'!$D$5:$H$126,5,FALSE())),"No existe el patrón"))))</f>
        <v/>
      </c>
      <c r="I101" s="676" t="str">
        <f aca="false">IF(B101="","",0.42^2)</f>
        <v/>
      </c>
      <c r="J101" s="676" t="str">
        <f aca="false">IF(B101="","",IF('conversion datos'!$L$30='Patrones LACOMET'!$D$3,LOOKUP(B101,'BLOQUES PATRON (pulg) '!$S$5:$S$86,'BLOQUES PATRON (pulg) '!$Z$5:$Z$86),IF('conversion datos'!$L$30='Patrones LACOMET'!$D$4,LOOKUP(B101,'BLOQUES PATRON (mm)'!$O$5:$O$126,'BLOQUES PATRON (mm)'!$U$5:$U$126),"No existe el patrón")))</f>
        <v/>
      </c>
      <c r="K101" s="677" t="str">
        <f aca="false">IF(B101="","",SQRT((H101^2)+(J101^2)+(I101^2)))</f>
        <v/>
      </c>
      <c r="L101" s="695" t="str">
        <f aca="false">IF(B101="","",$G$4)</f>
        <v/>
      </c>
      <c r="M101" s="695" t="str">
        <f aca="false">IF(B101="","",($G$5))</f>
        <v/>
      </c>
      <c r="N101" s="695" t="str">
        <f aca="false">IF(B101="","",($G$6))</f>
        <v/>
      </c>
      <c r="O101" s="696" t="str">
        <f aca="false">IF(B101="","",(($G$7)))</f>
        <v/>
      </c>
      <c r="P101" s="697" t="str">
        <f aca="false">IF(B101="","",$G$8)</f>
        <v/>
      </c>
      <c r="Q101" s="698" t="str">
        <f aca="false">IF(B101="","",SQRT((L101^2)*(M101^2)+(N101^2)+(O101^2)+(P101^2)))</f>
        <v/>
      </c>
      <c r="R101" s="699" t="str">
        <f aca="false">IF(B101="","",($G$12))</f>
        <v/>
      </c>
      <c r="S101" s="699" t="str">
        <f aca="false">IF(B101="","",($G$13))</f>
        <v/>
      </c>
      <c r="T101" s="700" t="str">
        <f aca="false">IF(B101="","",+$F$14/SQRT(12))</f>
        <v/>
      </c>
      <c r="U101" s="684" t="str">
        <f aca="false">IF(B101="","",(($M$17)/2)*1000)</f>
        <v/>
      </c>
      <c r="V101" s="685" t="str">
        <f aca="false">+IF(B101="","",+$G$15)</f>
        <v/>
      </c>
      <c r="W101" s="685" t="str">
        <f aca="false">+IF(B101="","",+$G$16)</f>
        <v/>
      </c>
      <c r="X101" s="685" t="str">
        <f aca="false">+IF(B101="","",+$G$17)</f>
        <v/>
      </c>
      <c r="Y101" s="686" t="str">
        <f aca="false">+IF(B101="","",K101*$G$9)</f>
        <v/>
      </c>
      <c r="Z101" s="686" t="str">
        <f aca="false">+IF(B101="","",K101*$G$12)</f>
        <v/>
      </c>
      <c r="AA101" s="686" t="str">
        <f aca="false">+IF(B101="","",K101*$G$13)</f>
        <v/>
      </c>
      <c r="AB101" s="686" t="str">
        <f aca="false">+IF(B101="","",K101*T101)</f>
        <v/>
      </c>
      <c r="AC101" s="687" t="str">
        <f aca="false">IF(B101="","",('SENSIBILIDAD 2'!B78^2)*(G101^2))</f>
        <v/>
      </c>
      <c r="AD101" s="688" t="str">
        <f aca="false">IF(B101="","",('SENSIBILIDAD 2'!C78^2)*(K101^2))</f>
        <v/>
      </c>
      <c r="AE101" s="688" t="str">
        <f aca="false">IF(B101="","",'SENSIBILIDAD 2'!D78^2*(R101^2))</f>
        <v/>
      </c>
      <c r="AF101" s="688" t="str">
        <f aca="false">IF(B101="","",'SENSIBILIDAD 2'!E78^2*(S101^2))</f>
        <v/>
      </c>
      <c r="AG101" s="688" t="str">
        <f aca="false">IF(B101="","",'SENSIBILIDAD 2'!F78^2*(T101^2))</f>
        <v/>
      </c>
      <c r="AH101" s="688" t="str">
        <f aca="false">IF(B101="","",(('SENSIBILIDAD 2'!G78)^2)*(Q101^2))</f>
        <v/>
      </c>
      <c r="AI101" s="688" t="str">
        <f aca="false">IF(B101="","",'SENSIBILIDAD 2'!H78^2*(U101^2))</f>
        <v/>
      </c>
      <c r="AJ101" s="688" t="str">
        <f aca="false">IF(B101="","",'SENSIBILIDAD 2'!M78^2*(V101^2))</f>
        <v/>
      </c>
      <c r="AK101" s="688" t="str">
        <f aca="false">IF(B101="","",'SENSIBILIDAD 2'!N78^2*(W101^2))</f>
        <v/>
      </c>
      <c r="AL101" s="688" t="str">
        <f aca="false">IF(B101="","",'SENSIBILIDAD 2'!O78^2*(X101^2))</f>
        <v/>
      </c>
      <c r="AM101" s="688" t="str">
        <f aca="false">IF($B101="","",(Y101^2)*('SENSIBILIDAD 2'!K78^2))</f>
        <v/>
      </c>
      <c r="AN101" s="688" t="str">
        <f aca="false">IF($B101="","",(Z101^2)*('SENSIBILIDAD 2'!I78^2))</f>
        <v/>
      </c>
      <c r="AO101" s="688" t="str">
        <f aca="false">IF($B101="","",(AA101^2)*('SENSIBILIDAD 2'!J78^2))</f>
        <v/>
      </c>
      <c r="AP101" s="688" t="str">
        <f aca="false">IF($B101="","",(AB101^2)*('SENSIBILIDAD 2'!L78^2))</f>
        <v/>
      </c>
      <c r="AQ101" s="689" t="str">
        <f aca="false">IF(B101="","",SQRT(AC101+AD101+AE101+AF101+AG101+AH101+AI101+AJ101+AK101+AL101+AM101+AN101+AO101+AP101))</f>
        <v/>
      </c>
      <c r="AR101" s="701" t="str">
        <f aca="false">IF(B101="","",2*AQ101)</f>
        <v/>
      </c>
      <c r="AS101" s="706" t="str">
        <f aca="false">IF(B101="","",+AR101/1000)</f>
        <v/>
      </c>
      <c r="AT101" s="692" t="str">
        <f aca="false">IF('conversion datos'!$L$30='Patrones LACOMET'!$D$3,(IF(N101="","",AS101*39.37008)),IF('conversion datos'!$L$30='Patrones LACOMET'!$D$4,AS101,"No existe el patrón"))</f>
        <v/>
      </c>
      <c r="BI101" s="564"/>
      <c r="BJ101" s="564"/>
      <c r="BK101" s="564"/>
      <c r="BL101" s="564"/>
      <c r="BM101" s="655"/>
      <c r="BN101" s="655"/>
    </row>
    <row r="102" customFormat="false" ht="19.5" hidden="false" customHeight="true" outlineLevel="0" collapsed="false">
      <c r="A102" s="81" t="n">
        <f aca="false">+CALIBRACION!A85</f>
        <v>74</v>
      </c>
      <c r="B102" s="672" t="str">
        <f aca="false">IF(CALIBRACION!H85="","",CALIBRACION!H85)</f>
        <v/>
      </c>
      <c r="C102" s="693" t="str">
        <f aca="false">IF(B102="","",+($F$20)/SQRT((5)))</f>
        <v/>
      </c>
      <c r="D102" s="693" t="str">
        <f aca="false">IF(B102="","",$F$21/SQRT((3)))</f>
        <v/>
      </c>
      <c r="E102" s="693" t="str">
        <f aca="false">IF(B102="","",$F$22/(SQRT(12)))</f>
        <v/>
      </c>
      <c r="F102" s="693" t="str">
        <f aca="false">IF(B102="","",$F$23/(SQRT(3)))</f>
        <v/>
      </c>
      <c r="G102" s="694" t="str">
        <f aca="false">IF(B102="","",(SQRT((+C102^2+D102^2+E102^2+F102^2))/(10^-3)))</f>
        <v/>
      </c>
      <c r="H102" s="675" t="str">
        <f aca="false">IF(B102="","",(IF('conversion datos'!$L$30='Patrones LACOMET'!$D$3,(VLOOKUP(B102,'BLOQUES PATRON (pulg) '!$K$5:$Q$86,6,FALSE())*1000),IF('conversion datos'!$L$30='Patrones LACOMET'!$D$4,(VLOOKUP(B102,'BLOQUES PATRON (mm)'!$D$5:$H$126,5,FALSE())),"No existe el patrón"))))</f>
        <v/>
      </c>
      <c r="I102" s="676" t="str">
        <f aca="false">IF(B102="","",0.42^2)</f>
        <v/>
      </c>
      <c r="J102" s="676" t="str">
        <f aca="false">IF(B102="","",IF('conversion datos'!$L$30='Patrones LACOMET'!$D$3,LOOKUP(B102,'BLOQUES PATRON (pulg) '!$S$5:$S$86,'BLOQUES PATRON (pulg) '!$Z$5:$Z$86),IF('conversion datos'!$L$30='Patrones LACOMET'!$D$4,LOOKUP(B102,'BLOQUES PATRON (mm)'!$O$5:$O$126,'BLOQUES PATRON (mm)'!$U$5:$U$126),"No existe el patrón")))</f>
        <v/>
      </c>
      <c r="K102" s="677" t="str">
        <f aca="false">IF(B102="","",SQRT((H102^2)+(J102^2)+(I102^2)))</f>
        <v/>
      </c>
      <c r="L102" s="695" t="str">
        <f aca="false">IF(B102="","",$G$4)</f>
        <v/>
      </c>
      <c r="M102" s="695" t="str">
        <f aca="false">IF(B102="","",($G$5))</f>
        <v/>
      </c>
      <c r="N102" s="695" t="str">
        <f aca="false">IF(B102="","",($G$6))</f>
        <v/>
      </c>
      <c r="O102" s="696" t="str">
        <f aca="false">IF(B102="","",(($G$7)))</f>
        <v/>
      </c>
      <c r="P102" s="697" t="str">
        <f aca="false">IF(B102="","",$G$8)</f>
        <v/>
      </c>
      <c r="Q102" s="698" t="str">
        <f aca="false">IF(B102="","",SQRT((L102^2)*(M102^2)+(N102^2)+(O102^2)+(P102^2)))</f>
        <v/>
      </c>
      <c r="R102" s="699" t="str">
        <f aca="false">IF(B102="","",($G$12))</f>
        <v/>
      </c>
      <c r="S102" s="699" t="str">
        <f aca="false">IF(B102="","",($G$13))</f>
        <v/>
      </c>
      <c r="T102" s="700" t="str">
        <f aca="false">IF(B102="","",+$F$14/SQRT(12))</f>
        <v/>
      </c>
      <c r="U102" s="684" t="str">
        <f aca="false">IF(B102="","",(($M$17)/2)*1000)</f>
        <v/>
      </c>
      <c r="V102" s="685" t="str">
        <f aca="false">+IF(B102="","",+$G$15)</f>
        <v/>
      </c>
      <c r="W102" s="685" t="str">
        <f aca="false">+IF(B102="","",+$G$16)</f>
        <v/>
      </c>
      <c r="X102" s="685" t="str">
        <f aca="false">+IF(B102="","",+$G$17)</f>
        <v/>
      </c>
      <c r="Y102" s="686" t="str">
        <f aca="false">+IF(B102="","",K102*$G$9)</f>
        <v/>
      </c>
      <c r="Z102" s="686" t="str">
        <f aca="false">+IF(B102="","",K102*$G$12)</f>
        <v/>
      </c>
      <c r="AA102" s="686" t="str">
        <f aca="false">+IF(B102="","",K102*$G$13)</f>
        <v/>
      </c>
      <c r="AB102" s="686" t="str">
        <f aca="false">+IF(B102="","",K102*T102)</f>
        <v/>
      </c>
      <c r="AC102" s="687" t="str">
        <f aca="false">IF(B102="","",('SENSIBILIDAD 2'!B79^2)*(G102^2))</f>
        <v/>
      </c>
      <c r="AD102" s="688" t="str">
        <f aca="false">IF(B102="","",('SENSIBILIDAD 2'!C79^2)*(K102^2))</f>
        <v/>
      </c>
      <c r="AE102" s="688" t="str">
        <f aca="false">IF(B102="","",'SENSIBILIDAD 2'!D79^2*(R102^2))</f>
        <v/>
      </c>
      <c r="AF102" s="688" t="str">
        <f aca="false">IF(B102="","",'SENSIBILIDAD 2'!E79^2*(S102^2))</f>
        <v/>
      </c>
      <c r="AG102" s="688" t="str">
        <f aca="false">IF(B102="","",'SENSIBILIDAD 2'!F79^2*(T102^2))</f>
        <v/>
      </c>
      <c r="AH102" s="688" t="str">
        <f aca="false">IF(B102="","",(('SENSIBILIDAD 2'!G79)^2)*(Q102^2))</f>
        <v/>
      </c>
      <c r="AI102" s="688" t="str">
        <f aca="false">IF(B102="","",'SENSIBILIDAD 2'!H79^2*(U102^2))</f>
        <v/>
      </c>
      <c r="AJ102" s="688" t="str">
        <f aca="false">IF(B102="","",'SENSIBILIDAD 2'!M79^2*(V102^2))</f>
        <v/>
      </c>
      <c r="AK102" s="688" t="str">
        <f aca="false">IF(B102="","",'SENSIBILIDAD 2'!N79^2*(W102^2))</f>
        <v/>
      </c>
      <c r="AL102" s="688" t="str">
        <f aca="false">IF(B102="","",'SENSIBILIDAD 2'!O79^2*(X102^2))</f>
        <v/>
      </c>
      <c r="AM102" s="688" t="str">
        <f aca="false">IF($B102="","",(Y102^2)*('SENSIBILIDAD 2'!K79^2))</f>
        <v/>
      </c>
      <c r="AN102" s="688" t="str">
        <f aca="false">IF($B102="","",(Z102^2)*('SENSIBILIDAD 2'!I79^2))</f>
        <v/>
      </c>
      <c r="AO102" s="688" t="str">
        <f aca="false">IF($B102="","",(AA102^2)*('SENSIBILIDAD 2'!J79^2))</f>
        <v/>
      </c>
      <c r="AP102" s="688" t="str">
        <f aca="false">IF($B102="","",(AB102^2)*('SENSIBILIDAD 2'!L79^2))</f>
        <v/>
      </c>
      <c r="AQ102" s="689" t="str">
        <f aca="false">IF(B102="","",SQRT(AC102+AD102+AE102+AF102+AG102+AH102+AI102+AJ102+AK102+AL102+AM102+AN102+AO102+AP102))</f>
        <v/>
      </c>
      <c r="AR102" s="701" t="str">
        <f aca="false">IF(B102="","",2*AQ102)</f>
        <v/>
      </c>
      <c r="AS102" s="706" t="str">
        <f aca="false">IF(B102="","",+AR102/1000)</f>
        <v/>
      </c>
      <c r="AT102" s="692" t="str">
        <f aca="false">IF('conversion datos'!$L$30='Patrones LACOMET'!$D$3,(IF(N102="","",AS102*39.37008)),IF('conversion datos'!$L$30='Patrones LACOMET'!$D$4,AS102,"No existe el patrón"))</f>
        <v/>
      </c>
      <c r="BI102" s="564"/>
      <c r="BJ102" s="564"/>
      <c r="BK102" s="564"/>
      <c r="BL102" s="564"/>
      <c r="BM102" s="655"/>
      <c r="BN102" s="655"/>
    </row>
    <row r="103" customFormat="false" ht="19.5" hidden="false" customHeight="true" outlineLevel="0" collapsed="false">
      <c r="A103" s="81" t="n">
        <f aca="false">+CALIBRACION!A86</f>
        <v>75</v>
      </c>
      <c r="B103" s="672" t="str">
        <f aca="false">IF(CALIBRACION!H86="","",CALIBRACION!H86)</f>
        <v/>
      </c>
      <c r="C103" s="693" t="str">
        <f aca="false">IF(B103="","",+($F$20)/SQRT((5)))</f>
        <v/>
      </c>
      <c r="D103" s="693" t="str">
        <f aca="false">IF(B103="","",$F$21/SQRT((3)))</f>
        <v/>
      </c>
      <c r="E103" s="693" t="str">
        <f aca="false">IF(B103="","",$F$22/(SQRT(12)))</f>
        <v/>
      </c>
      <c r="F103" s="693" t="str">
        <f aca="false">IF(B103="","",$F$23/(SQRT(3)))</f>
        <v/>
      </c>
      <c r="G103" s="694" t="str">
        <f aca="false">IF(B103="","",(SQRT((+C103^2+D103^2+E103^2+F103^2))/(10^-3)))</f>
        <v/>
      </c>
      <c r="H103" s="675" t="str">
        <f aca="false">IF(B103="","",(IF('conversion datos'!$L$30='Patrones LACOMET'!$D$3,(VLOOKUP(B103,'BLOQUES PATRON (pulg) '!$K$5:$Q$86,6,FALSE())*1000),IF('conversion datos'!$L$30='Patrones LACOMET'!$D$4,(VLOOKUP(B103,'BLOQUES PATRON (mm)'!$D$5:$H$126,5,FALSE())),"No existe el patrón"))))</f>
        <v/>
      </c>
      <c r="I103" s="676" t="str">
        <f aca="false">IF(B103="","",0.42^2)</f>
        <v/>
      </c>
      <c r="J103" s="676" t="str">
        <f aca="false">IF(B103="","",IF('conversion datos'!$L$30='Patrones LACOMET'!$D$3,LOOKUP(B103,'BLOQUES PATRON (pulg) '!$S$5:$S$86,'BLOQUES PATRON (pulg) '!$Z$5:$Z$86),IF('conversion datos'!$L$30='Patrones LACOMET'!$D$4,LOOKUP(B103,'BLOQUES PATRON (mm)'!$O$5:$O$126,'BLOQUES PATRON (mm)'!$U$5:$U$126),"No existe el patrón")))</f>
        <v/>
      </c>
      <c r="K103" s="677" t="str">
        <f aca="false">IF(B103="","",SQRT((H103^2)+(J103^2)+(I103^2)))</f>
        <v/>
      </c>
      <c r="L103" s="695" t="str">
        <f aca="false">IF(B103="","",$G$4)</f>
        <v/>
      </c>
      <c r="M103" s="695" t="str">
        <f aca="false">IF(B103="","",($G$5))</f>
        <v/>
      </c>
      <c r="N103" s="695" t="str">
        <f aca="false">IF(B103="","",($G$6))</f>
        <v/>
      </c>
      <c r="O103" s="696" t="str">
        <f aca="false">IF(B103="","",(($G$7)))</f>
        <v/>
      </c>
      <c r="P103" s="697" t="str">
        <f aca="false">IF(B103="","",$G$8)</f>
        <v/>
      </c>
      <c r="Q103" s="698" t="str">
        <f aca="false">IF(B103="","",SQRT((L103^2)*(M103^2)+(N103^2)+(O103^2)+(P103^2)))</f>
        <v/>
      </c>
      <c r="R103" s="699" t="str">
        <f aca="false">IF(B103="","",($G$12))</f>
        <v/>
      </c>
      <c r="S103" s="699" t="str">
        <f aca="false">IF(B103="","",($G$13))</f>
        <v/>
      </c>
      <c r="T103" s="700" t="str">
        <f aca="false">IF(B103="","",+$F$14/SQRT(12))</f>
        <v/>
      </c>
      <c r="U103" s="684" t="str">
        <f aca="false">IF(B103="","",(($M$17)/2)*1000)</f>
        <v/>
      </c>
      <c r="V103" s="685" t="str">
        <f aca="false">+IF(B103="","",+$G$15)</f>
        <v/>
      </c>
      <c r="W103" s="685" t="str">
        <f aca="false">+IF(B103="","",+$G$16)</f>
        <v/>
      </c>
      <c r="X103" s="685" t="str">
        <f aca="false">+IF(B103="","",+$G$17)</f>
        <v/>
      </c>
      <c r="Y103" s="686" t="str">
        <f aca="false">+IF(B103="","",K103*$G$9)</f>
        <v/>
      </c>
      <c r="Z103" s="686" t="str">
        <f aca="false">+IF(B103="","",K103*$G$12)</f>
        <v/>
      </c>
      <c r="AA103" s="686" t="str">
        <f aca="false">+IF(B103="","",K103*$G$13)</f>
        <v/>
      </c>
      <c r="AB103" s="686" t="str">
        <f aca="false">+IF(B103="","",K103*T103)</f>
        <v/>
      </c>
      <c r="AC103" s="687" t="str">
        <f aca="false">IF(B103="","",('SENSIBILIDAD 2'!B80^2)*(G103^2))</f>
        <v/>
      </c>
      <c r="AD103" s="688" t="str">
        <f aca="false">IF(B103="","",('SENSIBILIDAD 2'!C80^2)*(K103^2))</f>
        <v/>
      </c>
      <c r="AE103" s="688" t="str">
        <f aca="false">IF(B103="","",'SENSIBILIDAD 2'!D80^2*(R103^2))</f>
        <v/>
      </c>
      <c r="AF103" s="688" t="str">
        <f aca="false">IF(B103="","",'SENSIBILIDAD 2'!E80^2*(S103^2))</f>
        <v/>
      </c>
      <c r="AG103" s="688" t="str">
        <f aca="false">IF(B103="","",'SENSIBILIDAD 2'!F80^2*(T103^2))</f>
        <v/>
      </c>
      <c r="AH103" s="688" t="str">
        <f aca="false">IF(B103="","",(('SENSIBILIDAD 2'!G80)^2)*(Q103^2))</f>
        <v/>
      </c>
      <c r="AI103" s="688" t="str">
        <f aca="false">IF(B103="","",'SENSIBILIDAD 2'!H80^2*(U103^2))</f>
        <v/>
      </c>
      <c r="AJ103" s="688" t="str">
        <f aca="false">IF(B103="","",'SENSIBILIDAD 2'!M80^2*(V103^2))</f>
        <v/>
      </c>
      <c r="AK103" s="688" t="str">
        <f aca="false">IF(B103="","",'SENSIBILIDAD 2'!N80^2*(W103^2))</f>
        <v/>
      </c>
      <c r="AL103" s="688" t="str">
        <f aca="false">IF(B103="","",'SENSIBILIDAD 2'!O80^2*(X103^2))</f>
        <v/>
      </c>
      <c r="AM103" s="688" t="str">
        <f aca="false">IF($B103="","",(Y103^2)*('SENSIBILIDAD 2'!K80^2))</f>
        <v/>
      </c>
      <c r="AN103" s="688" t="str">
        <f aca="false">IF($B103="","",(Z103^2)*('SENSIBILIDAD 2'!I80^2))</f>
        <v/>
      </c>
      <c r="AO103" s="688" t="str">
        <f aca="false">IF($B103="","",(AA103^2)*('SENSIBILIDAD 2'!J80^2))</f>
        <v/>
      </c>
      <c r="AP103" s="688" t="str">
        <f aca="false">IF($B103="","",(AB103^2)*('SENSIBILIDAD 2'!L80^2))</f>
        <v/>
      </c>
      <c r="AQ103" s="689" t="str">
        <f aca="false">IF(B103="","",SQRT(AC103+AD103+AE103+AF103+AG103+AH103+AI103+AJ103+AK103+AL103+AM103+AN103+AO103+AP103))</f>
        <v/>
      </c>
      <c r="AR103" s="701" t="str">
        <f aca="false">IF(B103="","",2*AQ103)</f>
        <v/>
      </c>
      <c r="AS103" s="706" t="str">
        <f aca="false">IF(B103="","",+AR103/1000)</f>
        <v/>
      </c>
      <c r="AT103" s="692" t="str">
        <f aca="false">IF('conversion datos'!$L$30='Patrones LACOMET'!$D$3,(IF(N103="","",AS103*39.37008)),IF('conversion datos'!$L$30='Patrones LACOMET'!$D$4,AS103,"No existe el patrón"))</f>
        <v/>
      </c>
      <c r="BI103" s="564"/>
      <c r="BJ103" s="564"/>
      <c r="BK103" s="564"/>
      <c r="BL103" s="564"/>
      <c r="BM103" s="655"/>
      <c r="BN103" s="655"/>
    </row>
    <row r="104" customFormat="false" ht="19.5" hidden="false" customHeight="true" outlineLevel="0" collapsed="false">
      <c r="A104" s="81" t="n">
        <f aca="false">+CALIBRACION!A87</f>
        <v>76</v>
      </c>
      <c r="B104" s="672" t="str">
        <f aca="false">IF(CALIBRACION!H87="","",CALIBRACION!H87)</f>
        <v/>
      </c>
      <c r="C104" s="693" t="str">
        <f aca="false">IF(B104="","",+($F$20)/SQRT((5)))</f>
        <v/>
      </c>
      <c r="D104" s="693" t="str">
        <f aca="false">IF(B104="","",$F$21/SQRT((3)))</f>
        <v/>
      </c>
      <c r="E104" s="693" t="str">
        <f aca="false">IF(B104="","",$F$22/(SQRT(12)))</f>
        <v/>
      </c>
      <c r="F104" s="693" t="str">
        <f aca="false">IF(B104="","",$F$23/(SQRT(3)))</f>
        <v/>
      </c>
      <c r="G104" s="694" t="str">
        <f aca="false">IF(B104="","",(SQRT((+C104^2+D104^2+E104^2+F104^2))/(10^-3)))</f>
        <v/>
      </c>
      <c r="H104" s="675" t="str">
        <f aca="false">IF(B104="","",(IF('conversion datos'!$L$30='Patrones LACOMET'!$D$3,(VLOOKUP(B104,'BLOQUES PATRON (pulg) '!$K$5:$Q$86,6,FALSE())*1000),IF('conversion datos'!$L$30='Patrones LACOMET'!$D$4,(VLOOKUP(B104,'BLOQUES PATRON (mm)'!$D$5:$H$126,5,FALSE())),"No existe el patrón"))))</f>
        <v/>
      </c>
      <c r="I104" s="676" t="str">
        <f aca="false">IF(B104="","",0.42^2)</f>
        <v/>
      </c>
      <c r="J104" s="676" t="str">
        <f aca="false">IF(B104="","",IF('conversion datos'!$L$30='Patrones LACOMET'!$D$3,LOOKUP(B104,'BLOQUES PATRON (pulg) '!$S$5:$S$86,'BLOQUES PATRON (pulg) '!$Z$5:$Z$86),IF('conversion datos'!$L$30='Patrones LACOMET'!$D$4,LOOKUP(B104,'BLOQUES PATRON (mm)'!$O$5:$O$126,'BLOQUES PATRON (mm)'!$U$5:$U$126),"No existe el patrón")))</f>
        <v/>
      </c>
      <c r="K104" s="677" t="str">
        <f aca="false">IF(B104="","",SQRT((H104^2)+(J104^2)+(I104^2)))</f>
        <v/>
      </c>
      <c r="L104" s="695" t="str">
        <f aca="false">IF(B104="","",$G$4)</f>
        <v/>
      </c>
      <c r="M104" s="695" t="str">
        <f aca="false">IF(B104="","",($G$5))</f>
        <v/>
      </c>
      <c r="N104" s="695" t="str">
        <f aca="false">IF(B104="","",($G$6))</f>
        <v/>
      </c>
      <c r="O104" s="696" t="str">
        <f aca="false">IF(B104="","",(($G$7)))</f>
        <v/>
      </c>
      <c r="P104" s="697" t="str">
        <f aca="false">IF(B104="","",$G$8)</f>
        <v/>
      </c>
      <c r="Q104" s="698" t="str">
        <f aca="false">IF(B104="","",SQRT((L104^2)*(M104^2)+(N104^2)+(O104^2)+(P104^2)))</f>
        <v/>
      </c>
      <c r="R104" s="699" t="str">
        <f aca="false">IF(B104="","",($G$12))</f>
        <v/>
      </c>
      <c r="S104" s="699" t="str">
        <f aca="false">IF(B104="","",($G$13))</f>
        <v/>
      </c>
      <c r="T104" s="700" t="str">
        <f aca="false">IF(B104="","",+$F$14/SQRT(12))</f>
        <v/>
      </c>
      <c r="U104" s="684" t="str">
        <f aca="false">IF(B104="","",(($M$17)/2)*1000)</f>
        <v/>
      </c>
      <c r="V104" s="685" t="str">
        <f aca="false">+IF(B104="","",+$G$15)</f>
        <v/>
      </c>
      <c r="W104" s="685" t="str">
        <f aca="false">+IF(B104="","",+$G$16)</f>
        <v/>
      </c>
      <c r="X104" s="685" t="str">
        <f aca="false">+IF(B104="","",+$G$17)</f>
        <v/>
      </c>
      <c r="Y104" s="686" t="str">
        <f aca="false">+IF(B104="","",K104*$G$9)</f>
        <v/>
      </c>
      <c r="Z104" s="686" t="str">
        <f aca="false">+IF(B104="","",K104*$G$12)</f>
        <v/>
      </c>
      <c r="AA104" s="686" t="str">
        <f aca="false">+IF(B104="","",K104*$G$13)</f>
        <v/>
      </c>
      <c r="AB104" s="686" t="str">
        <f aca="false">+IF(B104="","",K104*T104)</f>
        <v/>
      </c>
      <c r="AC104" s="687" t="str">
        <f aca="false">IF(B104="","",('SENSIBILIDAD 2'!B81^2)*(G104^2))</f>
        <v/>
      </c>
      <c r="AD104" s="688" t="str">
        <f aca="false">IF(B104="","",('SENSIBILIDAD 2'!C81^2)*(K104^2))</f>
        <v/>
      </c>
      <c r="AE104" s="688" t="str">
        <f aca="false">IF(B104="","",'SENSIBILIDAD 2'!D81^2*(R104^2))</f>
        <v/>
      </c>
      <c r="AF104" s="688" t="str">
        <f aca="false">IF(B104="","",'SENSIBILIDAD 2'!E81^2*(S104^2))</f>
        <v/>
      </c>
      <c r="AG104" s="688" t="str">
        <f aca="false">IF(B104="","",'SENSIBILIDAD 2'!F81^2*(T104^2))</f>
        <v/>
      </c>
      <c r="AH104" s="688" t="str">
        <f aca="false">IF(B104="","",(('SENSIBILIDAD 2'!G81)^2)*(Q104^2))</f>
        <v/>
      </c>
      <c r="AI104" s="688" t="str">
        <f aca="false">IF(B104="","",'SENSIBILIDAD 2'!H81^2*(U104^2))</f>
        <v/>
      </c>
      <c r="AJ104" s="688" t="str">
        <f aca="false">IF(B104="","",'SENSIBILIDAD 2'!M81^2*(V104^2))</f>
        <v/>
      </c>
      <c r="AK104" s="688" t="str">
        <f aca="false">IF(B104="","",'SENSIBILIDAD 2'!N81^2*(W104^2))</f>
        <v/>
      </c>
      <c r="AL104" s="688" t="str">
        <f aca="false">IF(B104="","",'SENSIBILIDAD 2'!O81^2*(X104^2))</f>
        <v/>
      </c>
      <c r="AM104" s="688" t="str">
        <f aca="false">IF($B104="","",(Y104^2)*('SENSIBILIDAD 2'!K81^2))</f>
        <v/>
      </c>
      <c r="AN104" s="688" t="str">
        <f aca="false">IF($B104="","",(Z104^2)*('SENSIBILIDAD 2'!I81^2))</f>
        <v/>
      </c>
      <c r="AO104" s="688" t="str">
        <f aca="false">IF($B104="","",(AA104^2)*('SENSIBILIDAD 2'!J81^2))</f>
        <v/>
      </c>
      <c r="AP104" s="688" t="str">
        <f aca="false">IF($B104="","",(AB104^2)*('SENSIBILIDAD 2'!L81^2))</f>
        <v/>
      </c>
      <c r="AQ104" s="689" t="str">
        <f aca="false">IF(B104="","",SQRT(AC104+AD104+AE104+AF104+AG104+AH104+AI104+AJ104+AK104+AL104+AM104+AN104+AO104+AP104))</f>
        <v/>
      </c>
      <c r="AR104" s="701" t="str">
        <f aca="false">IF(B104="","",2*AQ104)</f>
        <v/>
      </c>
      <c r="AS104" s="706" t="str">
        <f aca="false">IF(B104="","",+AR104/1000)</f>
        <v/>
      </c>
      <c r="AT104" s="692" t="str">
        <f aca="false">IF('conversion datos'!$L$30='Patrones LACOMET'!$D$3,(IF(N104="","",AS104*39.37008)),IF('conversion datos'!$L$30='Patrones LACOMET'!$D$4,AS104,"No existe el patrón"))</f>
        <v/>
      </c>
      <c r="BI104" s="564"/>
      <c r="BJ104" s="564"/>
      <c r="BK104" s="564"/>
      <c r="BL104" s="564"/>
      <c r="BM104" s="655"/>
      <c r="BN104" s="655"/>
    </row>
    <row r="105" customFormat="false" ht="19.5" hidden="false" customHeight="true" outlineLevel="0" collapsed="false">
      <c r="A105" s="81" t="n">
        <f aca="false">+CALIBRACION!A88</f>
        <v>77</v>
      </c>
      <c r="B105" s="672" t="str">
        <f aca="false">IF(CALIBRACION!H88="","",CALIBRACION!H88)</f>
        <v/>
      </c>
      <c r="C105" s="693" t="str">
        <f aca="false">IF(B105="","",+($F$20)/SQRT((5)))</f>
        <v/>
      </c>
      <c r="D105" s="693" t="str">
        <f aca="false">IF(B105="","",$F$21/SQRT((3)))</f>
        <v/>
      </c>
      <c r="E105" s="693" t="str">
        <f aca="false">IF(B105="","",$F$22/(SQRT(12)))</f>
        <v/>
      </c>
      <c r="F105" s="693" t="str">
        <f aca="false">IF(B105="","",$F$23/(SQRT(3)))</f>
        <v/>
      </c>
      <c r="G105" s="694" t="str">
        <f aca="false">IF(B105="","",(SQRT((+C105^2+D105^2+E105^2+F105^2))/(10^-3)))</f>
        <v/>
      </c>
      <c r="H105" s="675" t="str">
        <f aca="false">IF(B105="","",(IF('conversion datos'!$L$30='Patrones LACOMET'!$D$3,(VLOOKUP(B105,'BLOQUES PATRON (pulg) '!$K$5:$Q$86,6,FALSE())*1000),IF('conversion datos'!$L$30='Patrones LACOMET'!$D$4,(VLOOKUP(B105,'BLOQUES PATRON (mm)'!$D$5:$H$126,5,FALSE())),"No existe el patrón"))))</f>
        <v/>
      </c>
      <c r="I105" s="676" t="str">
        <f aca="false">IF(B105="","",0.42^2)</f>
        <v/>
      </c>
      <c r="J105" s="676" t="str">
        <f aca="false">IF(B105="","",IF('conversion datos'!$L$30='Patrones LACOMET'!$D$3,LOOKUP(B105,'BLOQUES PATRON (pulg) '!$S$5:$S$86,'BLOQUES PATRON (pulg) '!$Z$5:$Z$86),IF('conversion datos'!$L$30='Patrones LACOMET'!$D$4,LOOKUP(B105,'BLOQUES PATRON (mm)'!$O$5:$O$126,'BLOQUES PATRON (mm)'!$U$5:$U$126),"No existe el patrón")))</f>
        <v/>
      </c>
      <c r="K105" s="677" t="str">
        <f aca="false">IF(B105="","",SQRT((H105^2)+(J105^2)+(I105^2)))</f>
        <v/>
      </c>
      <c r="L105" s="695" t="str">
        <f aca="false">IF(B105="","",$G$4)</f>
        <v/>
      </c>
      <c r="M105" s="695" t="str">
        <f aca="false">IF(B105="","",($G$5))</f>
        <v/>
      </c>
      <c r="N105" s="695" t="str">
        <f aca="false">IF(B105="","",($G$6))</f>
        <v/>
      </c>
      <c r="O105" s="696" t="str">
        <f aca="false">IF(B105="","",(($G$7)))</f>
        <v/>
      </c>
      <c r="P105" s="697" t="str">
        <f aca="false">IF(B105="","",$G$8)</f>
        <v/>
      </c>
      <c r="Q105" s="698" t="str">
        <f aca="false">IF(B105="","",SQRT((L105^2)*(M105^2)+(N105^2)+(O105^2)+(P105^2)))</f>
        <v/>
      </c>
      <c r="R105" s="699" t="str">
        <f aca="false">IF(B105="","",($G$12))</f>
        <v/>
      </c>
      <c r="S105" s="699" t="str">
        <f aca="false">IF(B105="","",($G$13))</f>
        <v/>
      </c>
      <c r="T105" s="700" t="str">
        <f aca="false">IF(B105="","",+$F$14/SQRT(12))</f>
        <v/>
      </c>
      <c r="U105" s="684" t="str">
        <f aca="false">IF(B105="","",(($M$17)/2)*1000)</f>
        <v/>
      </c>
      <c r="V105" s="685" t="str">
        <f aca="false">+IF(B105="","",+$G$15)</f>
        <v/>
      </c>
      <c r="W105" s="685" t="str">
        <f aca="false">+IF(B105="","",+$G$16)</f>
        <v/>
      </c>
      <c r="X105" s="685" t="str">
        <f aca="false">+IF(B105="","",+$G$17)</f>
        <v/>
      </c>
      <c r="Y105" s="686" t="str">
        <f aca="false">+IF(B105="","",K105*$G$9)</f>
        <v/>
      </c>
      <c r="Z105" s="686" t="str">
        <f aca="false">+IF(B105="","",K105*$G$12)</f>
        <v/>
      </c>
      <c r="AA105" s="686" t="str">
        <f aca="false">+IF(B105="","",K105*$G$13)</f>
        <v/>
      </c>
      <c r="AB105" s="686" t="str">
        <f aca="false">+IF(B105="","",K105*T105)</f>
        <v/>
      </c>
      <c r="AC105" s="687" t="str">
        <f aca="false">IF(B105="","",('SENSIBILIDAD 2'!B82^2)*(G105^2))</f>
        <v/>
      </c>
      <c r="AD105" s="688" t="str">
        <f aca="false">IF(B105="","",('SENSIBILIDAD 2'!C82^2)*(K105^2))</f>
        <v/>
      </c>
      <c r="AE105" s="688" t="str">
        <f aca="false">IF(B105="","",'SENSIBILIDAD 2'!D82^2*(R105^2))</f>
        <v/>
      </c>
      <c r="AF105" s="688" t="str">
        <f aca="false">IF(B105="","",'SENSIBILIDAD 2'!E82^2*(S105^2))</f>
        <v/>
      </c>
      <c r="AG105" s="688" t="str">
        <f aca="false">IF(B105="","",'SENSIBILIDAD 2'!F82^2*(T105^2))</f>
        <v/>
      </c>
      <c r="AH105" s="688" t="str">
        <f aca="false">IF(B105="","",(('SENSIBILIDAD 2'!G82)^2)*(Q105^2))</f>
        <v/>
      </c>
      <c r="AI105" s="688" t="str">
        <f aca="false">IF(B105="","",'SENSIBILIDAD 2'!H82^2*(U105^2))</f>
        <v/>
      </c>
      <c r="AJ105" s="688" t="str">
        <f aca="false">IF(B105="","",'SENSIBILIDAD 2'!M82^2*(V105^2))</f>
        <v/>
      </c>
      <c r="AK105" s="688" t="str">
        <f aca="false">IF(B105="","",'SENSIBILIDAD 2'!N82^2*(W105^2))</f>
        <v/>
      </c>
      <c r="AL105" s="688" t="str">
        <f aca="false">IF(B105="","",'SENSIBILIDAD 2'!O82^2*(X105^2))</f>
        <v/>
      </c>
      <c r="AM105" s="688" t="str">
        <f aca="false">IF($B105="","",(Y105^2)*('SENSIBILIDAD 2'!K82^2))</f>
        <v/>
      </c>
      <c r="AN105" s="688" t="str">
        <f aca="false">IF($B105="","",(Z105^2)*('SENSIBILIDAD 2'!I82^2))</f>
        <v/>
      </c>
      <c r="AO105" s="688" t="str">
        <f aca="false">IF($B105="","",(AA105^2)*('SENSIBILIDAD 2'!J82^2))</f>
        <v/>
      </c>
      <c r="AP105" s="688" t="str">
        <f aca="false">IF($B105="","",(AB105^2)*('SENSIBILIDAD 2'!L82^2))</f>
        <v/>
      </c>
      <c r="AQ105" s="689" t="str">
        <f aca="false">IF(B105="","",SQRT(AC105+AD105+AE105+AF105+AG105+AH105+AI105+AJ105+AK105+AL105+AM105+AN105+AO105+AP105))</f>
        <v/>
      </c>
      <c r="AR105" s="701" t="str">
        <f aca="false">IF(B105="","",2*AQ105)</f>
        <v/>
      </c>
      <c r="AS105" s="706" t="str">
        <f aca="false">IF(B105="","",+AR105/1000)</f>
        <v/>
      </c>
      <c r="AT105" s="692" t="str">
        <f aca="false">IF('conversion datos'!$L$30='Patrones LACOMET'!$D$3,(IF(N105="","",AS105*39.37008)),IF('conversion datos'!$L$30='Patrones LACOMET'!$D$4,AS105,"No existe el patrón"))</f>
        <v/>
      </c>
      <c r="BI105" s="564"/>
      <c r="BJ105" s="564"/>
      <c r="BK105" s="564"/>
      <c r="BL105" s="564"/>
      <c r="BM105" s="655"/>
      <c r="BN105" s="655"/>
    </row>
    <row r="106" customFormat="false" ht="19.5" hidden="false" customHeight="true" outlineLevel="0" collapsed="false">
      <c r="A106" s="81" t="n">
        <f aca="false">+CALIBRACION!A89</f>
        <v>78</v>
      </c>
      <c r="B106" s="672" t="str">
        <f aca="false">IF(CALIBRACION!H89="","",CALIBRACION!H89)</f>
        <v/>
      </c>
      <c r="C106" s="693" t="str">
        <f aca="false">IF(B106="","",+($F$20)/SQRT((5)))</f>
        <v/>
      </c>
      <c r="D106" s="693" t="str">
        <f aca="false">IF(B106="","",$F$21/SQRT((3)))</f>
        <v/>
      </c>
      <c r="E106" s="693" t="str">
        <f aca="false">IF(B106="","",$F$22/(SQRT(12)))</f>
        <v/>
      </c>
      <c r="F106" s="693" t="str">
        <f aca="false">IF(B106="","",$F$23/(SQRT(3)))</f>
        <v/>
      </c>
      <c r="G106" s="694" t="str">
        <f aca="false">IF(B106="","",(SQRT((+C106^2+D106^2+E106^2+F106^2))/(10^-3)))</f>
        <v/>
      </c>
      <c r="H106" s="675" t="str">
        <f aca="false">IF(B106="","",(IF('conversion datos'!$L$30='Patrones LACOMET'!$D$3,(VLOOKUP(B106,'BLOQUES PATRON (pulg) '!$K$5:$Q$86,6,FALSE())*1000),IF('conversion datos'!$L$30='Patrones LACOMET'!$D$4,(VLOOKUP(B106,'BLOQUES PATRON (mm)'!$D$5:$H$126,5,FALSE())),"No existe el patrón"))))</f>
        <v/>
      </c>
      <c r="I106" s="676" t="str">
        <f aca="false">IF(B106="","",0.42^2)</f>
        <v/>
      </c>
      <c r="J106" s="676" t="str">
        <f aca="false">IF(B106="","",IF('conversion datos'!$L$30='Patrones LACOMET'!$D$3,LOOKUP(B106,'BLOQUES PATRON (pulg) '!$S$5:$S$86,'BLOQUES PATRON (pulg) '!$Z$5:$Z$86),IF('conversion datos'!$L$30='Patrones LACOMET'!$D$4,LOOKUP(B106,'BLOQUES PATRON (mm)'!$O$5:$O$126,'BLOQUES PATRON (mm)'!$U$5:$U$126),"No existe el patrón")))</f>
        <v/>
      </c>
      <c r="K106" s="677" t="str">
        <f aca="false">IF(B106="","",SQRT((H106^2)+(J106^2)+(I106^2)))</f>
        <v/>
      </c>
      <c r="L106" s="695" t="str">
        <f aca="false">IF(B106="","",$G$4)</f>
        <v/>
      </c>
      <c r="M106" s="695" t="str">
        <f aca="false">IF(B106="","",($G$5))</f>
        <v/>
      </c>
      <c r="N106" s="695" t="str">
        <f aca="false">IF(B106="","",($G$6))</f>
        <v/>
      </c>
      <c r="O106" s="696" t="str">
        <f aca="false">IF(B106="","",(($G$7)))</f>
        <v/>
      </c>
      <c r="P106" s="697" t="str">
        <f aca="false">IF(B106="","",$G$8)</f>
        <v/>
      </c>
      <c r="Q106" s="698" t="str">
        <f aca="false">IF(B106="","",SQRT((L106^2)*(M106^2)+(N106^2)+(O106^2)+(P106^2)))</f>
        <v/>
      </c>
      <c r="R106" s="699" t="str">
        <f aca="false">IF(B106="","",($G$12))</f>
        <v/>
      </c>
      <c r="S106" s="699" t="str">
        <f aca="false">IF(B106="","",($G$13))</f>
        <v/>
      </c>
      <c r="T106" s="700" t="str">
        <f aca="false">IF(B106="","",+$F$14/SQRT(12))</f>
        <v/>
      </c>
      <c r="U106" s="684" t="str">
        <f aca="false">IF(B106="","",(($M$17)/2)*1000)</f>
        <v/>
      </c>
      <c r="V106" s="685" t="str">
        <f aca="false">+IF(B106="","",+$G$15)</f>
        <v/>
      </c>
      <c r="W106" s="685" t="str">
        <f aca="false">+IF(B106="","",+$G$16)</f>
        <v/>
      </c>
      <c r="X106" s="685" t="str">
        <f aca="false">+IF(B106="","",+$G$17)</f>
        <v/>
      </c>
      <c r="Y106" s="686" t="str">
        <f aca="false">+IF(B106="","",K106*$G$9)</f>
        <v/>
      </c>
      <c r="Z106" s="686" t="str">
        <f aca="false">+IF(B106="","",K106*$G$12)</f>
        <v/>
      </c>
      <c r="AA106" s="686" t="str">
        <f aca="false">+IF(B106="","",K106*$G$13)</f>
        <v/>
      </c>
      <c r="AB106" s="686" t="str">
        <f aca="false">+IF(B106="","",K106*T106)</f>
        <v/>
      </c>
      <c r="AC106" s="687" t="str">
        <f aca="false">IF(B106="","",('SENSIBILIDAD 2'!B83^2)*(G106^2))</f>
        <v/>
      </c>
      <c r="AD106" s="688" t="str">
        <f aca="false">IF(B106="","",('SENSIBILIDAD 2'!C83^2)*(K106^2))</f>
        <v/>
      </c>
      <c r="AE106" s="688" t="str">
        <f aca="false">IF(B106="","",'SENSIBILIDAD 2'!D83^2*(R106^2))</f>
        <v/>
      </c>
      <c r="AF106" s="688" t="str">
        <f aca="false">IF(B106="","",'SENSIBILIDAD 2'!E83^2*(S106^2))</f>
        <v/>
      </c>
      <c r="AG106" s="688" t="str">
        <f aca="false">IF(B106="","",'SENSIBILIDAD 2'!F83^2*(T106^2))</f>
        <v/>
      </c>
      <c r="AH106" s="688" t="str">
        <f aca="false">IF(B106="","",(('SENSIBILIDAD 2'!G83)^2)*(Q106^2))</f>
        <v/>
      </c>
      <c r="AI106" s="688" t="str">
        <f aca="false">IF(B106="","",'SENSIBILIDAD 2'!H83^2*(U106^2))</f>
        <v/>
      </c>
      <c r="AJ106" s="688" t="str">
        <f aca="false">IF(B106="","",'SENSIBILIDAD 2'!M83^2*(V106^2))</f>
        <v/>
      </c>
      <c r="AK106" s="688" t="str">
        <f aca="false">IF(B106="","",'SENSIBILIDAD 2'!N83^2*(W106^2))</f>
        <v/>
      </c>
      <c r="AL106" s="688" t="str">
        <f aca="false">IF(B106="","",'SENSIBILIDAD 2'!O83^2*(X106^2))</f>
        <v/>
      </c>
      <c r="AM106" s="688" t="str">
        <f aca="false">IF($B106="","",(Y106^2)*('SENSIBILIDAD 2'!K83^2))</f>
        <v/>
      </c>
      <c r="AN106" s="688" t="str">
        <f aca="false">IF($B106="","",(Z106^2)*('SENSIBILIDAD 2'!I83^2))</f>
        <v/>
      </c>
      <c r="AO106" s="688" t="str">
        <f aca="false">IF($B106="","",(AA106^2)*('SENSIBILIDAD 2'!J83^2))</f>
        <v/>
      </c>
      <c r="AP106" s="688" t="str">
        <f aca="false">IF($B106="","",(AB106^2)*('SENSIBILIDAD 2'!L83^2))</f>
        <v/>
      </c>
      <c r="AQ106" s="689" t="str">
        <f aca="false">IF(B106="","",SQRT(AC106+AD106+AE106+AF106+AG106+AH106+AI106+AJ106+AK106+AL106+AM106+AN106+AO106+AP106))</f>
        <v/>
      </c>
      <c r="AR106" s="701" t="str">
        <f aca="false">IF(B106="","",2*AQ106)</f>
        <v/>
      </c>
      <c r="AS106" s="706" t="str">
        <f aca="false">IF(B106="","",+AR106/1000)</f>
        <v/>
      </c>
      <c r="AT106" s="692" t="str">
        <f aca="false">IF('conversion datos'!$L$30='Patrones LACOMET'!$D$3,(IF(N106="","",AS106*39.37008)),IF('conversion datos'!$L$30='Patrones LACOMET'!$D$4,AS106,"No existe el patrón"))</f>
        <v/>
      </c>
      <c r="BI106" s="564"/>
      <c r="BJ106" s="564"/>
      <c r="BK106" s="564"/>
      <c r="BL106" s="564"/>
      <c r="BM106" s="655"/>
      <c r="BN106" s="655"/>
    </row>
    <row r="107" customFormat="false" ht="19.5" hidden="false" customHeight="true" outlineLevel="0" collapsed="false">
      <c r="A107" s="81" t="n">
        <f aca="false">+CALIBRACION!A90</f>
        <v>79</v>
      </c>
      <c r="B107" s="672" t="str">
        <f aca="false">IF(CALIBRACION!H90="","",CALIBRACION!H90)</f>
        <v/>
      </c>
      <c r="C107" s="693" t="str">
        <f aca="false">IF(B107="","",+($F$20)/SQRT((5)))</f>
        <v/>
      </c>
      <c r="D107" s="693" t="str">
        <f aca="false">IF(B107="","",$F$21/SQRT((3)))</f>
        <v/>
      </c>
      <c r="E107" s="693" t="str">
        <f aca="false">IF(B107="","",$F$22/(SQRT(12)))</f>
        <v/>
      </c>
      <c r="F107" s="693" t="str">
        <f aca="false">IF(B107="","",$F$23/(SQRT(3)))</f>
        <v/>
      </c>
      <c r="G107" s="694" t="str">
        <f aca="false">IF(B107="","",(SQRT((+C107^2+D107^2+E107^2+F107^2))/(10^-3)))</f>
        <v/>
      </c>
      <c r="H107" s="675" t="str">
        <f aca="false">IF(B107="","",(IF('conversion datos'!$L$30='Patrones LACOMET'!$D$3,(VLOOKUP(B107,'BLOQUES PATRON (pulg) '!$K$5:$Q$86,6,FALSE())*1000),IF('conversion datos'!$L$30='Patrones LACOMET'!$D$4,(VLOOKUP(B107,'BLOQUES PATRON (mm)'!$D$5:$H$126,5,FALSE())),"No existe el patrón"))))</f>
        <v/>
      </c>
      <c r="I107" s="676" t="str">
        <f aca="false">IF(B107="","",0.42^2)</f>
        <v/>
      </c>
      <c r="J107" s="676" t="str">
        <f aca="false">IF(B107="","",IF('conversion datos'!$L$30='Patrones LACOMET'!$D$3,LOOKUP(B107,'BLOQUES PATRON (pulg) '!$S$5:$S$86,'BLOQUES PATRON (pulg) '!$Z$5:$Z$86),IF('conversion datos'!$L$30='Patrones LACOMET'!$D$4,LOOKUP(B107,'BLOQUES PATRON (mm)'!$O$5:$O$126,'BLOQUES PATRON (mm)'!$U$5:$U$126),"No existe el patrón")))</f>
        <v/>
      </c>
      <c r="K107" s="677" t="str">
        <f aca="false">IF(B107="","",SQRT((H107^2)+(J107^2)+(I107^2)))</f>
        <v/>
      </c>
      <c r="L107" s="695" t="str">
        <f aca="false">IF(B107="","",$G$4)</f>
        <v/>
      </c>
      <c r="M107" s="695" t="str">
        <f aca="false">IF(B107="","",($G$5))</f>
        <v/>
      </c>
      <c r="N107" s="695" t="str">
        <f aca="false">IF(B107="","",($G$6))</f>
        <v/>
      </c>
      <c r="O107" s="696" t="str">
        <f aca="false">IF(B107="","",(($G$7)))</f>
        <v/>
      </c>
      <c r="P107" s="697" t="str">
        <f aca="false">IF(B107="","",$G$8)</f>
        <v/>
      </c>
      <c r="Q107" s="698" t="str">
        <f aca="false">IF(B107="","",SQRT((L107^2)*(M107^2)+(N107^2)+(O107^2)+(P107^2)))</f>
        <v/>
      </c>
      <c r="R107" s="699" t="str">
        <f aca="false">IF(B107="","",($G$12))</f>
        <v/>
      </c>
      <c r="S107" s="699" t="str">
        <f aca="false">IF(B107="","",($G$13))</f>
        <v/>
      </c>
      <c r="T107" s="700" t="str">
        <f aca="false">IF(B107="","",+$F$14/SQRT(12))</f>
        <v/>
      </c>
      <c r="U107" s="684" t="str">
        <f aca="false">IF(B107="","",(($M$17)/2)*1000)</f>
        <v/>
      </c>
      <c r="V107" s="685" t="str">
        <f aca="false">+IF(B107="","",+$G$15)</f>
        <v/>
      </c>
      <c r="W107" s="685" t="str">
        <f aca="false">+IF(B107="","",+$G$16)</f>
        <v/>
      </c>
      <c r="X107" s="685" t="str">
        <f aca="false">+IF(B107="","",+$G$17)</f>
        <v/>
      </c>
      <c r="Y107" s="686" t="str">
        <f aca="false">+IF(B107="","",K107*$G$9)</f>
        <v/>
      </c>
      <c r="Z107" s="686" t="str">
        <f aca="false">+IF(B107="","",K107*$G$12)</f>
        <v/>
      </c>
      <c r="AA107" s="686" t="str">
        <f aca="false">+IF(B107="","",K107*$G$13)</f>
        <v/>
      </c>
      <c r="AB107" s="686" t="str">
        <f aca="false">+IF(B107="","",K107*T107)</f>
        <v/>
      </c>
      <c r="AC107" s="687" t="str">
        <f aca="false">IF(B107="","",('SENSIBILIDAD 2'!B84^2)*(G107^2))</f>
        <v/>
      </c>
      <c r="AD107" s="688" t="str">
        <f aca="false">IF(B107="","",('SENSIBILIDAD 2'!C84^2)*(K107^2))</f>
        <v/>
      </c>
      <c r="AE107" s="688" t="str">
        <f aca="false">IF(B107="","",'SENSIBILIDAD 2'!D84^2*(R107^2))</f>
        <v/>
      </c>
      <c r="AF107" s="688" t="str">
        <f aca="false">IF(B107="","",'SENSIBILIDAD 2'!E84^2*(S107^2))</f>
        <v/>
      </c>
      <c r="AG107" s="688" t="str">
        <f aca="false">IF(B107="","",'SENSIBILIDAD 2'!F84^2*(T107^2))</f>
        <v/>
      </c>
      <c r="AH107" s="688" t="str">
        <f aca="false">IF(B107="","",(('SENSIBILIDAD 2'!G84)^2)*(Q107^2))</f>
        <v/>
      </c>
      <c r="AI107" s="688" t="str">
        <f aca="false">IF(B107="","",'SENSIBILIDAD 2'!H84^2*(U107^2))</f>
        <v/>
      </c>
      <c r="AJ107" s="688" t="str">
        <f aca="false">IF(B107="","",'SENSIBILIDAD 2'!M84^2*(V107^2))</f>
        <v/>
      </c>
      <c r="AK107" s="688" t="str">
        <f aca="false">IF(B107="","",'SENSIBILIDAD 2'!N84^2*(W107^2))</f>
        <v/>
      </c>
      <c r="AL107" s="688" t="str">
        <f aca="false">IF(B107="","",'SENSIBILIDAD 2'!O84^2*(X107^2))</f>
        <v/>
      </c>
      <c r="AM107" s="688" t="str">
        <f aca="false">IF($B107="","",(Y107^2)*('SENSIBILIDAD 2'!K84^2))</f>
        <v/>
      </c>
      <c r="AN107" s="688" t="str">
        <f aca="false">IF($B107="","",(Z107^2)*('SENSIBILIDAD 2'!I84^2))</f>
        <v/>
      </c>
      <c r="AO107" s="688" t="str">
        <f aca="false">IF($B107="","",(AA107^2)*('SENSIBILIDAD 2'!J84^2))</f>
        <v/>
      </c>
      <c r="AP107" s="688" t="str">
        <f aca="false">IF($B107="","",(AB107^2)*('SENSIBILIDAD 2'!L84^2))</f>
        <v/>
      </c>
      <c r="AQ107" s="689" t="str">
        <f aca="false">IF(B107="","",SQRT(AC107+AD107+AE107+AF107+AG107+AH107+AI107+AJ107+AK107+AL107+AM107+AN107+AO107+AP107))</f>
        <v/>
      </c>
      <c r="AR107" s="701" t="str">
        <f aca="false">IF(B107="","",2*AQ107)</f>
        <v/>
      </c>
      <c r="AS107" s="706" t="str">
        <f aca="false">IF(B107="","",+AR107/1000)</f>
        <v/>
      </c>
      <c r="AT107" s="692" t="str">
        <f aca="false">IF('conversion datos'!$L$30='Patrones LACOMET'!$D$3,(IF(N107="","",AS107*39.37008)),IF('conversion datos'!$L$30='Patrones LACOMET'!$D$4,AS107,"No existe el patrón"))</f>
        <v/>
      </c>
      <c r="BI107" s="564"/>
      <c r="BJ107" s="564"/>
      <c r="BK107" s="564"/>
      <c r="BL107" s="564"/>
      <c r="BM107" s="655"/>
      <c r="BN107" s="655"/>
    </row>
    <row r="108" customFormat="false" ht="19.5" hidden="false" customHeight="true" outlineLevel="0" collapsed="false">
      <c r="A108" s="81" t="n">
        <f aca="false">+CALIBRACION!A91</f>
        <v>80</v>
      </c>
      <c r="B108" s="672" t="str">
        <f aca="false">IF(CALIBRACION!H91="","",CALIBRACION!H91)</f>
        <v/>
      </c>
      <c r="C108" s="693" t="str">
        <f aca="false">IF(B108="","",+($F$20)/SQRT((5)))</f>
        <v/>
      </c>
      <c r="D108" s="693" t="str">
        <f aca="false">IF(B108="","",$F$21/SQRT((3)))</f>
        <v/>
      </c>
      <c r="E108" s="693" t="str">
        <f aca="false">IF(B108="","",$F$22/(SQRT(12)))</f>
        <v/>
      </c>
      <c r="F108" s="693" t="str">
        <f aca="false">IF(B108="","",$F$23/(SQRT(3)))</f>
        <v/>
      </c>
      <c r="G108" s="694" t="str">
        <f aca="false">IF(B108="","",(SQRT((+C108^2+D108^2+E108^2+F108^2))/(10^-3)))</f>
        <v/>
      </c>
      <c r="H108" s="675" t="str">
        <f aca="false">IF(B108="","",(IF('conversion datos'!$L$30='Patrones LACOMET'!$D$3,(VLOOKUP(B108,'BLOQUES PATRON (pulg) '!$K$5:$Q$86,6,FALSE())*1000),IF('conversion datos'!$L$30='Patrones LACOMET'!$D$4,(VLOOKUP(B108,'BLOQUES PATRON (mm)'!$D$5:$H$126,5,FALSE())),"No existe el patrón"))))</f>
        <v/>
      </c>
      <c r="I108" s="676" t="str">
        <f aca="false">IF(B108="","",0.42^2)</f>
        <v/>
      </c>
      <c r="J108" s="676" t="str">
        <f aca="false">IF(B108="","",IF('conversion datos'!$L$30='Patrones LACOMET'!$D$3,LOOKUP(B108,'BLOQUES PATRON (pulg) '!$S$5:$S$86,'BLOQUES PATRON (pulg) '!$Z$5:$Z$86),IF('conversion datos'!$L$30='Patrones LACOMET'!$D$4,LOOKUP(B108,'BLOQUES PATRON (mm)'!$O$5:$O$126,'BLOQUES PATRON (mm)'!$U$5:$U$126),"No existe el patrón")))</f>
        <v/>
      </c>
      <c r="K108" s="677" t="str">
        <f aca="false">IF(B108="","",SQRT((H108^2)+(J108^2)+(I108^2)))</f>
        <v/>
      </c>
      <c r="L108" s="695" t="str">
        <f aca="false">IF(B108="","",$G$4)</f>
        <v/>
      </c>
      <c r="M108" s="695" t="str">
        <f aca="false">IF(B108="","",($G$5))</f>
        <v/>
      </c>
      <c r="N108" s="695" t="str">
        <f aca="false">IF(B108="","",($G$6))</f>
        <v/>
      </c>
      <c r="O108" s="696" t="str">
        <f aca="false">IF(B108="","",(($G$7)))</f>
        <v/>
      </c>
      <c r="P108" s="697" t="str">
        <f aca="false">IF(B108="","",$G$8)</f>
        <v/>
      </c>
      <c r="Q108" s="698" t="str">
        <f aca="false">IF(B108="","",SQRT((L108^2)*(M108^2)+(N108^2)+(O108^2)+(P108^2)))</f>
        <v/>
      </c>
      <c r="R108" s="699" t="str">
        <f aca="false">IF(B108="","",($G$12))</f>
        <v/>
      </c>
      <c r="S108" s="699" t="str">
        <f aca="false">IF(B108="","",($G$13))</f>
        <v/>
      </c>
      <c r="T108" s="700" t="str">
        <f aca="false">IF(B108="","",+$F$14/SQRT(12))</f>
        <v/>
      </c>
      <c r="U108" s="684" t="str">
        <f aca="false">IF(B108="","",(($M$17)/2)*1000)</f>
        <v/>
      </c>
      <c r="V108" s="685" t="str">
        <f aca="false">+IF(B108="","",+$G$15)</f>
        <v/>
      </c>
      <c r="W108" s="685" t="str">
        <f aca="false">+IF(B108="","",+$G$16)</f>
        <v/>
      </c>
      <c r="X108" s="685" t="str">
        <f aca="false">+IF(B108="","",+$G$17)</f>
        <v/>
      </c>
      <c r="Y108" s="686" t="str">
        <f aca="false">+IF(B108="","",K108*$G$9)</f>
        <v/>
      </c>
      <c r="Z108" s="686" t="str">
        <f aca="false">+IF(B108="","",K108*$G$12)</f>
        <v/>
      </c>
      <c r="AA108" s="686" t="str">
        <f aca="false">+IF(B108="","",K108*$G$13)</f>
        <v/>
      </c>
      <c r="AB108" s="686" t="str">
        <f aca="false">+IF(B108="","",K108*T108)</f>
        <v/>
      </c>
      <c r="AC108" s="687" t="str">
        <f aca="false">IF(B108="","",('SENSIBILIDAD 2'!B85^2)*(G108^2))</f>
        <v/>
      </c>
      <c r="AD108" s="688" t="str">
        <f aca="false">IF(B108="","",('SENSIBILIDAD 2'!C85^2)*(K108^2))</f>
        <v/>
      </c>
      <c r="AE108" s="688" t="str">
        <f aca="false">IF(B108="","",'SENSIBILIDAD 2'!D85^2*(R108^2))</f>
        <v/>
      </c>
      <c r="AF108" s="688" t="str">
        <f aca="false">IF(B108="","",'SENSIBILIDAD 2'!E85^2*(S108^2))</f>
        <v/>
      </c>
      <c r="AG108" s="688" t="str">
        <f aca="false">IF(B108="","",'SENSIBILIDAD 2'!F85^2*(T108^2))</f>
        <v/>
      </c>
      <c r="AH108" s="688" t="str">
        <f aca="false">IF(B108="","",(('SENSIBILIDAD 2'!G85)^2)*(Q108^2))</f>
        <v/>
      </c>
      <c r="AI108" s="688" t="str">
        <f aca="false">IF(B108="","",'SENSIBILIDAD 2'!H85^2*(U108^2))</f>
        <v/>
      </c>
      <c r="AJ108" s="688" t="str">
        <f aca="false">IF(B108="","",'SENSIBILIDAD 2'!M85^2*(V108^2))</f>
        <v/>
      </c>
      <c r="AK108" s="688" t="str">
        <f aca="false">IF(B108="","",'SENSIBILIDAD 2'!N85^2*(W108^2))</f>
        <v/>
      </c>
      <c r="AL108" s="688" t="str">
        <f aca="false">IF(B108="","",'SENSIBILIDAD 2'!O85^2*(X108^2))</f>
        <v/>
      </c>
      <c r="AM108" s="688" t="str">
        <f aca="false">IF($B108="","",(Y108^2)*('SENSIBILIDAD 2'!K85^2))</f>
        <v/>
      </c>
      <c r="AN108" s="688" t="str">
        <f aca="false">IF($B108="","",(Z108^2)*('SENSIBILIDAD 2'!I85^2))</f>
        <v/>
      </c>
      <c r="AO108" s="688" t="str">
        <f aca="false">IF($B108="","",(AA108^2)*('SENSIBILIDAD 2'!J85^2))</f>
        <v/>
      </c>
      <c r="AP108" s="688" t="str">
        <f aca="false">IF($B108="","",(AB108^2)*('SENSIBILIDAD 2'!L85^2))</f>
        <v/>
      </c>
      <c r="AQ108" s="689" t="str">
        <f aca="false">IF(B108="","",SQRT(AC108+AD108+AE108+AF108+AG108+AH108+AI108+AJ108+AK108+AL108+AM108+AN108+AO108+AP108))</f>
        <v/>
      </c>
      <c r="AR108" s="701" t="str">
        <f aca="false">IF(B108="","",2*AQ108)</f>
        <v/>
      </c>
      <c r="AS108" s="706" t="str">
        <f aca="false">IF(B108="","",+AR108/1000)</f>
        <v/>
      </c>
      <c r="AT108" s="692" t="str">
        <f aca="false">IF('conversion datos'!$L$30='Patrones LACOMET'!$D$3,(IF(N108="","",AS108*39.37008)),IF('conversion datos'!$L$30='Patrones LACOMET'!$D$4,AS108,"No existe el patrón"))</f>
        <v/>
      </c>
      <c r="BI108" s="564"/>
      <c r="BJ108" s="564"/>
      <c r="BK108" s="564"/>
      <c r="BL108" s="564"/>
      <c r="BM108" s="655"/>
      <c r="BN108" s="655"/>
    </row>
    <row r="109" customFormat="false" ht="19.5" hidden="false" customHeight="true" outlineLevel="0" collapsed="false">
      <c r="A109" s="81" t="n">
        <f aca="false">+CALIBRACION!A92</f>
        <v>81</v>
      </c>
      <c r="B109" s="672" t="str">
        <f aca="false">IF(CALIBRACION!H92="","",CALIBRACION!H92)</f>
        <v/>
      </c>
      <c r="C109" s="693" t="str">
        <f aca="false">IF(B109="","",+($F$20)/SQRT((5)))</f>
        <v/>
      </c>
      <c r="D109" s="693" t="str">
        <f aca="false">IF(B109="","",$F$21/SQRT((3)))</f>
        <v/>
      </c>
      <c r="E109" s="693" t="str">
        <f aca="false">IF(B109="","",$F$22/(SQRT(12)))</f>
        <v/>
      </c>
      <c r="F109" s="693" t="str">
        <f aca="false">IF(B109="","",$F$23/(SQRT(3)))</f>
        <v/>
      </c>
      <c r="G109" s="694" t="str">
        <f aca="false">IF(B109="","",(SQRT((+C109^2+D109^2+E109^2+F109^2))/(10^-3)))</f>
        <v/>
      </c>
      <c r="H109" s="675" t="str">
        <f aca="false">IF(B109="","",(IF('conversion datos'!$L$30='Patrones LACOMET'!$D$3,(VLOOKUP(B109,'BLOQUES PATRON (pulg) '!$K$5:$Q$86,6,FALSE())*1000),IF('conversion datos'!$L$30='Patrones LACOMET'!$D$4,(VLOOKUP(B109,'BLOQUES PATRON (mm)'!$D$5:$H$126,5,FALSE())),"No existe el patrón"))))</f>
        <v/>
      </c>
      <c r="I109" s="676" t="str">
        <f aca="false">IF(B109="","",0.42^2)</f>
        <v/>
      </c>
      <c r="J109" s="676" t="str">
        <f aca="false">IF(B109="","",IF('conversion datos'!$L$30='Patrones LACOMET'!$D$3,LOOKUP(B109,'BLOQUES PATRON (pulg) '!$S$5:$S$86,'BLOQUES PATRON (pulg) '!$Z$5:$Z$86),IF('conversion datos'!$L$30='Patrones LACOMET'!$D$4,LOOKUP(B109,'BLOQUES PATRON (mm)'!$O$5:$O$126,'BLOQUES PATRON (mm)'!$U$5:$U$126),"No existe el patrón")))</f>
        <v/>
      </c>
      <c r="K109" s="677" t="str">
        <f aca="false">IF(B109="","",SQRT((H109^2)+(J109^2)+(I109^2)))</f>
        <v/>
      </c>
      <c r="L109" s="695" t="str">
        <f aca="false">IF(B109="","",$G$4)</f>
        <v/>
      </c>
      <c r="M109" s="695" t="str">
        <f aca="false">IF(B109="","",($G$5))</f>
        <v/>
      </c>
      <c r="N109" s="695" t="str">
        <f aca="false">IF(B109="","",($G$6))</f>
        <v/>
      </c>
      <c r="O109" s="696" t="str">
        <f aca="false">IF(B109="","",(($G$7)))</f>
        <v/>
      </c>
      <c r="P109" s="697" t="str">
        <f aca="false">IF(B109="","",$G$8)</f>
        <v/>
      </c>
      <c r="Q109" s="698" t="str">
        <f aca="false">IF(B109="","",SQRT((L109^2)*(M109^2)+(N109^2)+(O109^2)+(P109^2)))</f>
        <v/>
      </c>
      <c r="R109" s="699" t="str">
        <f aca="false">IF(B109="","",($G$12))</f>
        <v/>
      </c>
      <c r="S109" s="699" t="str">
        <f aca="false">IF(B109="","",($G$13))</f>
        <v/>
      </c>
      <c r="T109" s="700" t="str">
        <f aca="false">IF(B109="","",+$F$14/SQRT(12))</f>
        <v/>
      </c>
      <c r="U109" s="684" t="str">
        <f aca="false">IF(B109="","",(($M$17)/2)*1000)</f>
        <v/>
      </c>
      <c r="V109" s="685" t="str">
        <f aca="false">+IF(B109="","",+$G$15)</f>
        <v/>
      </c>
      <c r="W109" s="685" t="str">
        <f aca="false">+IF(B109="","",+$G$16)</f>
        <v/>
      </c>
      <c r="X109" s="685" t="str">
        <f aca="false">+IF(B109="","",+$G$17)</f>
        <v/>
      </c>
      <c r="Y109" s="686" t="str">
        <f aca="false">+IF(B109="","",K109*$G$9)</f>
        <v/>
      </c>
      <c r="Z109" s="686" t="str">
        <f aca="false">+IF(B109="","",K109*$G$12)</f>
        <v/>
      </c>
      <c r="AA109" s="686" t="str">
        <f aca="false">+IF(B109="","",K109*$G$13)</f>
        <v/>
      </c>
      <c r="AB109" s="686" t="str">
        <f aca="false">+IF(B109="","",K109*T109)</f>
        <v/>
      </c>
      <c r="AC109" s="687" t="str">
        <f aca="false">IF(B109="","",('SENSIBILIDAD 2'!B86^2)*(G109^2))</f>
        <v/>
      </c>
      <c r="AD109" s="688" t="str">
        <f aca="false">IF(B109="","",('SENSIBILIDAD 2'!C86^2)*(K109^2))</f>
        <v/>
      </c>
      <c r="AE109" s="688" t="str">
        <f aca="false">IF(B109="","",'SENSIBILIDAD 2'!D86^2*(R109^2))</f>
        <v/>
      </c>
      <c r="AF109" s="688" t="str">
        <f aca="false">IF(B109="","",'SENSIBILIDAD 2'!E86^2*(S109^2))</f>
        <v/>
      </c>
      <c r="AG109" s="688" t="str">
        <f aca="false">IF(B109="","",'SENSIBILIDAD 2'!F86^2*(T109^2))</f>
        <v/>
      </c>
      <c r="AH109" s="688" t="str">
        <f aca="false">IF(B109="","",(('SENSIBILIDAD 2'!G86)^2)*(Q109^2))</f>
        <v/>
      </c>
      <c r="AI109" s="688" t="str">
        <f aca="false">IF(B109="","",'SENSIBILIDAD 2'!H86^2*(U109^2))</f>
        <v/>
      </c>
      <c r="AJ109" s="688" t="str">
        <f aca="false">IF(B109="","",'SENSIBILIDAD 2'!M86^2*(V109^2))</f>
        <v/>
      </c>
      <c r="AK109" s="688" t="str">
        <f aca="false">IF(B109="","",'SENSIBILIDAD 2'!N86^2*(W109^2))</f>
        <v/>
      </c>
      <c r="AL109" s="688" t="str">
        <f aca="false">IF(B109="","",'SENSIBILIDAD 2'!O86^2*(X109^2))</f>
        <v/>
      </c>
      <c r="AM109" s="688" t="str">
        <f aca="false">IF($B109="","",(Y109^2)*('SENSIBILIDAD 2'!K86^2))</f>
        <v/>
      </c>
      <c r="AN109" s="688" t="str">
        <f aca="false">IF($B109="","",(Z109^2)*('SENSIBILIDAD 2'!I86^2))</f>
        <v/>
      </c>
      <c r="AO109" s="688" t="str">
        <f aca="false">IF($B109="","",(AA109^2)*('SENSIBILIDAD 2'!J86^2))</f>
        <v/>
      </c>
      <c r="AP109" s="688" t="str">
        <f aca="false">IF($B109="","",(AB109^2)*('SENSIBILIDAD 2'!L86^2))</f>
        <v/>
      </c>
      <c r="AQ109" s="689" t="str">
        <f aca="false">IF(B109="","",SQRT(AC109+AD109+AE109+AF109+AG109+AH109+AI109+AJ109+AK109+AL109+AM109+AN109+AO109+AP109))</f>
        <v/>
      </c>
      <c r="AR109" s="701" t="str">
        <f aca="false">IF(B109="","",2*AQ109)</f>
        <v/>
      </c>
      <c r="AS109" s="706" t="str">
        <f aca="false">IF(B109="","",+AR109/1000)</f>
        <v/>
      </c>
      <c r="AT109" s="692" t="str">
        <f aca="false">IF('conversion datos'!$L$30='Patrones LACOMET'!$D$3,(IF(N109="","",AS109*39.37008)),IF('conversion datos'!$L$30='Patrones LACOMET'!$D$4,AS109,"No existe el patrón"))</f>
        <v/>
      </c>
      <c r="BI109" s="564"/>
      <c r="BJ109" s="564"/>
      <c r="BK109" s="564"/>
      <c r="BL109" s="564"/>
      <c r="BM109" s="655"/>
      <c r="BN109" s="655"/>
    </row>
    <row r="110" customFormat="false" ht="19.5" hidden="false" customHeight="true" outlineLevel="0" collapsed="false">
      <c r="A110" s="81" t="n">
        <f aca="false">+CALIBRACION!A93</f>
        <v>82</v>
      </c>
      <c r="B110" s="672" t="str">
        <f aca="false">IF(CALIBRACION!H93="","",CALIBRACION!H93)</f>
        <v/>
      </c>
      <c r="C110" s="693" t="str">
        <f aca="false">IF(B110="","",+($F$20)/SQRT((5)))</f>
        <v/>
      </c>
      <c r="D110" s="693" t="str">
        <f aca="false">IF(B110="","",$F$21/SQRT((3)))</f>
        <v/>
      </c>
      <c r="E110" s="693" t="str">
        <f aca="false">IF(B110="","",$F$22/(SQRT(12)))</f>
        <v/>
      </c>
      <c r="F110" s="693" t="str">
        <f aca="false">IF(B110="","",$F$23/(SQRT(3)))</f>
        <v/>
      </c>
      <c r="G110" s="694" t="str">
        <f aca="false">IF(B110="","",(SQRT((+C110^2+D110^2+E110^2+F110^2))/(10^-3)))</f>
        <v/>
      </c>
      <c r="H110" s="675" t="str">
        <f aca="false">IF(B110="","",(IF('conversion datos'!$L$30='Patrones LACOMET'!$D$3,(VLOOKUP(B110,'BLOQUES PATRON (pulg) '!$K$5:$Q$86,6,FALSE())*1000),IF('conversion datos'!$L$30='Patrones LACOMET'!$D$4,(VLOOKUP(B110,'BLOQUES PATRON (mm)'!$D$5:$H$126,5,FALSE())),"No existe el patrón"))))</f>
        <v/>
      </c>
      <c r="I110" s="676" t="str">
        <f aca="false">IF(B110="","",0.42^2)</f>
        <v/>
      </c>
      <c r="J110" s="676" t="str">
        <f aca="false">IF(B110="","",IF('conversion datos'!$L$30='Patrones LACOMET'!$D$3,LOOKUP(B110,'BLOQUES PATRON (pulg) '!$S$5:$S$86,'BLOQUES PATRON (pulg) '!$Z$5:$Z$86),IF('conversion datos'!$L$30='Patrones LACOMET'!$D$4,LOOKUP(B110,'BLOQUES PATRON (mm)'!$O$5:$O$126,'BLOQUES PATRON (mm)'!$U$5:$U$126),"No existe el patrón")))</f>
        <v/>
      </c>
      <c r="K110" s="677" t="str">
        <f aca="false">IF(B110="","",SQRT((H110^2)+(J110^2)+(I110^2)))</f>
        <v/>
      </c>
      <c r="L110" s="695" t="str">
        <f aca="false">IF(B110="","",$G$4)</f>
        <v/>
      </c>
      <c r="M110" s="695" t="str">
        <f aca="false">IF(B110="","",($G$5))</f>
        <v/>
      </c>
      <c r="N110" s="695" t="str">
        <f aca="false">IF(B110="","",($G$6))</f>
        <v/>
      </c>
      <c r="O110" s="696" t="str">
        <f aca="false">IF(B110="","",(($G$7)))</f>
        <v/>
      </c>
      <c r="P110" s="697" t="str">
        <f aca="false">IF(B110="","",$G$8)</f>
        <v/>
      </c>
      <c r="Q110" s="698" t="str">
        <f aca="false">IF(B110="","",SQRT((L110^2)*(M110^2)+(N110^2)+(O110^2)+(P110^2)))</f>
        <v/>
      </c>
      <c r="R110" s="699" t="str">
        <f aca="false">IF(B110="","",($G$12))</f>
        <v/>
      </c>
      <c r="S110" s="699" t="str">
        <f aca="false">IF(B110="","",($G$13))</f>
        <v/>
      </c>
      <c r="T110" s="700" t="str">
        <f aca="false">IF(B110="","",+$F$14/SQRT(12))</f>
        <v/>
      </c>
      <c r="U110" s="684" t="str">
        <f aca="false">IF(B110="","",(($M$17)/2)*1000)</f>
        <v/>
      </c>
      <c r="V110" s="685" t="str">
        <f aca="false">+IF(B110="","",+$G$15)</f>
        <v/>
      </c>
      <c r="W110" s="685" t="str">
        <f aca="false">+IF(B110="","",+$G$16)</f>
        <v/>
      </c>
      <c r="X110" s="685" t="str">
        <f aca="false">+IF(B110="","",+$G$17)</f>
        <v/>
      </c>
      <c r="Y110" s="686" t="str">
        <f aca="false">+IF(B110="","",K110*$G$9)</f>
        <v/>
      </c>
      <c r="Z110" s="686" t="str">
        <f aca="false">+IF(B110="","",K110*$G$12)</f>
        <v/>
      </c>
      <c r="AA110" s="686" t="str">
        <f aca="false">+IF(B110="","",K110*$G$13)</f>
        <v/>
      </c>
      <c r="AB110" s="686" t="str">
        <f aca="false">+IF(B110="","",K110*T110)</f>
        <v/>
      </c>
      <c r="AC110" s="687" t="str">
        <f aca="false">IF(B110="","",('SENSIBILIDAD 2'!B87^2)*(G110^2))</f>
        <v/>
      </c>
      <c r="AD110" s="688" t="str">
        <f aca="false">IF(B110="","",('SENSIBILIDAD 2'!C87^2)*(K110^2))</f>
        <v/>
      </c>
      <c r="AE110" s="688" t="str">
        <f aca="false">IF(B110="","",'SENSIBILIDAD 2'!D87^2*(R110^2))</f>
        <v/>
      </c>
      <c r="AF110" s="688" t="str">
        <f aca="false">IF(B110="","",'SENSIBILIDAD 2'!E87^2*(S110^2))</f>
        <v/>
      </c>
      <c r="AG110" s="688" t="str">
        <f aca="false">IF(B110="","",'SENSIBILIDAD 2'!F87^2*(T110^2))</f>
        <v/>
      </c>
      <c r="AH110" s="688" t="str">
        <f aca="false">IF(B110="","",(('SENSIBILIDAD 2'!G87)^2)*(Q110^2))</f>
        <v/>
      </c>
      <c r="AI110" s="688" t="str">
        <f aca="false">IF(B110="","",'SENSIBILIDAD 2'!H87^2*(U110^2))</f>
        <v/>
      </c>
      <c r="AJ110" s="688" t="str">
        <f aca="false">IF(B110="","",'SENSIBILIDAD 2'!M87^2*(V110^2))</f>
        <v/>
      </c>
      <c r="AK110" s="688" t="str">
        <f aca="false">IF(B110="","",'SENSIBILIDAD 2'!N87^2*(W110^2))</f>
        <v/>
      </c>
      <c r="AL110" s="688" t="str">
        <f aca="false">IF(B110="","",'SENSIBILIDAD 2'!O87^2*(X110^2))</f>
        <v/>
      </c>
      <c r="AM110" s="688" t="str">
        <f aca="false">IF($B110="","",(Y110^2)*('SENSIBILIDAD 2'!K87^2))</f>
        <v/>
      </c>
      <c r="AN110" s="688" t="str">
        <f aca="false">IF($B110="","",(Z110^2)*('SENSIBILIDAD 2'!I87^2))</f>
        <v/>
      </c>
      <c r="AO110" s="688" t="str">
        <f aca="false">IF($B110="","",(AA110^2)*('SENSIBILIDAD 2'!J87^2))</f>
        <v/>
      </c>
      <c r="AP110" s="688" t="str">
        <f aca="false">IF($B110="","",(AB110^2)*('SENSIBILIDAD 2'!L87^2))</f>
        <v/>
      </c>
      <c r="AQ110" s="689" t="str">
        <f aca="false">IF(B110="","",SQRT(AC110+AD110+AE110+AF110+AG110+AH110+AI110+AJ110+AK110+AL110+AM110+AN110+AO110+AP110))</f>
        <v/>
      </c>
      <c r="AR110" s="701" t="str">
        <f aca="false">IF(B110="","",2*AQ110)</f>
        <v/>
      </c>
      <c r="AS110" s="706" t="str">
        <f aca="false">IF(B110="","",+AR110/1000)</f>
        <v/>
      </c>
      <c r="AT110" s="692" t="str">
        <f aca="false">IF('conversion datos'!$L$30='Patrones LACOMET'!$D$3,(IF(N110="","",AS110*39.37008)),IF('conversion datos'!$L$30='Patrones LACOMET'!$D$4,AS110,"No existe el patrón"))</f>
        <v/>
      </c>
      <c r="BI110" s="564"/>
      <c r="BJ110" s="564"/>
      <c r="BK110" s="564"/>
      <c r="BL110" s="564"/>
      <c r="BM110" s="655"/>
      <c r="BN110" s="655"/>
    </row>
    <row r="111" customFormat="false" ht="15.75" hidden="false" customHeight="false" outlineLevel="0" collapsed="false">
      <c r="A111" s="81" t="n">
        <f aca="false">+CALIBRACION!A94</f>
        <v>83</v>
      </c>
      <c r="B111" s="672" t="str">
        <f aca="false">IF(CALIBRACION!H94="","",CALIBRACION!H94)</f>
        <v/>
      </c>
      <c r="C111" s="693" t="str">
        <f aca="false">IF(B111="","",+($F$20)/SQRT((5)))</f>
        <v/>
      </c>
      <c r="D111" s="693" t="str">
        <f aca="false">IF(B111="","",$F$21/SQRT((3)))</f>
        <v/>
      </c>
      <c r="E111" s="693" t="str">
        <f aca="false">IF(B111="","",$F$22/(SQRT(12)))</f>
        <v/>
      </c>
      <c r="F111" s="693" t="str">
        <f aca="false">IF(B111="","",$F$23/(SQRT(3)))</f>
        <v/>
      </c>
      <c r="G111" s="694" t="str">
        <f aca="false">IF(B111="","",(SQRT((+C111^2+D111^2+E111^2+F111^2))/(10^-3)))</f>
        <v/>
      </c>
      <c r="H111" s="675" t="str">
        <f aca="false">IF(B111="","",(IF('conversion datos'!$L$30='Patrones LACOMET'!$D$3,(VLOOKUP(B111,'BLOQUES PATRON (pulg) '!$K$5:$Q$86,6,FALSE())*1000),IF('conversion datos'!$L$30='Patrones LACOMET'!$D$4,(VLOOKUP(B111,'BLOQUES PATRON (mm)'!$D$5:$H$126,5,FALSE())),"No existe el patrón"))))</f>
        <v/>
      </c>
      <c r="I111" s="676" t="str">
        <f aca="false">IF(B111="","",0.42^2)</f>
        <v/>
      </c>
      <c r="J111" s="676" t="str">
        <f aca="false">IF(B111="","",IF('conversion datos'!$L$30='Patrones LACOMET'!$D$3,LOOKUP(B111,'BLOQUES PATRON (pulg) '!$S$5:$S$86,'BLOQUES PATRON (pulg) '!$Z$5:$Z$86),IF('conversion datos'!$L$30='Patrones LACOMET'!$D$4,LOOKUP(B111,'BLOQUES PATRON (mm)'!$O$5:$O$126,'BLOQUES PATRON (mm)'!$U$5:$U$126),"No existe el patrón")))</f>
        <v/>
      </c>
      <c r="K111" s="677" t="str">
        <f aca="false">IF(B111="","",SQRT((H111^2)+(J111^2)+(I111^2)))</f>
        <v/>
      </c>
      <c r="L111" s="695" t="str">
        <f aca="false">IF(B111="","",$G$4)</f>
        <v/>
      </c>
      <c r="M111" s="695" t="str">
        <f aca="false">IF(B111="","",($G$5))</f>
        <v/>
      </c>
      <c r="N111" s="695" t="str">
        <f aca="false">IF(B111="","",($G$6))</f>
        <v/>
      </c>
      <c r="O111" s="696" t="str">
        <f aca="false">IF(B111="","",(($G$7)))</f>
        <v/>
      </c>
      <c r="P111" s="697" t="str">
        <f aca="false">IF(B111="","",$G$8)</f>
        <v/>
      </c>
      <c r="Q111" s="698" t="str">
        <f aca="false">IF(B111="","",SQRT((L111^2)*(M111^2)+(N111^2)+(O111^2)+(P111^2)))</f>
        <v/>
      </c>
      <c r="R111" s="699" t="str">
        <f aca="false">IF(B111="","",($G$12))</f>
        <v/>
      </c>
      <c r="S111" s="699" t="str">
        <f aca="false">IF(B111="","",($G$13))</f>
        <v/>
      </c>
      <c r="T111" s="700" t="str">
        <f aca="false">IF(B111="","",+$F$14/SQRT(12))</f>
        <v/>
      </c>
      <c r="U111" s="684" t="str">
        <f aca="false">IF(B111="","",(($M$17)/2)*1000)</f>
        <v/>
      </c>
      <c r="V111" s="685" t="str">
        <f aca="false">+IF(B111="","",+$G$15)</f>
        <v/>
      </c>
      <c r="W111" s="685" t="str">
        <f aca="false">+IF(B111="","",+$G$16)</f>
        <v/>
      </c>
      <c r="X111" s="685" t="str">
        <f aca="false">+IF(B111="","",+$G$17)</f>
        <v/>
      </c>
      <c r="Y111" s="686" t="str">
        <f aca="false">+IF(B111="","",K111*$G$9)</f>
        <v/>
      </c>
      <c r="Z111" s="686" t="str">
        <f aca="false">+IF(B111="","",K111*$G$12)</f>
        <v/>
      </c>
      <c r="AA111" s="686" t="str">
        <f aca="false">+IF(B111="","",K111*$G$13)</f>
        <v/>
      </c>
      <c r="AB111" s="686" t="str">
        <f aca="false">+IF(B111="","",K111*T111)</f>
        <v/>
      </c>
      <c r="AC111" s="687" t="str">
        <f aca="false">IF(B111="","",('SENSIBILIDAD 2'!B88^2)*(G111^2))</f>
        <v/>
      </c>
      <c r="AD111" s="688" t="str">
        <f aca="false">IF(B111="","",('SENSIBILIDAD 2'!C88^2)*(K111^2))</f>
        <v/>
      </c>
      <c r="AE111" s="688" t="str">
        <f aca="false">IF(B111="","",'SENSIBILIDAD 2'!D88^2*(R111^2))</f>
        <v/>
      </c>
      <c r="AF111" s="688" t="str">
        <f aca="false">IF(B111="","",'SENSIBILIDAD 2'!E88^2*(S111^2))</f>
        <v/>
      </c>
      <c r="AG111" s="688" t="str">
        <f aca="false">IF(B111="","",'SENSIBILIDAD 2'!F88^2*(T111^2))</f>
        <v/>
      </c>
      <c r="AH111" s="688" t="str">
        <f aca="false">IF(B111="","",(('SENSIBILIDAD 2'!G88)^2)*(Q111^2))</f>
        <v/>
      </c>
      <c r="AI111" s="688" t="str">
        <f aca="false">IF(B111="","",'SENSIBILIDAD 2'!H88^2*(U111^2))</f>
        <v/>
      </c>
      <c r="AJ111" s="688" t="str">
        <f aca="false">IF(B111="","",'SENSIBILIDAD 2'!M88^2*(V111^2))</f>
        <v/>
      </c>
      <c r="AK111" s="688" t="str">
        <f aca="false">IF(B111="","",'SENSIBILIDAD 2'!N88^2*(W111^2))</f>
        <v/>
      </c>
      <c r="AL111" s="688" t="str">
        <f aca="false">IF(B111="","",'SENSIBILIDAD 2'!O88^2*(X111^2))</f>
        <v/>
      </c>
      <c r="AM111" s="688" t="str">
        <f aca="false">IF($B111="","",(Y111^2)*('SENSIBILIDAD 2'!K88^2))</f>
        <v/>
      </c>
      <c r="AN111" s="688" t="str">
        <f aca="false">IF($B111="","",(Z111^2)*('SENSIBILIDAD 2'!I88^2))</f>
        <v/>
      </c>
      <c r="AO111" s="688" t="str">
        <f aca="false">IF($B111="","",(AA111^2)*('SENSIBILIDAD 2'!J88^2))</f>
        <v/>
      </c>
      <c r="AP111" s="688" t="str">
        <f aca="false">IF($B111="","",(AB111^2)*('SENSIBILIDAD 2'!L88^2))</f>
        <v/>
      </c>
      <c r="AQ111" s="689" t="str">
        <f aca="false">IF(B111="","",SQRT(AC111+AD111+AE111+AF111+AG111+AH111+AI111+AJ111+AK111+AL111+AM111+AN111+AO111+AP111))</f>
        <v/>
      </c>
      <c r="AR111" s="701" t="str">
        <f aca="false">IF(B111="","",2*AQ111)</f>
        <v/>
      </c>
      <c r="AS111" s="706" t="str">
        <f aca="false">IF(B111="","",+AR111/1000)</f>
        <v/>
      </c>
      <c r="AT111" s="692" t="str">
        <f aca="false">IF('conversion datos'!$L$30='Patrones LACOMET'!$D$3,(IF(N111="","",AS111*39.37008)),IF('conversion datos'!$L$30='Patrones LACOMET'!$D$4,AS111,"No existe el patrón"))</f>
        <v/>
      </c>
    </row>
    <row r="112" customFormat="false" ht="15.75" hidden="false" customHeight="false" outlineLevel="0" collapsed="false">
      <c r="A112" s="81" t="n">
        <f aca="false">+CALIBRACION!A95</f>
        <v>84</v>
      </c>
      <c r="B112" s="672" t="str">
        <f aca="false">IF(CALIBRACION!H95="","",CALIBRACION!H95)</f>
        <v/>
      </c>
      <c r="C112" s="693" t="str">
        <f aca="false">IF(B112="","",+($F$20)/SQRT((5)))</f>
        <v/>
      </c>
      <c r="D112" s="693" t="str">
        <f aca="false">IF(B112="","",$F$21/SQRT((3)))</f>
        <v/>
      </c>
      <c r="E112" s="693" t="str">
        <f aca="false">IF(B112="","",$F$22/(SQRT(12)))</f>
        <v/>
      </c>
      <c r="F112" s="693" t="str">
        <f aca="false">IF(B112="","",$F$23/(SQRT(3)))</f>
        <v/>
      </c>
      <c r="G112" s="694" t="str">
        <f aca="false">IF(B112="","",(SQRT((+C112^2+D112^2+E112^2+F112^2))/(10^-3)))</f>
        <v/>
      </c>
      <c r="H112" s="675" t="str">
        <f aca="false">IF(B112="","",(IF('conversion datos'!$L$30='Patrones LACOMET'!$D$3,(VLOOKUP(B112,'BLOQUES PATRON (pulg) '!$K$5:$Q$86,6,FALSE())*1000),IF('conversion datos'!$L$30='Patrones LACOMET'!$D$4,(VLOOKUP(B112,'BLOQUES PATRON (mm)'!$D$5:$H$126,5,FALSE())),"No existe el patrón"))))</f>
        <v/>
      </c>
      <c r="I112" s="676" t="str">
        <f aca="false">IF(B112="","",0.42^2)</f>
        <v/>
      </c>
      <c r="J112" s="676" t="str">
        <f aca="false">IF(B112="","",IF('conversion datos'!$L$30='Patrones LACOMET'!$D$3,LOOKUP(B112,'BLOQUES PATRON (pulg) '!$S$5:$S$86,'BLOQUES PATRON (pulg) '!$Z$5:$Z$86),IF('conversion datos'!$L$30='Patrones LACOMET'!$D$4,LOOKUP(B112,'BLOQUES PATRON (mm)'!$O$5:$O$126,'BLOQUES PATRON (mm)'!$U$5:$U$126),"No existe el patrón")))</f>
        <v/>
      </c>
      <c r="K112" s="677" t="str">
        <f aca="false">IF(B112="","",SQRT((H112^2)+(J112^2)+(I112^2)))</f>
        <v/>
      </c>
      <c r="L112" s="695" t="str">
        <f aca="false">IF(B112="","",$G$4)</f>
        <v/>
      </c>
      <c r="M112" s="695" t="str">
        <f aca="false">IF(B112="","",($G$5))</f>
        <v/>
      </c>
      <c r="N112" s="695" t="str">
        <f aca="false">IF(B112="","",($G$6))</f>
        <v/>
      </c>
      <c r="O112" s="696" t="str">
        <f aca="false">IF(B112="","",(($G$7)))</f>
        <v/>
      </c>
      <c r="P112" s="697" t="str">
        <f aca="false">IF(B112="","",$G$8)</f>
        <v/>
      </c>
      <c r="Q112" s="698" t="str">
        <f aca="false">IF(B112="","",SQRT((L112^2)*(M112^2)+(N112^2)+(O112^2)+(P112^2)))</f>
        <v/>
      </c>
      <c r="R112" s="699" t="str">
        <f aca="false">IF(B112="","",($G$12))</f>
        <v/>
      </c>
      <c r="S112" s="699" t="str">
        <f aca="false">IF(B112="","",($G$13))</f>
        <v/>
      </c>
      <c r="T112" s="700" t="str">
        <f aca="false">IF(B112="","",+$F$14/SQRT(12))</f>
        <v/>
      </c>
      <c r="U112" s="684" t="str">
        <f aca="false">IF(B112="","",(($M$17)/2)*1000)</f>
        <v/>
      </c>
      <c r="V112" s="685" t="str">
        <f aca="false">+IF(B112="","",+$G$15)</f>
        <v/>
      </c>
      <c r="W112" s="685" t="str">
        <f aca="false">+IF(B112="","",+$G$16)</f>
        <v/>
      </c>
      <c r="X112" s="685" t="str">
        <f aca="false">+IF(B112="","",+$G$17)</f>
        <v/>
      </c>
      <c r="Y112" s="686" t="str">
        <f aca="false">+IF(B112="","",K112*$G$9)</f>
        <v/>
      </c>
      <c r="Z112" s="686" t="str">
        <f aca="false">+IF(B112="","",K112*$G$12)</f>
        <v/>
      </c>
      <c r="AA112" s="686" t="str">
        <f aca="false">+IF(B112="","",K112*$G$13)</f>
        <v/>
      </c>
      <c r="AB112" s="686" t="str">
        <f aca="false">+IF(B112="","",K112*T112)</f>
        <v/>
      </c>
      <c r="AC112" s="687" t="str">
        <f aca="false">IF(B112="","",('SENSIBILIDAD 2'!B89^2)*(G112^2))</f>
        <v/>
      </c>
      <c r="AD112" s="688" t="str">
        <f aca="false">IF(B112="","",('SENSIBILIDAD 2'!C89^2)*(K112^2))</f>
        <v/>
      </c>
      <c r="AE112" s="688" t="str">
        <f aca="false">IF(B112="","",'SENSIBILIDAD 2'!D89^2*(R112^2))</f>
        <v/>
      </c>
      <c r="AF112" s="688" t="str">
        <f aca="false">IF(B112="","",'SENSIBILIDAD 2'!E89^2*(S112^2))</f>
        <v/>
      </c>
      <c r="AG112" s="688" t="str">
        <f aca="false">IF(B112="","",'SENSIBILIDAD 2'!F89^2*(T112^2))</f>
        <v/>
      </c>
      <c r="AH112" s="688" t="str">
        <f aca="false">IF(B112="","",(('SENSIBILIDAD 2'!G89)^2)*(Q112^2))</f>
        <v/>
      </c>
      <c r="AI112" s="688" t="str">
        <f aca="false">IF(B112="","",'SENSIBILIDAD 2'!H89^2*(U112^2))</f>
        <v/>
      </c>
      <c r="AJ112" s="688" t="str">
        <f aca="false">IF(B112="","",'SENSIBILIDAD 2'!M89^2*(V112^2))</f>
        <v/>
      </c>
      <c r="AK112" s="688" t="str">
        <f aca="false">IF(B112="","",'SENSIBILIDAD 2'!N89^2*(W112^2))</f>
        <v/>
      </c>
      <c r="AL112" s="688" t="str">
        <f aca="false">IF(B112="","",'SENSIBILIDAD 2'!O89^2*(X112^2))</f>
        <v/>
      </c>
      <c r="AM112" s="688" t="str">
        <f aca="false">IF($B112="","",(Y112^2)*('SENSIBILIDAD 2'!K89^2))</f>
        <v/>
      </c>
      <c r="AN112" s="688" t="str">
        <f aca="false">IF($B112="","",(Z112^2)*('SENSIBILIDAD 2'!I89^2))</f>
        <v/>
      </c>
      <c r="AO112" s="688" t="str">
        <f aca="false">IF($B112="","",(AA112^2)*('SENSIBILIDAD 2'!J89^2))</f>
        <v/>
      </c>
      <c r="AP112" s="688" t="str">
        <f aca="false">IF($B112="","",(AB112^2)*('SENSIBILIDAD 2'!L89^2))</f>
        <v/>
      </c>
      <c r="AQ112" s="689" t="str">
        <f aca="false">IF(B112="","",SQRT(AC112+AD112+AE112+AF112+AG112+AH112+AI112+AJ112+AK112+AL112+AM112+AN112+AO112+AP112))</f>
        <v/>
      </c>
      <c r="AR112" s="701" t="str">
        <f aca="false">IF(B112="","",2*AQ112)</f>
        <v/>
      </c>
      <c r="AS112" s="706" t="str">
        <f aca="false">IF(B112="","",+AR112/1000)</f>
        <v/>
      </c>
      <c r="AT112" s="692" t="str">
        <f aca="false">IF('conversion datos'!$L$30='Patrones LACOMET'!$D$3,(IF(N112="","",AS112*39.37008)),IF('conversion datos'!$L$30='Patrones LACOMET'!$D$4,AS112,"No existe el patrón"))</f>
        <v/>
      </c>
    </row>
    <row r="113" customFormat="false" ht="15.75" hidden="false" customHeight="false" outlineLevel="0" collapsed="false">
      <c r="A113" s="81" t="n">
        <f aca="false">+CALIBRACION!A96</f>
        <v>85</v>
      </c>
      <c r="B113" s="672" t="str">
        <f aca="false">IF(CALIBRACION!H96="","",CALIBRACION!H96)</f>
        <v/>
      </c>
      <c r="C113" s="693" t="str">
        <f aca="false">IF(B113="","",+($F$20)/SQRT((5)))</f>
        <v/>
      </c>
      <c r="D113" s="693" t="str">
        <f aca="false">IF(B113="","",$F$21/SQRT((3)))</f>
        <v/>
      </c>
      <c r="E113" s="693" t="str">
        <f aca="false">IF(B113="","",$F$22/(SQRT(12)))</f>
        <v/>
      </c>
      <c r="F113" s="693" t="str">
        <f aca="false">IF(B113="","",$F$23/(SQRT(3)))</f>
        <v/>
      </c>
      <c r="G113" s="694" t="str">
        <f aca="false">IF(B113="","",(SQRT((+C113^2+D113^2+E113^2+F113^2))/(10^-3)))</f>
        <v/>
      </c>
      <c r="H113" s="675" t="str">
        <f aca="false">IF(B113="","",(IF('conversion datos'!$L$30='Patrones LACOMET'!$D$3,(VLOOKUP(B113,'BLOQUES PATRON (pulg) '!$K$5:$Q$86,6,FALSE())*1000),IF('conversion datos'!$L$30='Patrones LACOMET'!$D$4,(VLOOKUP(B113,'BLOQUES PATRON (mm)'!$D$5:$H$126,5,FALSE())),"No existe el patrón"))))</f>
        <v/>
      </c>
      <c r="I113" s="676" t="str">
        <f aca="false">IF(B113="","",0.42^2)</f>
        <v/>
      </c>
      <c r="J113" s="676" t="str">
        <f aca="false">IF(B113="","",IF('conversion datos'!$L$30='Patrones LACOMET'!$D$3,LOOKUP(B113,'BLOQUES PATRON (pulg) '!$S$5:$S$86,'BLOQUES PATRON (pulg) '!$Z$5:$Z$86),IF('conversion datos'!$L$30='Patrones LACOMET'!$D$4,LOOKUP(B113,'BLOQUES PATRON (mm)'!$O$5:$O$126,'BLOQUES PATRON (mm)'!$U$5:$U$126),"No existe el patrón")))</f>
        <v/>
      </c>
      <c r="K113" s="677" t="str">
        <f aca="false">IF(B113="","",SQRT((H113^2)+(J113^2)+(I113^2)))</f>
        <v/>
      </c>
      <c r="L113" s="695" t="str">
        <f aca="false">IF(B113="","",$G$4)</f>
        <v/>
      </c>
      <c r="M113" s="695" t="str">
        <f aca="false">IF(B113="","",($G$5))</f>
        <v/>
      </c>
      <c r="N113" s="695" t="str">
        <f aca="false">IF(B113="","",($G$6))</f>
        <v/>
      </c>
      <c r="O113" s="696" t="str">
        <f aca="false">IF(B113="","",(($G$7)))</f>
        <v/>
      </c>
      <c r="P113" s="697" t="str">
        <f aca="false">IF(B113="","",$G$8)</f>
        <v/>
      </c>
      <c r="Q113" s="698" t="str">
        <f aca="false">IF(B113="","",SQRT((L113^2)*(M113^2)+(N113^2)+(O113^2)+(P113^2)))</f>
        <v/>
      </c>
      <c r="R113" s="699" t="str">
        <f aca="false">IF(B113="","",($G$12))</f>
        <v/>
      </c>
      <c r="S113" s="699" t="str">
        <f aca="false">IF(B113="","",($G$13))</f>
        <v/>
      </c>
      <c r="T113" s="700" t="str">
        <f aca="false">IF(B113="","",+$F$14/SQRT(12))</f>
        <v/>
      </c>
      <c r="U113" s="684" t="str">
        <f aca="false">IF(B113="","",(($M$17)/2)*1000)</f>
        <v/>
      </c>
      <c r="V113" s="685" t="str">
        <f aca="false">+IF(B113="","",+$G$15)</f>
        <v/>
      </c>
      <c r="W113" s="685" t="str">
        <f aca="false">+IF(B113="","",+$G$16)</f>
        <v/>
      </c>
      <c r="X113" s="685" t="str">
        <f aca="false">+IF(B113="","",+$G$17)</f>
        <v/>
      </c>
      <c r="Y113" s="686" t="str">
        <f aca="false">+IF(B113="","",K113*$G$9)</f>
        <v/>
      </c>
      <c r="Z113" s="686" t="str">
        <f aca="false">+IF(B113="","",K113*$G$12)</f>
        <v/>
      </c>
      <c r="AA113" s="686" t="str">
        <f aca="false">+IF(B113="","",K113*$G$13)</f>
        <v/>
      </c>
      <c r="AB113" s="686" t="str">
        <f aca="false">+IF(B113="","",K113*T113)</f>
        <v/>
      </c>
      <c r="AC113" s="687" t="str">
        <f aca="false">IF(B113="","",('SENSIBILIDAD 2'!B90^2)*(G113^2))</f>
        <v/>
      </c>
      <c r="AD113" s="688" t="str">
        <f aca="false">IF(B113="","",('SENSIBILIDAD 2'!C90^2)*(K113^2))</f>
        <v/>
      </c>
      <c r="AE113" s="688" t="str">
        <f aca="false">IF(B113="","",'SENSIBILIDAD 2'!D90^2*(R113^2))</f>
        <v/>
      </c>
      <c r="AF113" s="688" t="str">
        <f aca="false">IF(B113="","",'SENSIBILIDAD 2'!E90^2*(S113^2))</f>
        <v/>
      </c>
      <c r="AG113" s="688" t="str">
        <f aca="false">IF(B113="","",'SENSIBILIDAD 2'!F90^2*(T113^2))</f>
        <v/>
      </c>
      <c r="AH113" s="688" t="str">
        <f aca="false">IF(B113="","",(('SENSIBILIDAD 2'!G90)^2)*(Q113^2))</f>
        <v/>
      </c>
      <c r="AI113" s="688" t="str">
        <f aca="false">IF(B113="","",'SENSIBILIDAD 2'!H90^2*(U113^2))</f>
        <v/>
      </c>
      <c r="AJ113" s="688" t="str">
        <f aca="false">IF(B113="","",'SENSIBILIDAD 2'!M90^2*(V113^2))</f>
        <v/>
      </c>
      <c r="AK113" s="688" t="str">
        <f aca="false">IF(B113="","",'SENSIBILIDAD 2'!N90^2*(W113^2))</f>
        <v/>
      </c>
      <c r="AL113" s="688" t="str">
        <f aca="false">IF(B113="","",'SENSIBILIDAD 2'!O90^2*(X113^2))</f>
        <v/>
      </c>
      <c r="AM113" s="688" t="str">
        <f aca="false">IF($B113="","",(Y113^2)*('SENSIBILIDAD 2'!K90^2))</f>
        <v/>
      </c>
      <c r="AN113" s="688" t="str">
        <f aca="false">IF($B113="","",(Z113^2)*('SENSIBILIDAD 2'!I90^2))</f>
        <v/>
      </c>
      <c r="AO113" s="688" t="str">
        <f aca="false">IF($B113="","",(AA113^2)*('SENSIBILIDAD 2'!J90^2))</f>
        <v/>
      </c>
      <c r="AP113" s="688" t="str">
        <f aca="false">IF($B113="","",(AB113^2)*('SENSIBILIDAD 2'!L90^2))</f>
        <v/>
      </c>
      <c r="AQ113" s="689" t="str">
        <f aca="false">IF(B113="","",SQRT(AC113+AD113+AE113+AF113+AG113+AH113+AI113+AJ113+AK113+AL113+AM113+AN113+AO113+AP113))</f>
        <v/>
      </c>
      <c r="AR113" s="701" t="str">
        <f aca="false">IF(B113="","",2*AQ113)</f>
        <v/>
      </c>
      <c r="AS113" s="706" t="str">
        <f aca="false">IF(B113="","",+AR113/1000)</f>
        <v/>
      </c>
      <c r="AT113" s="692" t="str">
        <f aca="false">IF('conversion datos'!$L$30='Patrones LACOMET'!$D$3,(IF(N113="","",AS113*39.37008)),IF('conversion datos'!$L$30='Patrones LACOMET'!$D$4,AS113,"No existe el patrón"))</f>
        <v/>
      </c>
    </row>
    <row r="114" customFormat="false" ht="15.75" hidden="false" customHeight="false" outlineLevel="0" collapsed="false">
      <c r="A114" s="81" t="n">
        <f aca="false">+CALIBRACION!A97</f>
        <v>86</v>
      </c>
      <c r="B114" s="672" t="str">
        <f aca="false">IF(CALIBRACION!H97="","",CALIBRACION!H97)</f>
        <v/>
      </c>
      <c r="C114" s="693" t="str">
        <f aca="false">IF(B114="","",+($F$20)/SQRT((5)))</f>
        <v/>
      </c>
      <c r="D114" s="693" t="str">
        <f aca="false">IF(B114="","",$F$21/SQRT((3)))</f>
        <v/>
      </c>
      <c r="E114" s="693" t="str">
        <f aca="false">IF(B114="","",$F$22/(SQRT(12)))</f>
        <v/>
      </c>
      <c r="F114" s="693" t="str">
        <f aca="false">IF(B114="","",$F$23/(SQRT(3)))</f>
        <v/>
      </c>
      <c r="G114" s="694" t="str">
        <f aca="false">IF(B114="","",(SQRT((+C114^2+D114^2+E114^2+F114^2))/(10^-3)))</f>
        <v/>
      </c>
      <c r="H114" s="675" t="str">
        <f aca="false">IF(B114="","",(IF('conversion datos'!$L$30='Patrones LACOMET'!$D$3,(VLOOKUP(B114,'BLOQUES PATRON (pulg) '!$K$5:$Q$86,6,FALSE())*1000),IF('conversion datos'!$L$30='Patrones LACOMET'!$D$4,(VLOOKUP(B114,'BLOQUES PATRON (mm)'!$D$5:$H$126,5,FALSE())),"No existe el patrón"))))</f>
        <v/>
      </c>
      <c r="I114" s="676" t="str">
        <f aca="false">IF(B114="","",0.42^2)</f>
        <v/>
      </c>
      <c r="J114" s="676" t="str">
        <f aca="false">IF(B114="","",IF('conversion datos'!$L$30='Patrones LACOMET'!$D$3,LOOKUP(B114,'BLOQUES PATRON (pulg) '!$S$5:$S$86,'BLOQUES PATRON (pulg) '!$Z$5:$Z$86),IF('conversion datos'!$L$30='Patrones LACOMET'!$D$4,LOOKUP(B114,'BLOQUES PATRON (mm)'!$O$5:$O$126,'BLOQUES PATRON (mm)'!$U$5:$U$126),"No existe el patrón")))</f>
        <v/>
      </c>
      <c r="K114" s="677" t="str">
        <f aca="false">IF(B114="","",SQRT((H114^2)+(J114^2)+(I114^2)))</f>
        <v/>
      </c>
      <c r="L114" s="695" t="str">
        <f aca="false">IF(B114="","",$G$4)</f>
        <v/>
      </c>
      <c r="M114" s="695" t="str">
        <f aca="false">IF(B114="","",($G$5))</f>
        <v/>
      </c>
      <c r="N114" s="695" t="str">
        <f aca="false">IF(B114="","",($G$6))</f>
        <v/>
      </c>
      <c r="O114" s="696" t="str">
        <f aca="false">IF(B114="","",(($G$7)))</f>
        <v/>
      </c>
      <c r="P114" s="697" t="str">
        <f aca="false">IF(B114="","",$G$8)</f>
        <v/>
      </c>
      <c r="Q114" s="698" t="str">
        <f aca="false">IF(B114="","",SQRT((L114^2)*(M114^2)+(N114^2)+(O114^2)+(P114^2)))</f>
        <v/>
      </c>
      <c r="R114" s="699" t="str">
        <f aca="false">IF(B114="","",($G$12))</f>
        <v/>
      </c>
      <c r="S114" s="699" t="str">
        <f aca="false">IF(B114="","",($G$13))</f>
        <v/>
      </c>
      <c r="T114" s="700" t="str">
        <f aca="false">IF(B114="","",+$F$14/SQRT(12))</f>
        <v/>
      </c>
      <c r="U114" s="684" t="str">
        <f aca="false">IF(B114="","",(($M$17)/2)*1000)</f>
        <v/>
      </c>
      <c r="V114" s="685" t="str">
        <f aca="false">+IF(B114="","",+$G$15)</f>
        <v/>
      </c>
      <c r="W114" s="685" t="str">
        <f aca="false">+IF(B114="","",+$G$16)</f>
        <v/>
      </c>
      <c r="X114" s="685" t="str">
        <f aca="false">+IF(B114="","",+$G$17)</f>
        <v/>
      </c>
      <c r="Y114" s="686" t="str">
        <f aca="false">+IF(B114="","",K114*$G$9)</f>
        <v/>
      </c>
      <c r="Z114" s="686" t="str">
        <f aca="false">+IF(B114="","",K114*$G$12)</f>
        <v/>
      </c>
      <c r="AA114" s="686" t="str">
        <f aca="false">+IF(B114="","",K114*$G$13)</f>
        <v/>
      </c>
      <c r="AB114" s="686" t="str">
        <f aca="false">+IF(B114="","",K114*T114)</f>
        <v/>
      </c>
      <c r="AC114" s="687" t="str">
        <f aca="false">IF(B114="","",('SENSIBILIDAD 2'!B91^2)*(G114^2))</f>
        <v/>
      </c>
      <c r="AD114" s="688" t="str">
        <f aca="false">IF(B114="","",('SENSIBILIDAD 2'!C91^2)*(K114^2))</f>
        <v/>
      </c>
      <c r="AE114" s="688" t="str">
        <f aca="false">IF(B114="","",'SENSIBILIDAD 2'!D91^2*(R114^2))</f>
        <v/>
      </c>
      <c r="AF114" s="688" t="str">
        <f aca="false">IF(B114="","",'SENSIBILIDAD 2'!E91^2*(S114^2))</f>
        <v/>
      </c>
      <c r="AG114" s="688" t="str">
        <f aca="false">IF(B114="","",'SENSIBILIDAD 2'!F91^2*(T114^2))</f>
        <v/>
      </c>
      <c r="AH114" s="688" t="str">
        <f aca="false">IF(B114="","",(('SENSIBILIDAD 2'!G91)^2)*(Q114^2))</f>
        <v/>
      </c>
      <c r="AI114" s="688" t="str">
        <f aca="false">IF(B114="","",'SENSIBILIDAD 2'!H91^2*(U114^2))</f>
        <v/>
      </c>
      <c r="AJ114" s="688" t="str">
        <f aca="false">IF(B114="","",'SENSIBILIDAD 2'!M91^2*(V114^2))</f>
        <v/>
      </c>
      <c r="AK114" s="688" t="str">
        <f aca="false">IF(B114="","",'SENSIBILIDAD 2'!N91^2*(W114^2))</f>
        <v/>
      </c>
      <c r="AL114" s="688" t="str">
        <f aca="false">IF(B114="","",'SENSIBILIDAD 2'!O91^2*(X114^2))</f>
        <v/>
      </c>
      <c r="AM114" s="688" t="str">
        <f aca="false">IF($B114="","",(Y114^2)*('SENSIBILIDAD 2'!K91^2))</f>
        <v/>
      </c>
      <c r="AN114" s="688" t="str">
        <f aca="false">IF($B114="","",(Z114^2)*('SENSIBILIDAD 2'!I91^2))</f>
        <v/>
      </c>
      <c r="AO114" s="688" t="str">
        <f aca="false">IF($B114="","",(AA114^2)*('SENSIBILIDAD 2'!J91^2))</f>
        <v/>
      </c>
      <c r="AP114" s="688" t="str">
        <f aca="false">IF($B114="","",(AB114^2)*('SENSIBILIDAD 2'!L91^2))</f>
        <v/>
      </c>
      <c r="AQ114" s="689" t="str">
        <f aca="false">IF(B114="","",SQRT(AC114+AD114+AE114+AF114+AG114+AH114+AI114+AJ114+AK114+AL114+AM114+AN114+AO114+AP114))</f>
        <v/>
      </c>
      <c r="AR114" s="701" t="str">
        <f aca="false">IF(B114="","",2*AQ114)</f>
        <v/>
      </c>
      <c r="AS114" s="706" t="str">
        <f aca="false">IF(B114="","",+AR114/1000)</f>
        <v/>
      </c>
      <c r="AT114" s="692" t="str">
        <f aca="false">IF('conversion datos'!$L$30='Patrones LACOMET'!$D$3,(IF(N114="","",AS114*39.37008)),IF('conversion datos'!$L$30='Patrones LACOMET'!$D$4,AS114,"No existe el patrón"))</f>
        <v/>
      </c>
    </row>
    <row r="115" customFormat="false" ht="15.75" hidden="false" customHeight="false" outlineLevel="0" collapsed="false">
      <c r="A115" s="81" t="n">
        <f aca="false">+CALIBRACION!A98</f>
        <v>87</v>
      </c>
      <c r="B115" s="672" t="str">
        <f aca="false">IF(CALIBRACION!H98="","",CALIBRACION!H98)</f>
        <v/>
      </c>
      <c r="C115" s="693" t="str">
        <f aca="false">IF(B115="","",+($F$20)/SQRT((5)))</f>
        <v/>
      </c>
      <c r="D115" s="693" t="str">
        <f aca="false">IF(B115="","",$F$21/SQRT((3)))</f>
        <v/>
      </c>
      <c r="E115" s="693" t="str">
        <f aca="false">IF(B115="","",$F$22/(SQRT(12)))</f>
        <v/>
      </c>
      <c r="F115" s="693" t="str">
        <f aca="false">IF(B115="","",$F$23/(SQRT(3)))</f>
        <v/>
      </c>
      <c r="G115" s="694" t="str">
        <f aca="false">IF(B115="","",(SQRT((+C115^2+D115^2+E115^2+F115^2))/(10^-3)))</f>
        <v/>
      </c>
      <c r="H115" s="675" t="str">
        <f aca="false">IF(B115="","",(IF('conversion datos'!$L$30='Patrones LACOMET'!$D$3,(VLOOKUP(B115,'BLOQUES PATRON (pulg) '!$K$5:$Q$86,6,FALSE())*1000),IF('conversion datos'!$L$30='Patrones LACOMET'!$D$4,(VLOOKUP(B115,'BLOQUES PATRON (mm)'!$D$5:$H$126,5,FALSE())),"No existe el patrón"))))</f>
        <v/>
      </c>
      <c r="I115" s="676" t="str">
        <f aca="false">IF(B115="","",0.42^2)</f>
        <v/>
      </c>
      <c r="J115" s="676" t="str">
        <f aca="false">IF(B115="","",IF('conversion datos'!$L$30='Patrones LACOMET'!$D$3,LOOKUP(B115,'BLOQUES PATRON (pulg) '!$S$5:$S$86,'BLOQUES PATRON (pulg) '!$Z$5:$Z$86),IF('conversion datos'!$L$30='Patrones LACOMET'!$D$4,LOOKUP(B115,'BLOQUES PATRON (mm)'!$O$5:$O$126,'BLOQUES PATRON (mm)'!$U$5:$U$126),"No existe el patrón")))</f>
        <v/>
      </c>
      <c r="K115" s="677" t="str">
        <f aca="false">IF(B115="","",SQRT((H115^2)+(J115^2)+(I115^2)))</f>
        <v/>
      </c>
      <c r="L115" s="695" t="str">
        <f aca="false">IF(B115="","",$G$4)</f>
        <v/>
      </c>
      <c r="M115" s="695" t="str">
        <f aca="false">IF(B115="","",($G$5))</f>
        <v/>
      </c>
      <c r="N115" s="695" t="str">
        <f aca="false">IF(B115="","",($G$6))</f>
        <v/>
      </c>
      <c r="O115" s="696" t="str">
        <f aca="false">IF(B115="","",(($G$7)))</f>
        <v/>
      </c>
      <c r="P115" s="697" t="str">
        <f aca="false">IF(B115="","",$G$8)</f>
        <v/>
      </c>
      <c r="Q115" s="698" t="str">
        <f aca="false">IF(B115="","",SQRT((L115^2)*(M115^2)+(N115^2)+(O115^2)+(P115^2)))</f>
        <v/>
      </c>
      <c r="R115" s="699" t="str">
        <f aca="false">IF(B115="","",($G$12))</f>
        <v/>
      </c>
      <c r="S115" s="699" t="str">
        <f aca="false">IF(B115="","",($G$13))</f>
        <v/>
      </c>
      <c r="T115" s="700" t="str">
        <f aca="false">IF(B115="","",+$F$14/SQRT(12))</f>
        <v/>
      </c>
      <c r="U115" s="684" t="str">
        <f aca="false">IF(B115="","",(($M$17)/2)*1000)</f>
        <v/>
      </c>
      <c r="V115" s="685" t="str">
        <f aca="false">+IF(B115="","",+$G$15)</f>
        <v/>
      </c>
      <c r="W115" s="685" t="str">
        <f aca="false">+IF(B115="","",+$G$16)</f>
        <v/>
      </c>
      <c r="X115" s="685" t="str">
        <f aca="false">+IF(B115="","",+$G$17)</f>
        <v/>
      </c>
      <c r="Y115" s="686" t="str">
        <f aca="false">+IF(B115="","",K115*$G$9)</f>
        <v/>
      </c>
      <c r="Z115" s="686" t="str">
        <f aca="false">+IF(B115="","",K115*$G$12)</f>
        <v/>
      </c>
      <c r="AA115" s="686" t="str">
        <f aca="false">+IF(B115="","",K115*$G$13)</f>
        <v/>
      </c>
      <c r="AB115" s="686" t="str">
        <f aca="false">+IF(B115="","",K115*T115)</f>
        <v/>
      </c>
      <c r="AC115" s="687" t="str">
        <f aca="false">IF(B115="","",('SENSIBILIDAD 2'!B92^2)*(G115^2))</f>
        <v/>
      </c>
      <c r="AD115" s="688" t="str">
        <f aca="false">IF(B115="","",('SENSIBILIDAD 2'!C92^2)*(K115^2))</f>
        <v/>
      </c>
      <c r="AE115" s="688" t="str">
        <f aca="false">IF(B115="","",'SENSIBILIDAD 2'!D92^2*(R115^2))</f>
        <v/>
      </c>
      <c r="AF115" s="688" t="str">
        <f aca="false">IF(B115="","",'SENSIBILIDAD 2'!E92^2*(S115^2))</f>
        <v/>
      </c>
      <c r="AG115" s="688" t="str">
        <f aca="false">IF(B115="","",'SENSIBILIDAD 2'!F92^2*(T115^2))</f>
        <v/>
      </c>
      <c r="AH115" s="688" t="str">
        <f aca="false">IF(B115="","",(('SENSIBILIDAD 2'!G92)^2)*(Q115^2))</f>
        <v/>
      </c>
      <c r="AI115" s="688" t="str">
        <f aca="false">IF(B115="","",'SENSIBILIDAD 2'!H92^2*(U115^2))</f>
        <v/>
      </c>
      <c r="AJ115" s="688" t="str">
        <f aca="false">IF(B115="","",'SENSIBILIDAD 2'!M92^2*(V115^2))</f>
        <v/>
      </c>
      <c r="AK115" s="688" t="str">
        <f aca="false">IF(B115="","",'SENSIBILIDAD 2'!N92^2*(W115^2))</f>
        <v/>
      </c>
      <c r="AL115" s="688" t="str">
        <f aca="false">IF(B115="","",'SENSIBILIDAD 2'!O92^2*(X115^2))</f>
        <v/>
      </c>
      <c r="AM115" s="688" t="str">
        <f aca="false">IF($B115="","",(Y115^2)*('SENSIBILIDAD 2'!K92^2))</f>
        <v/>
      </c>
      <c r="AN115" s="688" t="str">
        <f aca="false">IF($B115="","",(Z115^2)*('SENSIBILIDAD 2'!I92^2))</f>
        <v/>
      </c>
      <c r="AO115" s="688" t="str">
        <f aca="false">IF($B115="","",(AA115^2)*('SENSIBILIDAD 2'!J92^2))</f>
        <v/>
      </c>
      <c r="AP115" s="688" t="str">
        <f aca="false">IF($B115="","",(AB115^2)*('SENSIBILIDAD 2'!L92^2))</f>
        <v/>
      </c>
      <c r="AQ115" s="689" t="str">
        <f aca="false">IF(B115="","",SQRT(AC115+AD115+AE115+AF115+AG115+AH115+AI115+AJ115+AK115+AL115+AM115+AN115+AO115+AP115))</f>
        <v/>
      </c>
      <c r="AR115" s="701" t="str">
        <f aca="false">IF(B115="","",2*AQ115)</f>
        <v/>
      </c>
      <c r="AS115" s="706" t="str">
        <f aca="false">IF(B115="","",+AR115/1000)</f>
        <v/>
      </c>
      <c r="AT115" s="692" t="str">
        <f aca="false">IF('conversion datos'!$L$30='Patrones LACOMET'!$D$3,(IF(N115="","",AS115*39.37008)),IF('conversion datos'!$L$30='Patrones LACOMET'!$D$4,AS115,"No existe el patrón"))</f>
        <v/>
      </c>
    </row>
    <row r="116" customFormat="false" ht="15.75" hidden="false" customHeight="false" outlineLevel="0" collapsed="false">
      <c r="A116" s="81" t="n">
        <f aca="false">+CALIBRACION!A99</f>
        <v>88</v>
      </c>
      <c r="B116" s="672" t="str">
        <f aca="false">IF(CALIBRACION!H99="","",CALIBRACION!H99)</f>
        <v/>
      </c>
      <c r="C116" s="693" t="str">
        <f aca="false">IF(B116="","",+($F$20)/SQRT((5)))</f>
        <v/>
      </c>
      <c r="D116" s="693" t="str">
        <f aca="false">IF(B116="","",$F$21/SQRT((3)))</f>
        <v/>
      </c>
      <c r="E116" s="693" t="str">
        <f aca="false">IF(B116="","",$F$22/(SQRT(12)))</f>
        <v/>
      </c>
      <c r="F116" s="693" t="str">
        <f aca="false">IF(B116="","",$F$23/(SQRT(3)))</f>
        <v/>
      </c>
      <c r="G116" s="694" t="str">
        <f aca="false">IF(B116="","",(SQRT((+C116^2+D116^2+E116^2+F116^2))/(10^-3)))</f>
        <v/>
      </c>
      <c r="H116" s="675" t="str">
        <f aca="false">IF(B116="","",(IF('conversion datos'!$L$30='Patrones LACOMET'!$D$3,(VLOOKUP(B116,'BLOQUES PATRON (pulg) '!$K$5:$Q$86,6,FALSE())*1000),IF('conversion datos'!$L$30='Patrones LACOMET'!$D$4,(VLOOKUP(B116,'BLOQUES PATRON (mm)'!$D$5:$H$126,5,FALSE())),"No existe el patrón"))))</f>
        <v/>
      </c>
      <c r="I116" s="676" t="str">
        <f aca="false">IF(B116="","",0.42^2)</f>
        <v/>
      </c>
      <c r="J116" s="676" t="str">
        <f aca="false">IF(B116="","",IF('conversion datos'!$L$30='Patrones LACOMET'!$D$3,LOOKUP(B116,'BLOQUES PATRON (pulg) '!$S$5:$S$86,'BLOQUES PATRON (pulg) '!$Z$5:$Z$86),IF('conversion datos'!$L$30='Patrones LACOMET'!$D$4,LOOKUP(B116,'BLOQUES PATRON (mm)'!$O$5:$O$126,'BLOQUES PATRON (mm)'!$U$5:$U$126),"No existe el patrón")))</f>
        <v/>
      </c>
      <c r="K116" s="677" t="str">
        <f aca="false">IF(B116="","",SQRT((H116^2)+(J116^2)+(I116^2)))</f>
        <v/>
      </c>
      <c r="L116" s="695" t="str">
        <f aca="false">IF(B116="","",$G$4)</f>
        <v/>
      </c>
      <c r="M116" s="695" t="str">
        <f aca="false">IF(B116="","",($G$5))</f>
        <v/>
      </c>
      <c r="N116" s="695" t="str">
        <f aca="false">IF(B116="","",($G$6))</f>
        <v/>
      </c>
      <c r="O116" s="696" t="str">
        <f aca="false">IF(B116="","",(($G$7)))</f>
        <v/>
      </c>
      <c r="P116" s="697" t="str">
        <f aca="false">IF(B116="","",$G$8)</f>
        <v/>
      </c>
      <c r="Q116" s="698" t="str">
        <f aca="false">IF(B116="","",SQRT((L116^2)*(M116^2)+(N116^2)+(O116^2)+(P116^2)))</f>
        <v/>
      </c>
      <c r="R116" s="699" t="str">
        <f aca="false">IF(B116="","",($G$12))</f>
        <v/>
      </c>
      <c r="S116" s="699" t="str">
        <f aca="false">IF(B116="","",($G$13))</f>
        <v/>
      </c>
      <c r="T116" s="700" t="str">
        <f aca="false">IF(B116="","",+$F$14/SQRT(12))</f>
        <v/>
      </c>
      <c r="U116" s="684" t="str">
        <f aca="false">IF(B116="","",(($M$17)/2)*1000)</f>
        <v/>
      </c>
      <c r="V116" s="685" t="str">
        <f aca="false">+IF(B116="","",+$G$15)</f>
        <v/>
      </c>
      <c r="W116" s="685" t="str">
        <f aca="false">+IF(B116="","",+$G$16)</f>
        <v/>
      </c>
      <c r="X116" s="685" t="str">
        <f aca="false">+IF(B116="","",+$G$17)</f>
        <v/>
      </c>
      <c r="Y116" s="686" t="str">
        <f aca="false">+IF(B116="","",K116*$G$9)</f>
        <v/>
      </c>
      <c r="Z116" s="686" t="str">
        <f aca="false">+IF(B116="","",K116*$G$12)</f>
        <v/>
      </c>
      <c r="AA116" s="686" t="str">
        <f aca="false">+IF(B116="","",K116*$G$13)</f>
        <v/>
      </c>
      <c r="AB116" s="686" t="str">
        <f aca="false">+IF(B116="","",K116*T116)</f>
        <v/>
      </c>
      <c r="AC116" s="687" t="str">
        <f aca="false">IF(B116="","",('SENSIBILIDAD 2'!B93^2)*(G116^2))</f>
        <v/>
      </c>
      <c r="AD116" s="688" t="str">
        <f aca="false">IF(B116="","",('SENSIBILIDAD 2'!C93^2)*(K116^2))</f>
        <v/>
      </c>
      <c r="AE116" s="688" t="str">
        <f aca="false">IF(B116="","",'SENSIBILIDAD 2'!D93^2*(R116^2))</f>
        <v/>
      </c>
      <c r="AF116" s="688" t="str">
        <f aca="false">IF(B116="","",'SENSIBILIDAD 2'!E93^2*(S116^2))</f>
        <v/>
      </c>
      <c r="AG116" s="688" t="str">
        <f aca="false">IF(B116="","",'SENSIBILIDAD 2'!F93^2*(T116^2))</f>
        <v/>
      </c>
      <c r="AH116" s="688" t="str">
        <f aca="false">IF(B116="","",(('SENSIBILIDAD 2'!G93)^2)*(Q116^2))</f>
        <v/>
      </c>
      <c r="AI116" s="688" t="str">
        <f aca="false">IF(B116="","",'SENSIBILIDAD 2'!H93^2*(U116^2))</f>
        <v/>
      </c>
      <c r="AJ116" s="688" t="str">
        <f aca="false">IF(B116="","",'SENSIBILIDAD 2'!M93^2*(V116^2))</f>
        <v/>
      </c>
      <c r="AK116" s="688" t="str">
        <f aca="false">IF(B116="","",'SENSIBILIDAD 2'!N93^2*(W116^2))</f>
        <v/>
      </c>
      <c r="AL116" s="688" t="str">
        <f aca="false">IF(B116="","",'SENSIBILIDAD 2'!O93^2*(X116^2))</f>
        <v/>
      </c>
      <c r="AM116" s="688" t="str">
        <f aca="false">IF($B116="","",(Y116^2)*('SENSIBILIDAD 2'!K93^2))</f>
        <v/>
      </c>
      <c r="AN116" s="688" t="str">
        <f aca="false">IF($B116="","",(Z116^2)*('SENSIBILIDAD 2'!I93^2))</f>
        <v/>
      </c>
      <c r="AO116" s="688" t="str">
        <f aca="false">IF($B116="","",(AA116^2)*('SENSIBILIDAD 2'!J93^2))</f>
        <v/>
      </c>
      <c r="AP116" s="688" t="str">
        <f aca="false">IF($B116="","",(AB116^2)*('SENSIBILIDAD 2'!L93^2))</f>
        <v/>
      </c>
      <c r="AQ116" s="689" t="str">
        <f aca="false">IF(B116="","",SQRT(AC116+AD116+AE116+AF116+AG116+AH116+AI116+AJ116+AK116+AL116+AM116+AN116+AO116+AP116))</f>
        <v/>
      </c>
      <c r="AR116" s="701" t="str">
        <f aca="false">IF(B116="","",2*AQ116)</f>
        <v/>
      </c>
      <c r="AS116" s="706" t="str">
        <f aca="false">IF(B116="","",+AR116/1000)</f>
        <v/>
      </c>
      <c r="AT116" s="692" t="str">
        <f aca="false">IF('conversion datos'!$L$30='Patrones LACOMET'!$D$3,(IF(N116="","",AS116*39.37008)),IF('conversion datos'!$L$30='Patrones LACOMET'!$D$4,AS116,"No existe el patrón"))</f>
        <v/>
      </c>
    </row>
    <row r="117" customFormat="false" ht="15.75" hidden="false" customHeight="false" outlineLevel="0" collapsed="false">
      <c r="A117" s="81" t="n">
        <f aca="false">+CALIBRACION!A100</f>
        <v>89</v>
      </c>
      <c r="B117" s="672" t="str">
        <f aca="false">IF(CALIBRACION!H100="","",CALIBRACION!H100)</f>
        <v/>
      </c>
      <c r="C117" s="693" t="str">
        <f aca="false">IF(B117="","",+($F$20)/SQRT((5)))</f>
        <v/>
      </c>
      <c r="D117" s="693" t="str">
        <f aca="false">IF(B117="","",$F$21/SQRT((3)))</f>
        <v/>
      </c>
      <c r="E117" s="693" t="str">
        <f aca="false">IF(B117="","",$F$22/(SQRT(12)))</f>
        <v/>
      </c>
      <c r="F117" s="693" t="str">
        <f aca="false">IF(B117="","",$F$23/(SQRT(3)))</f>
        <v/>
      </c>
      <c r="G117" s="694" t="str">
        <f aca="false">IF(B117="","",(SQRT((+C117^2+D117^2+E117^2+F117^2))/(10^-3)))</f>
        <v/>
      </c>
      <c r="H117" s="675" t="str">
        <f aca="false">IF(B117="","",(IF('conversion datos'!$L$30='Patrones LACOMET'!$D$3,(VLOOKUP(B117,'BLOQUES PATRON (pulg) '!$K$5:$Q$86,6,FALSE())*1000),IF('conversion datos'!$L$30='Patrones LACOMET'!$D$4,(VLOOKUP(B117,'BLOQUES PATRON (mm)'!$D$5:$H$126,5,FALSE())),"No existe el patrón"))))</f>
        <v/>
      </c>
      <c r="I117" s="676" t="str">
        <f aca="false">IF(B117="","",0.42^2)</f>
        <v/>
      </c>
      <c r="J117" s="676" t="str">
        <f aca="false">IF(B117="","",IF('conversion datos'!$L$30='Patrones LACOMET'!$D$3,LOOKUP(B117,'BLOQUES PATRON (pulg) '!$S$5:$S$86,'BLOQUES PATRON (pulg) '!$Z$5:$Z$86),IF('conversion datos'!$L$30='Patrones LACOMET'!$D$4,LOOKUP(B117,'BLOQUES PATRON (mm)'!$O$5:$O$126,'BLOQUES PATRON (mm)'!$U$5:$U$126),"No existe el patrón")))</f>
        <v/>
      </c>
      <c r="K117" s="677" t="str">
        <f aca="false">IF(B117="","",SQRT((H117^2)+(J117^2)+(I117^2)))</f>
        <v/>
      </c>
      <c r="L117" s="695" t="str">
        <f aca="false">IF(B117="","",$G$4)</f>
        <v/>
      </c>
      <c r="M117" s="695" t="str">
        <f aca="false">IF(B117="","",($G$5))</f>
        <v/>
      </c>
      <c r="N117" s="695" t="str">
        <f aca="false">IF(B117="","",($G$6))</f>
        <v/>
      </c>
      <c r="O117" s="696" t="str">
        <f aca="false">IF(B117="","",(($G$7)))</f>
        <v/>
      </c>
      <c r="P117" s="697" t="str">
        <f aca="false">IF(B117="","",$G$8)</f>
        <v/>
      </c>
      <c r="Q117" s="698" t="str">
        <f aca="false">IF(B117="","",SQRT((L117^2)*(M117^2)+(N117^2)+(O117^2)+(P117^2)))</f>
        <v/>
      </c>
      <c r="R117" s="699" t="str">
        <f aca="false">IF(B117="","",($G$12))</f>
        <v/>
      </c>
      <c r="S117" s="699" t="str">
        <f aca="false">IF(B117="","",($G$13))</f>
        <v/>
      </c>
      <c r="T117" s="700" t="str">
        <f aca="false">IF(B117="","",+$F$14/SQRT(12))</f>
        <v/>
      </c>
      <c r="U117" s="684" t="str">
        <f aca="false">IF(B117="","",(($M$17)/2)*1000)</f>
        <v/>
      </c>
      <c r="V117" s="685" t="str">
        <f aca="false">+IF(B117="","",+$G$15)</f>
        <v/>
      </c>
      <c r="W117" s="685" t="str">
        <f aca="false">+IF(B117="","",+$G$16)</f>
        <v/>
      </c>
      <c r="X117" s="685" t="str">
        <f aca="false">+IF(B117="","",+$G$17)</f>
        <v/>
      </c>
      <c r="Y117" s="686" t="str">
        <f aca="false">+IF(B117="","",K117*$G$9)</f>
        <v/>
      </c>
      <c r="Z117" s="686" t="str">
        <f aca="false">+IF(B117="","",K117*$G$12)</f>
        <v/>
      </c>
      <c r="AA117" s="686" t="str">
        <f aca="false">+IF(B117="","",K117*$G$13)</f>
        <v/>
      </c>
      <c r="AB117" s="686" t="str">
        <f aca="false">+IF(B117="","",K117*T117)</f>
        <v/>
      </c>
      <c r="AC117" s="687" t="str">
        <f aca="false">IF(B117="","",('SENSIBILIDAD 2'!B94^2)*(G117^2))</f>
        <v/>
      </c>
      <c r="AD117" s="688" t="str">
        <f aca="false">IF(B117="","",('SENSIBILIDAD 2'!C94^2)*(K117^2))</f>
        <v/>
      </c>
      <c r="AE117" s="688" t="str">
        <f aca="false">IF(B117="","",'SENSIBILIDAD 2'!D94^2*(R117^2))</f>
        <v/>
      </c>
      <c r="AF117" s="688" t="str">
        <f aca="false">IF(B117="","",'SENSIBILIDAD 2'!E94^2*(S117^2))</f>
        <v/>
      </c>
      <c r="AG117" s="688" t="str">
        <f aca="false">IF(B117="","",'SENSIBILIDAD 2'!F94^2*(T117^2))</f>
        <v/>
      </c>
      <c r="AH117" s="688" t="str">
        <f aca="false">IF(B117="","",(('SENSIBILIDAD 2'!G94)^2)*(Q117^2))</f>
        <v/>
      </c>
      <c r="AI117" s="688" t="str">
        <f aca="false">IF(B117="","",'SENSIBILIDAD 2'!H94^2*(U117^2))</f>
        <v/>
      </c>
      <c r="AJ117" s="688" t="str">
        <f aca="false">IF(B117="","",'SENSIBILIDAD 2'!M94^2*(V117^2))</f>
        <v/>
      </c>
      <c r="AK117" s="688" t="str">
        <f aca="false">IF(B117="","",'SENSIBILIDAD 2'!N94^2*(W117^2))</f>
        <v/>
      </c>
      <c r="AL117" s="688" t="str">
        <f aca="false">IF(B117="","",'SENSIBILIDAD 2'!O94^2*(X117^2))</f>
        <v/>
      </c>
      <c r="AM117" s="688" t="str">
        <f aca="false">IF($B117="","",(Y117^2)*('SENSIBILIDAD 2'!K94^2))</f>
        <v/>
      </c>
      <c r="AN117" s="688" t="str">
        <f aca="false">IF($B117="","",(Z117^2)*('SENSIBILIDAD 2'!I94^2))</f>
        <v/>
      </c>
      <c r="AO117" s="688" t="str">
        <f aca="false">IF($B117="","",(AA117^2)*('SENSIBILIDAD 2'!J94^2))</f>
        <v/>
      </c>
      <c r="AP117" s="688" t="str">
        <f aca="false">IF($B117="","",(AB117^2)*('SENSIBILIDAD 2'!L94^2))</f>
        <v/>
      </c>
      <c r="AQ117" s="689" t="str">
        <f aca="false">IF(B117="","",SQRT(AC117+AD117+AE117+AF117+AG117+AH117+AI117+AJ117+AK117+AL117+AM117+AN117+AO117+AP117))</f>
        <v/>
      </c>
      <c r="AR117" s="701" t="str">
        <f aca="false">IF(B117="","",2*AQ117)</f>
        <v/>
      </c>
      <c r="AS117" s="706" t="str">
        <f aca="false">IF(B117="","",+AR117/1000)</f>
        <v/>
      </c>
      <c r="AT117" s="692" t="str">
        <f aca="false">IF('conversion datos'!$L$30='Patrones LACOMET'!$D$3,(IF(N117="","",AS117*39.37008)),IF('conversion datos'!$L$30='Patrones LACOMET'!$D$4,AS117,"No existe el patrón"))</f>
        <v/>
      </c>
    </row>
    <row r="118" customFormat="false" ht="15.75" hidden="false" customHeight="false" outlineLevel="0" collapsed="false">
      <c r="A118" s="81" t="n">
        <f aca="false">+CALIBRACION!A101</f>
        <v>90</v>
      </c>
      <c r="B118" s="672" t="str">
        <f aca="false">IF(CALIBRACION!H101="","",CALIBRACION!H101)</f>
        <v/>
      </c>
      <c r="C118" s="693" t="str">
        <f aca="false">IF(B118="","",+($F$20)/SQRT((5)))</f>
        <v/>
      </c>
      <c r="D118" s="693" t="str">
        <f aca="false">IF(B118="","",$F$21/SQRT((3)))</f>
        <v/>
      </c>
      <c r="E118" s="693" t="str">
        <f aca="false">IF(B118="","",$F$22/(SQRT(12)))</f>
        <v/>
      </c>
      <c r="F118" s="693" t="str">
        <f aca="false">IF(B118="","",$F$23/(SQRT(3)))</f>
        <v/>
      </c>
      <c r="G118" s="694" t="str">
        <f aca="false">IF(B118="","",(SQRT((+C118^2+D118^2+E118^2+F118^2))/(10^-3)))</f>
        <v/>
      </c>
      <c r="H118" s="675" t="str">
        <f aca="false">IF(B118="","",(IF('conversion datos'!$L$30='Patrones LACOMET'!$D$3,(VLOOKUP(B118,'BLOQUES PATRON (pulg) '!$K$5:$Q$86,6,FALSE())*1000),IF('conversion datos'!$L$30='Patrones LACOMET'!$D$4,(VLOOKUP(B118,'BLOQUES PATRON (mm)'!$D$5:$H$126,5,FALSE())),"No existe el patrón"))))</f>
        <v/>
      </c>
      <c r="I118" s="676" t="str">
        <f aca="false">IF(B118="","",0.42^2)</f>
        <v/>
      </c>
      <c r="J118" s="676" t="str">
        <f aca="false">IF(B118="","",IF('conversion datos'!$L$30='Patrones LACOMET'!$D$3,LOOKUP(B118,'BLOQUES PATRON (pulg) '!$S$5:$S$86,'BLOQUES PATRON (pulg) '!$Z$5:$Z$86),IF('conversion datos'!$L$30='Patrones LACOMET'!$D$4,LOOKUP(B118,'BLOQUES PATRON (mm)'!$O$5:$O$126,'BLOQUES PATRON (mm)'!$U$5:$U$126),"No existe el patrón")))</f>
        <v/>
      </c>
      <c r="K118" s="677" t="str">
        <f aca="false">IF(B118="","",SQRT((H118^2)+(J118^2)+(I118^2)))</f>
        <v/>
      </c>
      <c r="L118" s="695" t="str">
        <f aca="false">IF(B118="","",$G$4)</f>
        <v/>
      </c>
      <c r="M118" s="695" t="str">
        <f aca="false">IF(B118="","",($G$5))</f>
        <v/>
      </c>
      <c r="N118" s="695" t="str">
        <f aca="false">IF(B118="","",($G$6))</f>
        <v/>
      </c>
      <c r="O118" s="696" t="str">
        <f aca="false">IF(B118="","",(($G$7)))</f>
        <v/>
      </c>
      <c r="P118" s="697" t="str">
        <f aca="false">IF(B118="","",$G$8)</f>
        <v/>
      </c>
      <c r="Q118" s="698" t="str">
        <f aca="false">IF(B118="","",SQRT((L118^2)*(M118^2)+(N118^2)+(O118^2)+(P118^2)))</f>
        <v/>
      </c>
      <c r="R118" s="699" t="str">
        <f aca="false">IF(B118="","",($G$12))</f>
        <v/>
      </c>
      <c r="S118" s="699" t="str">
        <f aca="false">IF(B118="","",($G$13))</f>
        <v/>
      </c>
      <c r="T118" s="700" t="str">
        <f aca="false">IF(B118="","",+$F$14/SQRT(12))</f>
        <v/>
      </c>
      <c r="U118" s="684" t="str">
        <f aca="false">IF(B118="","",(($M$17)/2)*1000)</f>
        <v/>
      </c>
      <c r="V118" s="685" t="str">
        <f aca="false">+IF(B118="","",+$G$15)</f>
        <v/>
      </c>
      <c r="W118" s="685" t="str">
        <f aca="false">+IF(B118="","",+$G$16)</f>
        <v/>
      </c>
      <c r="X118" s="685" t="str">
        <f aca="false">+IF(B118="","",+$G$17)</f>
        <v/>
      </c>
      <c r="Y118" s="686" t="str">
        <f aca="false">+IF(B118="","",K118*$G$9)</f>
        <v/>
      </c>
      <c r="Z118" s="686" t="str">
        <f aca="false">+IF(B118="","",K118*$G$12)</f>
        <v/>
      </c>
      <c r="AA118" s="686" t="str">
        <f aca="false">+IF(B118="","",K118*$G$13)</f>
        <v/>
      </c>
      <c r="AB118" s="686" t="str">
        <f aca="false">+IF(B118="","",K118*T118)</f>
        <v/>
      </c>
      <c r="AC118" s="687" t="str">
        <f aca="false">IF(B118="","",('SENSIBILIDAD 2'!B95^2)*(G118^2))</f>
        <v/>
      </c>
      <c r="AD118" s="688" t="str">
        <f aca="false">IF(B118="","",('SENSIBILIDAD 2'!C95^2)*(K118^2))</f>
        <v/>
      </c>
      <c r="AE118" s="688" t="str">
        <f aca="false">IF(B118="","",'SENSIBILIDAD 2'!D95^2*(R118^2))</f>
        <v/>
      </c>
      <c r="AF118" s="688" t="str">
        <f aca="false">IF(B118="","",'SENSIBILIDAD 2'!E95^2*(S118^2))</f>
        <v/>
      </c>
      <c r="AG118" s="688" t="str">
        <f aca="false">IF(B118="","",'SENSIBILIDAD 2'!F95^2*(T118^2))</f>
        <v/>
      </c>
      <c r="AH118" s="688" t="str">
        <f aca="false">IF(B118="","",(('SENSIBILIDAD 2'!G95)^2)*(Q118^2))</f>
        <v/>
      </c>
      <c r="AI118" s="688" t="str">
        <f aca="false">IF(B118="","",'SENSIBILIDAD 2'!H95^2*(U118^2))</f>
        <v/>
      </c>
      <c r="AJ118" s="688" t="str">
        <f aca="false">IF(B118="","",'SENSIBILIDAD 2'!M95^2*(V118^2))</f>
        <v/>
      </c>
      <c r="AK118" s="688" t="str">
        <f aca="false">IF(B118="","",'SENSIBILIDAD 2'!N95^2*(W118^2))</f>
        <v/>
      </c>
      <c r="AL118" s="688" t="str">
        <f aca="false">IF(B118="","",'SENSIBILIDAD 2'!O95^2*(X118^2))</f>
        <v/>
      </c>
      <c r="AM118" s="688" t="str">
        <f aca="false">IF($B118="","",(Y118^2)*('SENSIBILIDAD 2'!K95^2))</f>
        <v/>
      </c>
      <c r="AN118" s="688" t="str">
        <f aca="false">IF($B118="","",(Z118^2)*('SENSIBILIDAD 2'!I95^2))</f>
        <v/>
      </c>
      <c r="AO118" s="688" t="str">
        <f aca="false">IF($B118="","",(AA118^2)*('SENSIBILIDAD 2'!J95^2))</f>
        <v/>
      </c>
      <c r="AP118" s="688" t="str">
        <f aca="false">IF($B118="","",(AB118^2)*('SENSIBILIDAD 2'!L95^2))</f>
        <v/>
      </c>
      <c r="AQ118" s="689" t="str">
        <f aca="false">IF(B118="","",SQRT(AC118+AD118+AE118+AF118+AG118+AH118+AI118+AJ118+AK118+AL118+AM118+AN118+AO118+AP118))</f>
        <v/>
      </c>
      <c r="AR118" s="701" t="str">
        <f aca="false">IF(B118="","",2*AQ118)</f>
        <v/>
      </c>
      <c r="AS118" s="706" t="str">
        <f aca="false">IF(B118="","",+AR118/1000)</f>
        <v/>
      </c>
      <c r="AT118" s="692" t="str">
        <f aca="false">IF('conversion datos'!$L$30='Patrones LACOMET'!$D$3,(IF(N118="","",AS118*39.37008)),IF('conversion datos'!$L$30='Patrones LACOMET'!$D$4,AS118,"No existe el patrón"))</f>
        <v/>
      </c>
    </row>
    <row r="119" customFormat="false" ht="15.75" hidden="false" customHeight="false" outlineLevel="0" collapsed="false">
      <c r="A119" s="81" t="n">
        <f aca="false">+CALIBRACION!A102</f>
        <v>91</v>
      </c>
      <c r="B119" s="672" t="str">
        <f aca="false">IF(CALIBRACION!H102="","",CALIBRACION!H102)</f>
        <v/>
      </c>
      <c r="C119" s="693" t="str">
        <f aca="false">IF(B119="","",+($F$20)/SQRT((5)))</f>
        <v/>
      </c>
      <c r="D119" s="693" t="str">
        <f aca="false">IF(B119="","",$F$21/SQRT((3)))</f>
        <v/>
      </c>
      <c r="E119" s="693" t="str">
        <f aca="false">IF(B119="","",$F$22/(SQRT(12)))</f>
        <v/>
      </c>
      <c r="F119" s="693" t="str">
        <f aca="false">IF(B119="","",$F$23/(SQRT(3)))</f>
        <v/>
      </c>
      <c r="G119" s="694" t="str">
        <f aca="false">IF(B119="","",(SQRT((+C119^2+D119^2+E119^2+F119^2))/(10^-3)))</f>
        <v/>
      </c>
      <c r="H119" s="675" t="str">
        <f aca="false">IF(B119="","",(IF('conversion datos'!$L$30='Patrones LACOMET'!$D$3,(VLOOKUP(B119,'BLOQUES PATRON (pulg) '!$K$5:$Q$86,6,FALSE())*1000),IF('conversion datos'!$L$30='Patrones LACOMET'!$D$4,(VLOOKUP(B119,'BLOQUES PATRON (mm)'!$D$5:$H$126,5,FALSE())),"No existe el patrón"))))</f>
        <v/>
      </c>
      <c r="I119" s="676" t="str">
        <f aca="false">IF(B119="","",0.42^2)</f>
        <v/>
      </c>
      <c r="J119" s="676" t="str">
        <f aca="false">IF(B119="","",IF('conversion datos'!$L$30='Patrones LACOMET'!$D$3,LOOKUP(B119,'BLOQUES PATRON (pulg) '!$S$5:$S$86,'BLOQUES PATRON (pulg) '!$Z$5:$Z$86),IF('conversion datos'!$L$30='Patrones LACOMET'!$D$4,LOOKUP(B119,'BLOQUES PATRON (mm)'!$O$5:$O$126,'BLOQUES PATRON (mm)'!$U$5:$U$126),"No existe el patrón")))</f>
        <v/>
      </c>
      <c r="K119" s="677" t="str">
        <f aca="false">IF(B119="","",SQRT((H119^2)+(J119^2)+(I119^2)))</f>
        <v/>
      </c>
      <c r="L119" s="695" t="str">
        <f aca="false">IF(B119="","",$G$4)</f>
        <v/>
      </c>
      <c r="M119" s="695" t="str">
        <f aca="false">IF(B119="","",($G$5))</f>
        <v/>
      </c>
      <c r="N119" s="695" t="str">
        <f aca="false">IF(B119="","",($G$6))</f>
        <v/>
      </c>
      <c r="O119" s="696" t="str">
        <f aca="false">IF(B119="","",(($G$7)))</f>
        <v/>
      </c>
      <c r="P119" s="697" t="str">
        <f aca="false">IF(B119="","",$G$8)</f>
        <v/>
      </c>
      <c r="Q119" s="698" t="str">
        <f aca="false">IF(B119="","",SQRT((L119^2)*(M119^2)+(N119^2)+(O119^2)+(P119^2)))</f>
        <v/>
      </c>
      <c r="R119" s="699" t="str">
        <f aca="false">IF(B119="","",($G$12))</f>
        <v/>
      </c>
      <c r="S119" s="699" t="str">
        <f aca="false">IF(B119="","",($G$13))</f>
        <v/>
      </c>
      <c r="T119" s="700" t="str">
        <f aca="false">IF(B119="","",+$F$14/SQRT(12))</f>
        <v/>
      </c>
      <c r="U119" s="684" t="str">
        <f aca="false">IF(B119="","",(($M$17)/2)*1000)</f>
        <v/>
      </c>
      <c r="V119" s="685" t="str">
        <f aca="false">+IF(B119="","",+$G$15)</f>
        <v/>
      </c>
      <c r="W119" s="685" t="str">
        <f aca="false">+IF(B119="","",+$G$16)</f>
        <v/>
      </c>
      <c r="X119" s="685" t="str">
        <f aca="false">+IF(B119="","",+$G$17)</f>
        <v/>
      </c>
      <c r="Y119" s="686" t="str">
        <f aca="false">+IF(B119="","",K119*$G$9)</f>
        <v/>
      </c>
      <c r="Z119" s="686" t="str">
        <f aca="false">+IF(B119="","",K119*$G$12)</f>
        <v/>
      </c>
      <c r="AA119" s="686" t="str">
        <f aca="false">+IF(B119="","",K119*$G$13)</f>
        <v/>
      </c>
      <c r="AB119" s="686" t="str">
        <f aca="false">+IF(B119="","",K119*T119)</f>
        <v/>
      </c>
      <c r="AC119" s="687" t="str">
        <f aca="false">IF(B119="","",('SENSIBILIDAD 2'!B96^2)*(G119^2))</f>
        <v/>
      </c>
      <c r="AD119" s="688" t="str">
        <f aca="false">IF(B119="","",('SENSIBILIDAD 2'!C96^2)*(K119^2))</f>
        <v/>
      </c>
      <c r="AE119" s="688" t="str">
        <f aca="false">IF(B119="","",'SENSIBILIDAD 2'!D96^2*(R119^2))</f>
        <v/>
      </c>
      <c r="AF119" s="688" t="str">
        <f aca="false">IF(B119="","",'SENSIBILIDAD 2'!E96^2*(S119^2))</f>
        <v/>
      </c>
      <c r="AG119" s="688" t="str">
        <f aca="false">IF(B119="","",'SENSIBILIDAD 2'!F96^2*(T119^2))</f>
        <v/>
      </c>
      <c r="AH119" s="688" t="str">
        <f aca="false">IF(B119="","",(('SENSIBILIDAD 2'!G96)^2)*(Q119^2))</f>
        <v/>
      </c>
      <c r="AI119" s="688" t="str">
        <f aca="false">IF(B119="","",'SENSIBILIDAD 2'!H96^2*(U119^2))</f>
        <v/>
      </c>
      <c r="AJ119" s="688" t="str">
        <f aca="false">IF(B119="","",'SENSIBILIDAD 2'!M96^2*(V119^2))</f>
        <v/>
      </c>
      <c r="AK119" s="688" t="str">
        <f aca="false">IF(B119="","",'SENSIBILIDAD 2'!N96^2*(W119^2))</f>
        <v/>
      </c>
      <c r="AL119" s="688" t="str">
        <f aca="false">IF(B119="","",'SENSIBILIDAD 2'!O96^2*(X119^2))</f>
        <v/>
      </c>
      <c r="AM119" s="688" t="str">
        <f aca="false">IF($B119="","",(Y119^2)*('SENSIBILIDAD 2'!K96^2))</f>
        <v/>
      </c>
      <c r="AN119" s="688" t="str">
        <f aca="false">IF($B119="","",(Z119^2)*('SENSIBILIDAD 2'!I96^2))</f>
        <v/>
      </c>
      <c r="AO119" s="688" t="str">
        <f aca="false">IF($B119="","",(AA119^2)*('SENSIBILIDAD 2'!J96^2))</f>
        <v/>
      </c>
      <c r="AP119" s="688" t="str">
        <f aca="false">IF($B119="","",(AB119^2)*('SENSIBILIDAD 2'!L96^2))</f>
        <v/>
      </c>
      <c r="AQ119" s="689" t="str">
        <f aca="false">IF(B119="","",SQRT(AC119+AD119+AE119+AF119+AG119+AH119+AI119+AJ119+AK119+AL119+AM119+AN119+AO119+AP119))</f>
        <v/>
      </c>
      <c r="AR119" s="701" t="str">
        <f aca="false">IF(B119="","",2*AQ119)</f>
        <v/>
      </c>
      <c r="AS119" s="706" t="str">
        <f aca="false">IF(B119="","",+AR119/1000)</f>
        <v/>
      </c>
      <c r="AT119" s="692" t="str">
        <f aca="false">IF('conversion datos'!$L$30='Patrones LACOMET'!$D$3,(IF(N119="","",AS119*39.37008)),IF('conversion datos'!$L$30='Patrones LACOMET'!$D$4,AS119,"No existe el patrón"))</f>
        <v/>
      </c>
    </row>
    <row r="120" customFormat="false" ht="15.75" hidden="false" customHeight="false" outlineLevel="0" collapsed="false">
      <c r="A120" s="81" t="n">
        <f aca="false">+CALIBRACION!A103</f>
        <v>92</v>
      </c>
      <c r="B120" s="672" t="str">
        <f aca="false">IF(CALIBRACION!H103="","",CALIBRACION!H103)</f>
        <v/>
      </c>
      <c r="C120" s="693" t="str">
        <f aca="false">IF(B120="","",+($F$20)/SQRT((5)))</f>
        <v/>
      </c>
      <c r="D120" s="693" t="str">
        <f aca="false">IF(B120="","",$F$21/SQRT((3)))</f>
        <v/>
      </c>
      <c r="E120" s="693" t="str">
        <f aca="false">IF(B120="","",$F$22/(SQRT(12)))</f>
        <v/>
      </c>
      <c r="F120" s="693" t="str">
        <f aca="false">IF(B120="","",$F$23/(SQRT(3)))</f>
        <v/>
      </c>
      <c r="G120" s="694" t="str">
        <f aca="false">IF(B120="","",(SQRT((+C120^2+D120^2+E120^2+F120^2))/(10^-3)))</f>
        <v/>
      </c>
      <c r="H120" s="675" t="str">
        <f aca="false">IF(B120="","",(IF('conversion datos'!$L$30='Patrones LACOMET'!$D$3,(VLOOKUP(B120,'BLOQUES PATRON (pulg) '!$K$5:$Q$86,6,FALSE())*1000),IF('conversion datos'!$L$30='Patrones LACOMET'!$D$4,(VLOOKUP(B120,'BLOQUES PATRON (mm)'!$D$5:$H$126,5,FALSE())),"No existe el patrón"))))</f>
        <v/>
      </c>
      <c r="I120" s="676" t="str">
        <f aca="false">IF(B120="","",0.42^2)</f>
        <v/>
      </c>
      <c r="J120" s="676" t="str">
        <f aca="false">IF(B120="","",IF('conversion datos'!$L$30='Patrones LACOMET'!$D$3,LOOKUP(B120,'BLOQUES PATRON (pulg) '!$S$5:$S$86,'BLOQUES PATRON (pulg) '!$Z$5:$Z$86),IF('conversion datos'!$L$30='Patrones LACOMET'!$D$4,LOOKUP(B120,'BLOQUES PATRON (mm)'!$O$5:$O$126,'BLOQUES PATRON (mm)'!$U$5:$U$126),"No existe el patrón")))</f>
        <v/>
      </c>
      <c r="K120" s="677" t="str">
        <f aca="false">IF(B120="","",SQRT((H120^2)+(J120^2)+(I120^2)))</f>
        <v/>
      </c>
      <c r="L120" s="695" t="str">
        <f aca="false">IF(B120="","",$G$4)</f>
        <v/>
      </c>
      <c r="M120" s="695" t="str">
        <f aca="false">IF(B120="","",($G$5))</f>
        <v/>
      </c>
      <c r="N120" s="695" t="str">
        <f aca="false">IF(B120="","",($G$6))</f>
        <v/>
      </c>
      <c r="O120" s="696" t="str">
        <f aca="false">IF(B120="","",(($G$7)))</f>
        <v/>
      </c>
      <c r="P120" s="697" t="str">
        <f aca="false">IF(B120="","",$G$8)</f>
        <v/>
      </c>
      <c r="Q120" s="698" t="str">
        <f aca="false">IF(B120="","",SQRT((L120^2)*(M120^2)+(N120^2)+(O120^2)+(P120^2)))</f>
        <v/>
      </c>
      <c r="R120" s="699" t="str">
        <f aca="false">IF(B120="","",($G$12))</f>
        <v/>
      </c>
      <c r="S120" s="699" t="str">
        <f aca="false">IF(B120="","",($G$13))</f>
        <v/>
      </c>
      <c r="T120" s="700" t="str">
        <f aca="false">IF(B120="","",+$F$14/SQRT(12))</f>
        <v/>
      </c>
      <c r="U120" s="684" t="str">
        <f aca="false">IF(B120="","",(($M$17)/2)*1000)</f>
        <v/>
      </c>
      <c r="V120" s="685" t="str">
        <f aca="false">+IF(B120="","",+$G$15)</f>
        <v/>
      </c>
      <c r="W120" s="685" t="str">
        <f aca="false">+IF(B120="","",+$G$16)</f>
        <v/>
      </c>
      <c r="X120" s="685" t="str">
        <f aca="false">+IF(B120="","",+$G$17)</f>
        <v/>
      </c>
      <c r="Y120" s="686" t="str">
        <f aca="false">+IF(B120="","",K120*$G$9)</f>
        <v/>
      </c>
      <c r="Z120" s="686" t="str">
        <f aca="false">+IF(B120="","",K120*$G$12)</f>
        <v/>
      </c>
      <c r="AA120" s="686" t="str">
        <f aca="false">+IF(B120="","",K120*$G$13)</f>
        <v/>
      </c>
      <c r="AB120" s="686" t="str">
        <f aca="false">+IF(B120="","",K120*T120)</f>
        <v/>
      </c>
      <c r="AC120" s="687" t="str">
        <f aca="false">IF(B120="","",('SENSIBILIDAD 2'!B97^2)*(G120^2))</f>
        <v/>
      </c>
      <c r="AD120" s="688" t="str">
        <f aca="false">IF(B120="","",('SENSIBILIDAD 2'!C97^2)*(K120^2))</f>
        <v/>
      </c>
      <c r="AE120" s="688" t="str">
        <f aca="false">IF(B120="","",'SENSIBILIDAD 2'!D97^2*(R120^2))</f>
        <v/>
      </c>
      <c r="AF120" s="688" t="str">
        <f aca="false">IF(B120="","",'SENSIBILIDAD 2'!E97^2*(S120^2))</f>
        <v/>
      </c>
      <c r="AG120" s="688" t="str">
        <f aca="false">IF(B120="","",'SENSIBILIDAD 2'!F97^2*(T120^2))</f>
        <v/>
      </c>
      <c r="AH120" s="688" t="str">
        <f aca="false">IF(B120="","",(('SENSIBILIDAD 2'!G97)^2)*(Q120^2))</f>
        <v/>
      </c>
      <c r="AI120" s="688" t="str">
        <f aca="false">IF(B120="","",'SENSIBILIDAD 2'!H97^2*(U120^2))</f>
        <v/>
      </c>
      <c r="AJ120" s="688" t="str">
        <f aca="false">IF(B120="","",'SENSIBILIDAD 2'!M97^2*(V120^2))</f>
        <v/>
      </c>
      <c r="AK120" s="688" t="str">
        <f aca="false">IF(B120="","",'SENSIBILIDAD 2'!N97^2*(W120^2))</f>
        <v/>
      </c>
      <c r="AL120" s="688" t="str">
        <f aca="false">IF(B120="","",'SENSIBILIDAD 2'!O97^2*(X120^2))</f>
        <v/>
      </c>
      <c r="AM120" s="688" t="str">
        <f aca="false">IF($B120="","",(Y120^2)*('SENSIBILIDAD 2'!K97^2))</f>
        <v/>
      </c>
      <c r="AN120" s="688" t="str">
        <f aca="false">IF($B120="","",(Z120^2)*('SENSIBILIDAD 2'!I97^2))</f>
        <v/>
      </c>
      <c r="AO120" s="688" t="str">
        <f aca="false">IF($B120="","",(AA120^2)*('SENSIBILIDAD 2'!J97^2))</f>
        <v/>
      </c>
      <c r="AP120" s="688" t="str">
        <f aca="false">IF($B120="","",(AB120^2)*('SENSIBILIDAD 2'!L97^2))</f>
        <v/>
      </c>
      <c r="AQ120" s="689" t="str">
        <f aca="false">IF(B120="","",SQRT(AC120+AD120+AE120+AF120+AG120+AH120+AI120+AJ120+AK120+AL120+AM120+AN120+AO120+AP120))</f>
        <v/>
      </c>
      <c r="AR120" s="701" t="str">
        <f aca="false">IF(B120="","",2*AQ120)</f>
        <v/>
      </c>
      <c r="AS120" s="706" t="str">
        <f aca="false">IF(B120="","",+AR120/1000)</f>
        <v/>
      </c>
      <c r="AT120" s="692" t="str">
        <f aca="false">IF('conversion datos'!$L$30='Patrones LACOMET'!$D$3,(IF(N120="","",AS120*39.37008)),IF('conversion datos'!$L$30='Patrones LACOMET'!$D$4,AS120,"No existe el patrón"))</f>
        <v/>
      </c>
    </row>
    <row r="121" customFormat="false" ht="15.75" hidden="false" customHeight="false" outlineLevel="0" collapsed="false">
      <c r="A121" s="81" t="n">
        <f aca="false">+CALIBRACION!A104</f>
        <v>93</v>
      </c>
      <c r="B121" s="672" t="str">
        <f aca="false">IF(CALIBRACION!H104="","",CALIBRACION!H104)</f>
        <v/>
      </c>
      <c r="C121" s="693" t="str">
        <f aca="false">IF(B121="","",+($F$20)/SQRT((5)))</f>
        <v/>
      </c>
      <c r="D121" s="693" t="str">
        <f aca="false">IF(B121="","",$F$21/SQRT((3)))</f>
        <v/>
      </c>
      <c r="E121" s="693" t="str">
        <f aca="false">IF(B121="","",$F$22/(SQRT(12)))</f>
        <v/>
      </c>
      <c r="F121" s="693" t="str">
        <f aca="false">IF(B121="","",$F$23/(SQRT(3)))</f>
        <v/>
      </c>
      <c r="G121" s="694" t="str">
        <f aca="false">IF(B121="","",(SQRT((+C121^2+D121^2+E121^2+F121^2))/(10^-3)))</f>
        <v/>
      </c>
      <c r="H121" s="675" t="str">
        <f aca="false">IF(B121="","",(IF('conversion datos'!$L$30='Patrones LACOMET'!$D$3,(VLOOKUP(B121,'BLOQUES PATRON (pulg) '!$K$5:$Q$86,6,FALSE())*1000),IF('conversion datos'!$L$30='Patrones LACOMET'!$D$4,(VLOOKUP(B121,'BLOQUES PATRON (mm)'!$D$5:$H$126,5,FALSE())),"No existe el patrón"))))</f>
        <v/>
      </c>
      <c r="I121" s="676" t="str">
        <f aca="false">IF(B121="","",0.42^2)</f>
        <v/>
      </c>
      <c r="J121" s="676" t="str">
        <f aca="false">IF(B121="","",IF('conversion datos'!$L$30='Patrones LACOMET'!$D$3,LOOKUP(B121,'BLOQUES PATRON (pulg) '!$S$5:$S$86,'BLOQUES PATRON (pulg) '!$Z$5:$Z$86),IF('conversion datos'!$L$30='Patrones LACOMET'!$D$4,LOOKUP(B121,'BLOQUES PATRON (mm)'!$O$5:$O$126,'BLOQUES PATRON (mm)'!$U$5:$U$126),"No existe el patrón")))</f>
        <v/>
      </c>
      <c r="K121" s="677" t="str">
        <f aca="false">IF(B121="","",SQRT((H121^2)+(J121^2)+(I121^2)))</f>
        <v/>
      </c>
      <c r="L121" s="695" t="str">
        <f aca="false">IF(B121="","",$G$4)</f>
        <v/>
      </c>
      <c r="M121" s="695" t="str">
        <f aca="false">IF(B121="","",($G$5))</f>
        <v/>
      </c>
      <c r="N121" s="695" t="str">
        <f aca="false">IF(B121="","",($G$6))</f>
        <v/>
      </c>
      <c r="O121" s="696" t="str">
        <f aca="false">IF(B121="","",(($G$7)))</f>
        <v/>
      </c>
      <c r="P121" s="697" t="str">
        <f aca="false">IF(B121="","",$G$8)</f>
        <v/>
      </c>
      <c r="Q121" s="698" t="str">
        <f aca="false">IF(B121="","",SQRT((L121^2)*(M121^2)+(N121^2)+(O121^2)+(P121^2)))</f>
        <v/>
      </c>
      <c r="R121" s="699" t="str">
        <f aca="false">IF(B121="","",($G$12))</f>
        <v/>
      </c>
      <c r="S121" s="699" t="str">
        <f aca="false">IF(B121="","",($G$13))</f>
        <v/>
      </c>
      <c r="T121" s="700" t="str">
        <f aca="false">IF(B121="","",+$F$14/SQRT(12))</f>
        <v/>
      </c>
      <c r="U121" s="684" t="str">
        <f aca="false">IF(B121="","",(($M$17)/2)*1000)</f>
        <v/>
      </c>
      <c r="V121" s="685" t="str">
        <f aca="false">+IF(B121="","",+$G$15)</f>
        <v/>
      </c>
      <c r="W121" s="685" t="str">
        <f aca="false">+IF(B121="","",+$G$16)</f>
        <v/>
      </c>
      <c r="X121" s="685" t="str">
        <f aca="false">+IF(B121="","",+$G$17)</f>
        <v/>
      </c>
      <c r="Y121" s="686" t="str">
        <f aca="false">+IF(B121="","",K121*$G$9)</f>
        <v/>
      </c>
      <c r="Z121" s="686" t="str">
        <f aca="false">+IF(B121="","",K121*$G$12)</f>
        <v/>
      </c>
      <c r="AA121" s="686" t="str">
        <f aca="false">+IF(B121="","",K121*$G$13)</f>
        <v/>
      </c>
      <c r="AB121" s="686" t="str">
        <f aca="false">+IF(B121="","",K121*T121)</f>
        <v/>
      </c>
      <c r="AC121" s="687" t="str">
        <f aca="false">IF(B121="","",('SENSIBILIDAD 2'!B98^2)*(G121^2))</f>
        <v/>
      </c>
      <c r="AD121" s="688" t="str">
        <f aca="false">IF(B121="","",('SENSIBILIDAD 2'!C98^2)*(K121^2))</f>
        <v/>
      </c>
      <c r="AE121" s="688" t="str">
        <f aca="false">IF(B121="","",'SENSIBILIDAD 2'!D98^2*(R121^2))</f>
        <v/>
      </c>
      <c r="AF121" s="688" t="str">
        <f aca="false">IF(B121="","",'SENSIBILIDAD 2'!E98^2*(S121^2))</f>
        <v/>
      </c>
      <c r="AG121" s="688" t="str">
        <f aca="false">IF(B121="","",'SENSIBILIDAD 2'!F98^2*(T121^2))</f>
        <v/>
      </c>
      <c r="AH121" s="688" t="str">
        <f aca="false">IF(B121="","",(('SENSIBILIDAD 2'!G98)^2)*(Q121^2))</f>
        <v/>
      </c>
      <c r="AI121" s="688" t="str">
        <f aca="false">IF(B121="","",'SENSIBILIDAD 2'!H98^2*(U121^2))</f>
        <v/>
      </c>
      <c r="AJ121" s="688" t="str">
        <f aca="false">IF(B121="","",'SENSIBILIDAD 2'!M98^2*(V121^2))</f>
        <v/>
      </c>
      <c r="AK121" s="688" t="str">
        <f aca="false">IF(B121="","",'SENSIBILIDAD 2'!N98^2*(W121^2))</f>
        <v/>
      </c>
      <c r="AL121" s="688" t="str">
        <f aca="false">IF(B121="","",'SENSIBILIDAD 2'!O98^2*(X121^2))</f>
        <v/>
      </c>
      <c r="AM121" s="688" t="str">
        <f aca="false">IF($B121="","",(Y121^2)*('SENSIBILIDAD 2'!K98^2))</f>
        <v/>
      </c>
      <c r="AN121" s="688" t="str">
        <f aca="false">IF($B121="","",(Z121^2)*('SENSIBILIDAD 2'!I98^2))</f>
        <v/>
      </c>
      <c r="AO121" s="688" t="str">
        <f aca="false">IF($B121="","",(AA121^2)*('SENSIBILIDAD 2'!J98^2))</f>
        <v/>
      </c>
      <c r="AP121" s="688" t="str">
        <f aca="false">IF($B121="","",(AB121^2)*('SENSIBILIDAD 2'!L98^2))</f>
        <v/>
      </c>
      <c r="AQ121" s="689" t="str">
        <f aca="false">IF(B121="","",SQRT(AC121+AD121+AE121+AF121+AG121+AH121+AI121+AJ121+AK121+AL121+AM121+AN121+AO121+AP121))</f>
        <v/>
      </c>
      <c r="AR121" s="701" t="str">
        <f aca="false">IF(B121="","",2*AQ121)</f>
        <v/>
      </c>
      <c r="AS121" s="706" t="str">
        <f aca="false">IF(B121="","",+AR121/1000)</f>
        <v/>
      </c>
      <c r="AT121" s="692" t="str">
        <f aca="false">IF('conversion datos'!$L$30='Patrones LACOMET'!$D$3,(IF(N121="","",AS121*39.37008)),IF('conversion datos'!$L$30='Patrones LACOMET'!$D$4,AS121,"No existe el patrón"))</f>
        <v/>
      </c>
    </row>
    <row r="122" customFormat="false" ht="15.75" hidden="false" customHeight="false" outlineLevel="0" collapsed="false">
      <c r="A122" s="81" t="n">
        <f aca="false">+CALIBRACION!A105</f>
        <v>94</v>
      </c>
      <c r="B122" s="672" t="str">
        <f aca="false">IF(CALIBRACION!H105="","",CALIBRACION!H105)</f>
        <v/>
      </c>
      <c r="C122" s="693" t="str">
        <f aca="false">IF(B122="","",+($F$20)/SQRT((5)))</f>
        <v/>
      </c>
      <c r="D122" s="693" t="str">
        <f aca="false">IF(B122="","",$F$21/SQRT((3)))</f>
        <v/>
      </c>
      <c r="E122" s="693" t="str">
        <f aca="false">IF(B122="","",$F$22/(SQRT(12)))</f>
        <v/>
      </c>
      <c r="F122" s="693" t="str">
        <f aca="false">IF(B122="","",$F$23/(SQRT(3)))</f>
        <v/>
      </c>
      <c r="G122" s="694" t="str">
        <f aca="false">IF(B122="","",(SQRT((+C122^2+D122^2+E122^2+F122^2))/(10^-3)))</f>
        <v/>
      </c>
      <c r="H122" s="675" t="str">
        <f aca="false">IF(B122="","",(IF('conversion datos'!$L$30='Patrones LACOMET'!$D$3,(VLOOKUP(B122,'BLOQUES PATRON (pulg) '!$K$5:$Q$86,6,FALSE())*1000),IF('conversion datos'!$L$30='Patrones LACOMET'!$D$4,(VLOOKUP(B122,'BLOQUES PATRON (mm)'!$D$5:$H$126,5,FALSE())),"No existe el patrón"))))</f>
        <v/>
      </c>
      <c r="I122" s="676" t="str">
        <f aca="false">IF(B122="","",0.42^2)</f>
        <v/>
      </c>
      <c r="J122" s="676" t="str">
        <f aca="false">IF(B122="","",IF('conversion datos'!$L$30='Patrones LACOMET'!$D$3,LOOKUP(B122,'BLOQUES PATRON (pulg) '!$S$5:$S$86,'BLOQUES PATRON (pulg) '!$Z$5:$Z$86),IF('conversion datos'!$L$30='Patrones LACOMET'!$D$4,LOOKUP(B122,'BLOQUES PATRON (mm)'!$O$5:$O$126,'BLOQUES PATRON (mm)'!$U$5:$U$126),"No existe el patrón")))</f>
        <v/>
      </c>
      <c r="K122" s="677" t="str">
        <f aca="false">IF(B122="","",SQRT((H122^2)+(J122^2)+(I122^2)))</f>
        <v/>
      </c>
      <c r="L122" s="695" t="str">
        <f aca="false">IF(B122="","",$G$4)</f>
        <v/>
      </c>
      <c r="M122" s="695" t="str">
        <f aca="false">IF(B122="","",($G$5))</f>
        <v/>
      </c>
      <c r="N122" s="695" t="str">
        <f aca="false">IF(B122="","",($G$6))</f>
        <v/>
      </c>
      <c r="O122" s="696" t="str">
        <f aca="false">IF(B122="","",(($G$7)))</f>
        <v/>
      </c>
      <c r="P122" s="697" t="str">
        <f aca="false">IF(B122="","",$G$8)</f>
        <v/>
      </c>
      <c r="Q122" s="698" t="str">
        <f aca="false">IF(B122="","",SQRT((L122^2)*(M122^2)+(N122^2)+(O122^2)+(P122^2)))</f>
        <v/>
      </c>
      <c r="R122" s="699" t="str">
        <f aca="false">IF(B122="","",($G$12))</f>
        <v/>
      </c>
      <c r="S122" s="699" t="str">
        <f aca="false">IF(B122="","",($G$13))</f>
        <v/>
      </c>
      <c r="T122" s="700" t="str">
        <f aca="false">IF(B122="","",+$F$14/SQRT(12))</f>
        <v/>
      </c>
      <c r="U122" s="684" t="str">
        <f aca="false">IF(B122="","",(($M$17)/2)*1000)</f>
        <v/>
      </c>
      <c r="V122" s="685" t="str">
        <f aca="false">+IF(B122="","",+$G$15)</f>
        <v/>
      </c>
      <c r="W122" s="685" t="str">
        <f aca="false">+IF(B122="","",+$G$16)</f>
        <v/>
      </c>
      <c r="X122" s="685" t="str">
        <f aca="false">+IF(B122="","",+$G$17)</f>
        <v/>
      </c>
      <c r="Y122" s="686" t="str">
        <f aca="false">+IF(B122="","",K122*$G$9)</f>
        <v/>
      </c>
      <c r="Z122" s="686" t="str">
        <f aca="false">+IF(B122="","",K122*$G$12)</f>
        <v/>
      </c>
      <c r="AA122" s="686" t="str">
        <f aca="false">+IF(B122="","",K122*$G$13)</f>
        <v/>
      </c>
      <c r="AB122" s="686" t="str">
        <f aca="false">+IF(B122="","",K122*T122)</f>
        <v/>
      </c>
      <c r="AC122" s="687" t="str">
        <f aca="false">IF(B122="","",('SENSIBILIDAD 2'!B99^2)*(G122^2))</f>
        <v/>
      </c>
      <c r="AD122" s="688" t="str">
        <f aca="false">IF(B122="","",('SENSIBILIDAD 2'!C99^2)*(K122^2))</f>
        <v/>
      </c>
      <c r="AE122" s="688" t="str">
        <f aca="false">IF(B122="","",'SENSIBILIDAD 2'!D99^2*(R122^2))</f>
        <v/>
      </c>
      <c r="AF122" s="688" t="str">
        <f aca="false">IF(B122="","",'SENSIBILIDAD 2'!E99^2*(S122^2))</f>
        <v/>
      </c>
      <c r="AG122" s="688" t="str">
        <f aca="false">IF(B122="","",'SENSIBILIDAD 2'!F99^2*(T122^2))</f>
        <v/>
      </c>
      <c r="AH122" s="688" t="str">
        <f aca="false">IF(B122="","",(('SENSIBILIDAD 2'!G99)^2)*(Q122^2))</f>
        <v/>
      </c>
      <c r="AI122" s="688" t="str">
        <f aca="false">IF(B122="","",'SENSIBILIDAD 2'!H99^2*(U122^2))</f>
        <v/>
      </c>
      <c r="AJ122" s="688" t="str">
        <f aca="false">IF(B122="","",'SENSIBILIDAD 2'!M99^2*(V122^2))</f>
        <v/>
      </c>
      <c r="AK122" s="688" t="str">
        <f aca="false">IF(B122="","",'SENSIBILIDAD 2'!N99^2*(W122^2))</f>
        <v/>
      </c>
      <c r="AL122" s="688" t="str">
        <f aca="false">IF(B122="","",'SENSIBILIDAD 2'!O99^2*(X122^2))</f>
        <v/>
      </c>
      <c r="AM122" s="688" t="str">
        <f aca="false">IF($B122="","",(Y122^2)*('SENSIBILIDAD 2'!K99^2))</f>
        <v/>
      </c>
      <c r="AN122" s="688" t="str">
        <f aca="false">IF($B122="","",(Z122^2)*('SENSIBILIDAD 2'!I99^2))</f>
        <v/>
      </c>
      <c r="AO122" s="688" t="str">
        <f aca="false">IF($B122="","",(AA122^2)*('SENSIBILIDAD 2'!J99^2))</f>
        <v/>
      </c>
      <c r="AP122" s="688" t="str">
        <f aca="false">IF($B122="","",(AB122^2)*('SENSIBILIDAD 2'!L99^2))</f>
        <v/>
      </c>
      <c r="AQ122" s="689" t="str">
        <f aca="false">IF(B122="","",SQRT(AC122+AD122+AE122+AF122+AG122+AH122+AI122+AJ122+AK122+AL122+AM122+AN122+AO122+AP122))</f>
        <v/>
      </c>
      <c r="AR122" s="701" t="str">
        <f aca="false">IF(B122="","",2*AQ122)</f>
        <v/>
      </c>
      <c r="AS122" s="706" t="str">
        <f aca="false">IF(B122="","",+AR122/1000)</f>
        <v/>
      </c>
      <c r="AT122" s="692" t="str">
        <f aca="false">IF('conversion datos'!$L$30='Patrones LACOMET'!$D$3,(IF(N122="","",AS122*39.37008)),IF('conversion datos'!$L$30='Patrones LACOMET'!$D$4,AS122,"No existe el patrón"))</f>
        <v/>
      </c>
    </row>
    <row r="123" customFormat="false" ht="15.75" hidden="false" customHeight="false" outlineLevel="0" collapsed="false">
      <c r="A123" s="81" t="n">
        <f aca="false">+CALIBRACION!A106</f>
        <v>95</v>
      </c>
      <c r="B123" s="672" t="str">
        <f aca="false">IF(CALIBRACION!H106="","",CALIBRACION!H106)</f>
        <v/>
      </c>
      <c r="C123" s="693" t="str">
        <f aca="false">IF(B123="","",+($F$20)/SQRT((5)))</f>
        <v/>
      </c>
      <c r="D123" s="693" t="str">
        <f aca="false">IF(B123="","",$F$21/SQRT((3)))</f>
        <v/>
      </c>
      <c r="E123" s="693" t="str">
        <f aca="false">IF(B123="","",$F$22/(SQRT(12)))</f>
        <v/>
      </c>
      <c r="F123" s="693" t="str">
        <f aca="false">IF(B123="","",$F$23/(SQRT(3)))</f>
        <v/>
      </c>
      <c r="G123" s="694" t="str">
        <f aca="false">IF(B123="","",(SQRT((+C123^2+D123^2+E123^2+F123^2))/(10^-3)))</f>
        <v/>
      </c>
      <c r="H123" s="675" t="str">
        <f aca="false">IF(B123="","",(IF('conversion datos'!$L$30='Patrones LACOMET'!$D$3,(VLOOKUP(B123,'BLOQUES PATRON (pulg) '!$K$5:$Q$86,6,FALSE())*1000),IF('conversion datos'!$L$30='Patrones LACOMET'!$D$4,(VLOOKUP(B123,'BLOQUES PATRON (mm)'!$D$5:$H$126,5,FALSE())),"No existe el patrón"))))</f>
        <v/>
      </c>
      <c r="I123" s="676" t="str">
        <f aca="false">IF(B123="","",0.42^2)</f>
        <v/>
      </c>
      <c r="J123" s="676" t="str">
        <f aca="false">IF(B123="","",IF('conversion datos'!$L$30='Patrones LACOMET'!$D$3,LOOKUP(B123,'BLOQUES PATRON (pulg) '!$S$5:$S$86,'BLOQUES PATRON (pulg) '!$Z$5:$Z$86),IF('conversion datos'!$L$30='Patrones LACOMET'!$D$4,LOOKUP(B123,'BLOQUES PATRON (mm)'!$O$5:$O$126,'BLOQUES PATRON (mm)'!$U$5:$U$126),"No existe el patrón")))</f>
        <v/>
      </c>
      <c r="K123" s="677" t="str">
        <f aca="false">IF(B123="","",SQRT((H123^2)+(J123^2)+(I123^2)))</f>
        <v/>
      </c>
      <c r="L123" s="695" t="str">
        <f aca="false">IF(B123="","",$G$4)</f>
        <v/>
      </c>
      <c r="M123" s="695" t="str">
        <f aca="false">IF(B123="","",($G$5))</f>
        <v/>
      </c>
      <c r="N123" s="695" t="str">
        <f aca="false">IF(B123="","",($G$6))</f>
        <v/>
      </c>
      <c r="O123" s="696" t="str">
        <f aca="false">IF(B123="","",(($G$7)))</f>
        <v/>
      </c>
      <c r="P123" s="697" t="str">
        <f aca="false">IF(B123="","",$G$8)</f>
        <v/>
      </c>
      <c r="Q123" s="698" t="str">
        <f aca="false">IF(B123="","",SQRT((L123^2)*(M123^2)+(N123^2)+(O123^2)+(P123^2)))</f>
        <v/>
      </c>
      <c r="R123" s="699" t="str">
        <f aca="false">IF(B123="","",($G$12))</f>
        <v/>
      </c>
      <c r="S123" s="699" t="str">
        <f aca="false">IF(B123="","",($G$13))</f>
        <v/>
      </c>
      <c r="T123" s="700" t="str">
        <f aca="false">IF(B123="","",+$F$14/SQRT(12))</f>
        <v/>
      </c>
      <c r="U123" s="684" t="str">
        <f aca="false">IF(B123="","",(($M$17)/2)*1000)</f>
        <v/>
      </c>
      <c r="V123" s="685" t="str">
        <f aca="false">+IF(B123="","",+$G$15)</f>
        <v/>
      </c>
      <c r="W123" s="685" t="str">
        <f aca="false">+IF(B123="","",+$G$16)</f>
        <v/>
      </c>
      <c r="X123" s="685" t="str">
        <f aca="false">+IF(B123="","",+$G$17)</f>
        <v/>
      </c>
      <c r="Y123" s="686" t="str">
        <f aca="false">+IF(B123="","",K123*$G$9)</f>
        <v/>
      </c>
      <c r="Z123" s="686" t="str">
        <f aca="false">+IF(B123="","",K123*$G$12)</f>
        <v/>
      </c>
      <c r="AA123" s="686" t="str">
        <f aca="false">+IF(B123="","",K123*$G$13)</f>
        <v/>
      </c>
      <c r="AB123" s="686" t="str">
        <f aca="false">+IF(B123="","",K123*T123)</f>
        <v/>
      </c>
      <c r="AC123" s="687" t="str">
        <f aca="false">IF(B123="","",('SENSIBILIDAD 2'!B100^2)*(G123^2))</f>
        <v/>
      </c>
      <c r="AD123" s="688" t="str">
        <f aca="false">IF(B123="","",('SENSIBILIDAD 2'!C100^2)*(K123^2))</f>
        <v/>
      </c>
      <c r="AE123" s="688" t="str">
        <f aca="false">IF(B123="","",'SENSIBILIDAD 2'!D100^2*(R123^2))</f>
        <v/>
      </c>
      <c r="AF123" s="688" t="str">
        <f aca="false">IF(B123="","",'SENSIBILIDAD 2'!E100^2*(S123^2))</f>
        <v/>
      </c>
      <c r="AG123" s="688" t="str">
        <f aca="false">IF(B123="","",'SENSIBILIDAD 2'!F100^2*(T123^2))</f>
        <v/>
      </c>
      <c r="AH123" s="688" t="str">
        <f aca="false">IF(B123="","",(('SENSIBILIDAD 2'!G100)^2)*(Q123^2))</f>
        <v/>
      </c>
      <c r="AI123" s="688" t="str">
        <f aca="false">IF(B123="","",'SENSIBILIDAD 2'!H100^2*(U123^2))</f>
        <v/>
      </c>
      <c r="AJ123" s="688" t="str">
        <f aca="false">IF(B123="","",'SENSIBILIDAD 2'!M100^2*(V123^2))</f>
        <v/>
      </c>
      <c r="AK123" s="688" t="str">
        <f aca="false">IF(B123="","",'SENSIBILIDAD 2'!N100^2*(W123^2))</f>
        <v/>
      </c>
      <c r="AL123" s="688" t="str">
        <f aca="false">IF(B123="","",'SENSIBILIDAD 2'!O100^2*(X123^2))</f>
        <v/>
      </c>
      <c r="AM123" s="688" t="str">
        <f aca="false">IF($B123="","",(Y123^2)*('SENSIBILIDAD 2'!K100^2))</f>
        <v/>
      </c>
      <c r="AN123" s="688" t="str">
        <f aca="false">IF($B123="","",(Z123^2)*('SENSIBILIDAD 2'!I100^2))</f>
        <v/>
      </c>
      <c r="AO123" s="688" t="str">
        <f aca="false">IF($B123="","",(AA123^2)*('SENSIBILIDAD 2'!J100^2))</f>
        <v/>
      </c>
      <c r="AP123" s="688" t="str">
        <f aca="false">IF($B123="","",(AB123^2)*('SENSIBILIDAD 2'!L100^2))</f>
        <v/>
      </c>
      <c r="AQ123" s="689" t="str">
        <f aca="false">IF(B123="","",SQRT(AC123+AD123+AE123+AF123+AG123+AH123+AI123+AJ123+AK123+AL123+AM123+AN123+AO123+AP123))</f>
        <v/>
      </c>
      <c r="AR123" s="701" t="str">
        <f aca="false">IF(B123="","",2*AQ123)</f>
        <v/>
      </c>
      <c r="AS123" s="706" t="str">
        <f aca="false">IF(B123="","",+AR123/1000)</f>
        <v/>
      </c>
      <c r="AT123" s="692" t="str">
        <f aca="false">IF('conversion datos'!$L$30='Patrones LACOMET'!$D$3,(IF(N123="","",AS123*39.37008)),IF('conversion datos'!$L$30='Patrones LACOMET'!$D$4,AS123,"No existe el patrón"))</f>
        <v/>
      </c>
    </row>
    <row r="124" customFormat="false" ht="15.75" hidden="false" customHeight="false" outlineLevel="0" collapsed="false">
      <c r="A124" s="81" t="n">
        <f aca="false">+CALIBRACION!A107</f>
        <v>96</v>
      </c>
      <c r="B124" s="672" t="str">
        <f aca="false">IF(CALIBRACION!H107="","",CALIBRACION!H107)</f>
        <v/>
      </c>
      <c r="C124" s="693" t="str">
        <f aca="false">IF(B124="","",+($F$20)/SQRT((5)))</f>
        <v/>
      </c>
      <c r="D124" s="693" t="str">
        <f aca="false">IF(B124="","",$F$21/SQRT((3)))</f>
        <v/>
      </c>
      <c r="E124" s="693" t="str">
        <f aca="false">IF(B124="","",$F$22/(SQRT(12)))</f>
        <v/>
      </c>
      <c r="F124" s="693" t="str">
        <f aca="false">IF(B124="","",$F$23/(SQRT(3)))</f>
        <v/>
      </c>
      <c r="G124" s="694" t="str">
        <f aca="false">IF(B124="","",(SQRT((+C124^2+D124^2+E124^2+F124^2))/(10^-3)))</f>
        <v/>
      </c>
      <c r="H124" s="675" t="str">
        <f aca="false">IF(B124="","",(IF('conversion datos'!$L$30='Patrones LACOMET'!$D$3,(VLOOKUP(B124,'BLOQUES PATRON (pulg) '!$K$5:$Q$86,6,FALSE())*1000),IF('conversion datos'!$L$30='Patrones LACOMET'!$D$4,(VLOOKUP(B124,'BLOQUES PATRON (mm)'!$D$5:$H$126,5,FALSE())),"No existe el patrón"))))</f>
        <v/>
      </c>
      <c r="I124" s="676" t="str">
        <f aca="false">IF(B124="","",0.42^2)</f>
        <v/>
      </c>
      <c r="J124" s="676" t="str">
        <f aca="false">IF(B124="","",IF('conversion datos'!$L$30='Patrones LACOMET'!$D$3,LOOKUP(B124,'BLOQUES PATRON (pulg) '!$S$5:$S$86,'BLOQUES PATRON (pulg) '!$Z$5:$Z$86),IF('conversion datos'!$L$30='Patrones LACOMET'!$D$4,LOOKUP(B124,'BLOQUES PATRON (mm)'!$O$5:$O$126,'BLOQUES PATRON (mm)'!$U$5:$U$126),"No existe el patrón")))</f>
        <v/>
      </c>
      <c r="K124" s="677" t="str">
        <f aca="false">IF(B124="","",SQRT((H124^2)+(J124^2)+(I124^2)))</f>
        <v/>
      </c>
      <c r="L124" s="695" t="str">
        <f aca="false">IF(B124="","",$G$4)</f>
        <v/>
      </c>
      <c r="M124" s="695" t="str">
        <f aca="false">IF(B124="","",($G$5))</f>
        <v/>
      </c>
      <c r="N124" s="695" t="str">
        <f aca="false">IF(B124="","",($G$6))</f>
        <v/>
      </c>
      <c r="O124" s="696" t="str">
        <f aca="false">IF(B124="","",(($G$7)))</f>
        <v/>
      </c>
      <c r="P124" s="697" t="str">
        <f aca="false">IF(B124="","",$G$8)</f>
        <v/>
      </c>
      <c r="Q124" s="698" t="str">
        <f aca="false">IF(B124="","",SQRT((L124^2)*(M124^2)+(N124^2)+(O124^2)+(P124^2)))</f>
        <v/>
      </c>
      <c r="R124" s="699" t="str">
        <f aca="false">IF(B124="","",($G$12))</f>
        <v/>
      </c>
      <c r="S124" s="699" t="str">
        <f aca="false">IF(B124="","",($G$13))</f>
        <v/>
      </c>
      <c r="T124" s="700" t="str">
        <f aca="false">IF(B124="","",+$F$14/SQRT(12))</f>
        <v/>
      </c>
      <c r="U124" s="684" t="str">
        <f aca="false">IF(B124="","",(($M$17)/2)*1000)</f>
        <v/>
      </c>
      <c r="V124" s="685" t="str">
        <f aca="false">+IF(B124="","",+$G$15)</f>
        <v/>
      </c>
      <c r="W124" s="685" t="str">
        <f aca="false">+IF(B124="","",+$G$16)</f>
        <v/>
      </c>
      <c r="X124" s="685" t="str">
        <f aca="false">+IF(B124="","",+$G$17)</f>
        <v/>
      </c>
      <c r="Y124" s="686" t="str">
        <f aca="false">+IF(B124="","",K124*$G$9)</f>
        <v/>
      </c>
      <c r="Z124" s="686" t="str">
        <f aca="false">+IF(B124="","",K124*$G$12)</f>
        <v/>
      </c>
      <c r="AA124" s="686" t="str">
        <f aca="false">+IF(B124="","",K124*$G$13)</f>
        <v/>
      </c>
      <c r="AB124" s="686" t="str">
        <f aca="false">+IF(B124="","",K124*T124)</f>
        <v/>
      </c>
      <c r="AC124" s="687" t="str">
        <f aca="false">IF(B124="","",('SENSIBILIDAD 2'!B101^2)*(G124^2))</f>
        <v/>
      </c>
      <c r="AD124" s="688" t="str">
        <f aca="false">IF(B124="","",('SENSIBILIDAD 2'!C101^2)*(K124^2))</f>
        <v/>
      </c>
      <c r="AE124" s="688" t="str">
        <f aca="false">IF(B124="","",'SENSIBILIDAD 2'!D101^2*(R124^2))</f>
        <v/>
      </c>
      <c r="AF124" s="688" t="str">
        <f aca="false">IF(B124="","",'SENSIBILIDAD 2'!E101^2*(S124^2))</f>
        <v/>
      </c>
      <c r="AG124" s="688" t="str">
        <f aca="false">IF(B124="","",'SENSIBILIDAD 2'!F101^2*(T124^2))</f>
        <v/>
      </c>
      <c r="AH124" s="688" t="str">
        <f aca="false">IF(B124="","",(('SENSIBILIDAD 2'!G101)^2)*(Q124^2))</f>
        <v/>
      </c>
      <c r="AI124" s="688" t="str">
        <f aca="false">IF(B124="","",'SENSIBILIDAD 2'!H101^2*(U124^2))</f>
        <v/>
      </c>
      <c r="AJ124" s="688" t="str">
        <f aca="false">IF(B124="","",'SENSIBILIDAD 2'!M101^2*(V124^2))</f>
        <v/>
      </c>
      <c r="AK124" s="688" t="str">
        <f aca="false">IF(B124="","",'SENSIBILIDAD 2'!N101^2*(W124^2))</f>
        <v/>
      </c>
      <c r="AL124" s="688" t="str">
        <f aca="false">IF(B124="","",'SENSIBILIDAD 2'!O101^2*(X124^2))</f>
        <v/>
      </c>
      <c r="AM124" s="688" t="str">
        <f aca="false">IF($B124="","",(Y124^2)*('SENSIBILIDAD 2'!K101^2))</f>
        <v/>
      </c>
      <c r="AN124" s="688" t="str">
        <f aca="false">IF($B124="","",(Z124^2)*('SENSIBILIDAD 2'!I101^2))</f>
        <v/>
      </c>
      <c r="AO124" s="688" t="str">
        <f aca="false">IF($B124="","",(AA124^2)*('SENSIBILIDAD 2'!J101^2))</f>
        <v/>
      </c>
      <c r="AP124" s="688" t="str">
        <f aca="false">IF($B124="","",(AB124^2)*('SENSIBILIDAD 2'!L101^2))</f>
        <v/>
      </c>
      <c r="AQ124" s="689" t="str">
        <f aca="false">IF(B124="","",SQRT(AC124+AD124+AE124+AF124+AG124+AH124+AI124+AJ124+AK124+AL124+AM124+AN124+AO124+AP124))</f>
        <v/>
      </c>
      <c r="AR124" s="701" t="str">
        <f aca="false">IF(B124="","",2*AQ124)</f>
        <v/>
      </c>
      <c r="AS124" s="706" t="str">
        <f aca="false">IF(B124="","",+AR124/1000)</f>
        <v/>
      </c>
      <c r="AT124" s="692" t="str">
        <f aca="false">IF('conversion datos'!$L$30='Patrones LACOMET'!$D$3,(IF(N124="","",AS124*39.37008)),IF('conversion datos'!$L$30='Patrones LACOMET'!$D$4,AS124,"No existe el patrón"))</f>
        <v/>
      </c>
    </row>
    <row r="125" customFormat="false" ht="15.75" hidden="false" customHeight="false" outlineLevel="0" collapsed="false">
      <c r="A125" s="81" t="n">
        <f aca="false">+CALIBRACION!A108</f>
        <v>97</v>
      </c>
      <c r="B125" s="672" t="str">
        <f aca="false">IF(CALIBRACION!H108="","",CALIBRACION!H108)</f>
        <v/>
      </c>
      <c r="C125" s="693" t="str">
        <f aca="false">IF(B125="","",+($F$20)/SQRT((5)))</f>
        <v/>
      </c>
      <c r="D125" s="693" t="str">
        <f aca="false">IF(B125="","",$F$21/SQRT((3)))</f>
        <v/>
      </c>
      <c r="E125" s="693" t="str">
        <f aca="false">IF(B125="","",$F$22/(SQRT(12)))</f>
        <v/>
      </c>
      <c r="F125" s="693" t="str">
        <f aca="false">IF(B125="","",$F$23/(SQRT(3)))</f>
        <v/>
      </c>
      <c r="G125" s="694" t="str">
        <f aca="false">IF(B125="","",(SQRT((+C125^2+D125^2+E125^2+F125^2))/(10^-3)))</f>
        <v/>
      </c>
      <c r="H125" s="675" t="str">
        <f aca="false">IF(B125="","",(IF('conversion datos'!$L$30='Patrones LACOMET'!$D$3,(VLOOKUP(B125,'BLOQUES PATRON (pulg) '!$K$5:$Q$86,6,FALSE())*1000),IF('conversion datos'!$L$30='Patrones LACOMET'!$D$4,(VLOOKUP(B125,'BLOQUES PATRON (mm)'!$D$5:$H$126,5,FALSE())),"No existe el patrón"))))</f>
        <v/>
      </c>
      <c r="I125" s="676" t="str">
        <f aca="false">IF(B125="","",0.42^2)</f>
        <v/>
      </c>
      <c r="J125" s="676" t="str">
        <f aca="false">IF(B125="","",IF('conversion datos'!$L$30='Patrones LACOMET'!$D$3,LOOKUP(B125,'BLOQUES PATRON (pulg) '!$S$5:$S$86,'BLOQUES PATRON (pulg) '!$Z$5:$Z$86),IF('conversion datos'!$L$30='Patrones LACOMET'!$D$4,LOOKUP(B125,'BLOQUES PATRON (mm)'!$O$5:$O$126,'BLOQUES PATRON (mm)'!$U$5:$U$126),"No existe el patrón")))</f>
        <v/>
      </c>
      <c r="K125" s="677" t="str">
        <f aca="false">IF(B125="","",SQRT((H125^2)+(J125^2)+(I125^2)))</f>
        <v/>
      </c>
      <c r="L125" s="695" t="str">
        <f aca="false">IF(B125="","",$G$4)</f>
        <v/>
      </c>
      <c r="M125" s="695" t="str">
        <f aca="false">IF(B125="","",($G$5))</f>
        <v/>
      </c>
      <c r="N125" s="695" t="str">
        <f aca="false">IF(B125="","",($G$6))</f>
        <v/>
      </c>
      <c r="O125" s="696" t="str">
        <f aca="false">IF(B125="","",(($G$7)))</f>
        <v/>
      </c>
      <c r="P125" s="697" t="str">
        <f aca="false">IF(B125="","",$G$8)</f>
        <v/>
      </c>
      <c r="Q125" s="698" t="str">
        <f aca="false">IF(B125="","",SQRT((L125^2)*(M125^2)+(N125^2)+(O125^2)+(P125^2)))</f>
        <v/>
      </c>
      <c r="R125" s="699" t="str">
        <f aca="false">IF(B125="","",($G$12))</f>
        <v/>
      </c>
      <c r="S125" s="699" t="str">
        <f aca="false">IF(B125="","",($G$13))</f>
        <v/>
      </c>
      <c r="T125" s="700" t="str">
        <f aca="false">IF(B125="","",+$F$14/SQRT(12))</f>
        <v/>
      </c>
      <c r="U125" s="684" t="str">
        <f aca="false">IF(B125="","",(($M$17)/2)*1000)</f>
        <v/>
      </c>
      <c r="V125" s="685" t="str">
        <f aca="false">+IF(B125="","",+$G$15)</f>
        <v/>
      </c>
      <c r="W125" s="685" t="str">
        <f aca="false">+IF(B125="","",+$G$16)</f>
        <v/>
      </c>
      <c r="X125" s="685" t="str">
        <f aca="false">+IF(B125="","",+$G$17)</f>
        <v/>
      </c>
      <c r="Y125" s="686" t="str">
        <f aca="false">+IF(B125="","",K125*$G$9)</f>
        <v/>
      </c>
      <c r="Z125" s="686" t="str">
        <f aca="false">+IF(B125="","",K125*$G$12)</f>
        <v/>
      </c>
      <c r="AA125" s="686" t="str">
        <f aca="false">+IF(B125="","",K125*$G$13)</f>
        <v/>
      </c>
      <c r="AB125" s="686" t="str">
        <f aca="false">+IF(B125="","",K125*T125)</f>
        <v/>
      </c>
      <c r="AC125" s="687" t="str">
        <f aca="false">IF(B125="","",('SENSIBILIDAD 2'!B102^2)*(G125^2))</f>
        <v/>
      </c>
      <c r="AD125" s="688" t="str">
        <f aca="false">IF(B125="","",('SENSIBILIDAD 2'!C102^2)*(K125^2))</f>
        <v/>
      </c>
      <c r="AE125" s="688" t="str">
        <f aca="false">IF(B125="","",'SENSIBILIDAD 2'!D102^2*(R125^2))</f>
        <v/>
      </c>
      <c r="AF125" s="688" t="str">
        <f aca="false">IF(B125="","",'SENSIBILIDAD 2'!E102^2*(S125^2))</f>
        <v/>
      </c>
      <c r="AG125" s="688" t="str">
        <f aca="false">IF(B125="","",'SENSIBILIDAD 2'!F102^2*(T125^2))</f>
        <v/>
      </c>
      <c r="AH125" s="688" t="str">
        <f aca="false">IF(B125="","",(('SENSIBILIDAD 2'!G102)^2)*(Q125^2))</f>
        <v/>
      </c>
      <c r="AI125" s="688" t="str">
        <f aca="false">IF(B125="","",'SENSIBILIDAD 2'!H102^2*(U125^2))</f>
        <v/>
      </c>
      <c r="AJ125" s="688" t="str">
        <f aca="false">IF(B125="","",'SENSIBILIDAD 2'!M102^2*(V125^2))</f>
        <v/>
      </c>
      <c r="AK125" s="688" t="str">
        <f aca="false">IF(B125="","",'SENSIBILIDAD 2'!N102^2*(W125^2))</f>
        <v/>
      </c>
      <c r="AL125" s="688" t="str">
        <f aca="false">IF(B125="","",'SENSIBILIDAD 2'!O102^2*(X125^2))</f>
        <v/>
      </c>
      <c r="AM125" s="688" t="str">
        <f aca="false">IF($B125="","",(Y125^2)*('SENSIBILIDAD 2'!K102^2))</f>
        <v/>
      </c>
      <c r="AN125" s="688" t="str">
        <f aca="false">IF($B125="","",(Z125^2)*('SENSIBILIDAD 2'!I102^2))</f>
        <v/>
      </c>
      <c r="AO125" s="688" t="str">
        <f aca="false">IF($B125="","",(AA125^2)*('SENSIBILIDAD 2'!J102^2))</f>
        <v/>
      </c>
      <c r="AP125" s="688" t="str">
        <f aca="false">IF($B125="","",(AB125^2)*('SENSIBILIDAD 2'!L102^2))</f>
        <v/>
      </c>
      <c r="AQ125" s="689" t="str">
        <f aca="false">IF(B125="","",SQRT(AC125+AD125+AE125+AF125+AG125+AH125+AI125+AJ125+AK125+AL125+AM125+AN125+AO125+AP125))</f>
        <v/>
      </c>
      <c r="AR125" s="701" t="str">
        <f aca="false">IF(B125="","",2*AQ125)</f>
        <v/>
      </c>
      <c r="AS125" s="706" t="str">
        <f aca="false">IF(B125="","",+AR125/1000)</f>
        <v/>
      </c>
      <c r="AT125" s="692" t="str">
        <f aca="false">IF('conversion datos'!$L$30='Patrones LACOMET'!$D$3,(IF(N125="","",AS125*39.37008)),IF('conversion datos'!$L$30='Patrones LACOMET'!$D$4,AS125,"No existe el patrón"))</f>
        <v/>
      </c>
    </row>
    <row r="126" customFormat="false" ht="15.75" hidden="false" customHeight="false" outlineLevel="0" collapsed="false">
      <c r="A126" s="81" t="n">
        <f aca="false">+CALIBRACION!A109</f>
        <v>98</v>
      </c>
      <c r="B126" s="672" t="str">
        <f aca="false">IF(CALIBRACION!H109="","",CALIBRACION!H109)</f>
        <v/>
      </c>
      <c r="C126" s="693" t="str">
        <f aca="false">IF(B126="","",+($F$20)/SQRT((5)))</f>
        <v/>
      </c>
      <c r="D126" s="693" t="str">
        <f aca="false">IF(B126="","",$F$21/SQRT((3)))</f>
        <v/>
      </c>
      <c r="E126" s="693" t="str">
        <f aca="false">IF(B126="","",$F$22/(SQRT(12)))</f>
        <v/>
      </c>
      <c r="F126" s="693" t="str">
        <f aca="false">IF(B126="","",$F$23/(SQRT(3)))</f>
        <v/>
      </c>
      <c r="G126" s="694" t="str">
        <f aca="false">IF(B126="","",(SQRT((+C126^2+D126^2+E126^2+F126^2))/(10^-3)))</f>
        <v/>
      </c>
      <c r="H126" s="675" t="str">
        <f aca="false">IF(B126="","",(IF('conversion datos'!$L$30='Patrones LACOMET'!$D$3,(VLOOKUP(B126,'BLOQUES PATRON (pulg) '!$K$5:$Q$86,6,FALSE())*1000),IF('conversion datos'!$L$30='Patrones LACOMET'!$D$4,(VLOOKUP(B126,'BLOQUES PATRON (mm)'!$D$5:$H$126,5,FALSE())),"No existe el patrón"))))</f>
        <v/>
      </c>
      <c r="I126" s="676" t="str">
        <f aca="false">IF(B126="","",0.42^2)</f>
        <v/>
      </c>
      <c r="J126" s="676" t="str">
        <f aca="false">IF(B126="","",IF('conversion datos'!$L$30='Patrones LACOMET'!$D$3,LOOKUP(B126,'BLOQUES PATRON (pulg) '!$S$5:$S$86,'BLOQUES PATRON (pulg) '!$Z$5:$Z$86),IF('conversion datos'!$L$30='Patrones LACOMET'!$D$4,LOOKUP(B126,'BLOQUES PATRON (mm)'!$O$5:$O$126,'BLOQUES PATRON (mm)'!$U$5:$U$126),"No existe el patrón")))</f>
        <v/>
      </c>
      <c r="K126" s="677" t="str">
        <f aca="false">IF(B126="","",SQRT((H126^2)+(J126^2)+(I126^2)))</f>
        <v/>
      </c>
      <c r="L126" s="695" t="str">
        <f aca="false">IF(B126="","",$G$4)</f>
        <v/>
      </c>
      <c r="M126" s="695" t="str">
        <f aca="false">IF(B126="","",($G$5))</f>
        <v/>
      </c>
      <c r="N126" s="695" t="str">
        <f aca="false">IF(B126="","",($G$6))</f>
        <v/>
      </c>
      <c r="O126" s="696" t="str">
        <f aca="false">IF(B126="","",(($G$7)))</f>
        <v/>
      </c>
      <c r="P126" s="697" t="str">
        <f aca="false">IF(B126="","",$G$8)</f>
        <v/>
      </c>
      <c r="Q126" s="698" t="str">
        <f aca="false">IF(B126="","",SQRT((L126^2)*(M126^2)+(N126^2)+(O126^2)+(P126^2)))</f>
        <v/>
      </c>
      <c r="R126" s="699" t="str">
        <f aca="false">IF(B126="","",($G$12))</f>
        <v/>
      </c>
      <c r="S126" s="699" t="str">
        <f aca="false">IF(B126="","",($G$13))</f>
        <v/>
      </c>
      <c r="T126" s="700" t="str">
        <f aca="false">IF(B126="","",+$F$14/SQRT(12))</f>
        <v/>
      </c>
      <c r="U126" s="684" t="str">
        <f aca="false">IF(B126="","",(($M$17)/2)*1000)</f>
        <v/>
      </c>
      <c r="V126" s="685" t="str">
        <f aca="false">+IF(B126="","",+$G$15)</f>
        <v/>
      </c>
      <c r="W126" s="685" t="str">
        <f aca="false">+IF(B126="","",+$G$16)</f>
        <v/>
      </c>
      <c r="X126" s="685" t="str">
        <f aca="false">+IF(B126="","",+$G$17)</f>
        <v/>
      </c>
      <c r="Y126" s="686" t="str">
        <f aca="false">+IF(B126="","",K126*$G$9)</f>
        <v/>
      </c>
      <c r="Z126" s="686" t="str">
        <f aca="false">+IF(B126="","",K126*$G$12)</f>
        <v/>
      </c>
      <c r="AA126" s="686" t="str">
        <f aca="false">+IF(B126="","",K126*$G$13)</f>
        <v/>
      </c>
      <c r="AB126" s="686" t="str">
        <f aca="false">+IF(B126="","",K126*T126)</f>
        <v/>
      </c>
      <c r="AC126" s="687" t="str">
        <f aca="false">IF(B126="","",('SENSIBILIDAD 2'!B103^2)*(G126^2))</f>
        <v/>
      </c>
      <c r="AD126" s="688" t="str">
        <f aca="false">IF(B126="","",('SENSIBILIDAD 2'!C103^2)*(K126^2))</f>
        <v/>
      </c>
      <c r="AE126" s="688" t="str">
        <f aca="false">IF(B126="","",'SENSIBILIDAD 2'!D103^2*(R126^2))</f>
        <v/>
      </c>
      <c r="AF126" s="688" t="str">
        <f aca="false">IF(B126="","",'SENSIBILIDAD 2'!E103^2*(S126^2))</f>
        <v/>
      </c>
      <c r="AG126" s="688" t="str">
        <f aca="false">IF(B126="","",'SENSIBILIDAD 2'!F103^2*(T126^2))</f>
        <v/>
      </c>
      <c r="AH126" s="688" t="str">
        <f aca="false">IF(B126="","",(('SENSIBILIDAD 2'!G103)^2)*(Q126^2))</f>
        <v/>
      </c>
      <c r="AI126" s="688" t="str">
        <f aca="false">IF(B126="","",'SENSIBILIDAD 2'!H103^2*(U126^2))</f>
        <v/>
      </c>
      <c r="AJ126" s="688" t="str">
        <f aca="false">IF(B126="","",'SENSIBILIDAD 2'!M103^2*(V126^2))</f>
        <v/>
      </c>
      <c r="AK126" s="688" t="str">
        <f aca="false">IF(B126="","",'SENSIBILIDAD 2'!N103^2*(W126^2))</f>
        <v/>
      </c>
      <c r="AL126" s="688" t="str">
        <f aca="false">IF(B126="","",'SENSIBILIDAD 2'!O103^2*(X126^2))</f>
        <v/>
      </c>
      <c r="AM126" s="688" t="str">
        <f aca="false">IF($B126="","",(Y126^2)*('SENSIBILIDAD 2'!K103^2))</f>
        <v/>
      </c>
      <c r="AN126" s="688" t="str">
        <f aca="false">IF($B126="","",(Z126^2)*('SENSIBILIDAD 2'!I103^2))</f>
        <v/>
      </c>
      <c r="AO126" s="688" t="str">
        <f aca="false">IF($B126="","",(AA126^2)*('SENSIBILIDAD 2'!J103^2))</f>
        <v/>
      </c>
      <c r="AP126" s="688" t="str">
        <f aca="false">IF($B126="","",(AB126^2)*('SENSIBILIDAD 2'!L103^2))</f>
        <v/>
      </c>
      <c r="AQ126" s="689" t="str">
        <f aca="false">IF(B126="","",SQRT(AC126+AD126+AE126+AF126+AG126+AH126+AI126+AJ126+AK126+AL126+AM126+AN126+AO126+AP126))</f>
        <v/>
      </c>
      <c r="AR126" s="701" t="str">
        <f aca="false">IF(B126="","",2*AQ126)</f>
        <v/>
      </c>
      <c r="AS126" s="706" t="str">
        <f aca="false">IF(B126="","",+AR126/1000)</f>
        <v/>
      </c>
      <c r="AT126" s="692" t="str">
        <f aca="false">IF('conversion datos'!$L$30='Patrones LACOMET'!$D$3,(IF(N126="","",AS126*39.37008)),IF('conversion datos'!$L$30='Patrones LACOMET'!$D$4,AS126,"No existe el patrón"))</f>
        <v/>
      </c>
    </row>
    <row r="127" customFormat="false" ht="15.75" hidden="false" customHeight="false" outlineLevel="0" collapsed="false">
      <c r="A127" s="81" t="n">
        <f aca="false">+CALIBRACION!A110</f>
        <v>99</v>
      </c>
      <c r="B127" s="672" t="str">
        <f aca="false">IF(CALIBRACION!H110="","",CALIBRACION!H110)</f>
        <v/>
      </c>
      <c r="C127" s="693" t="str">
        <f aca="false">IF(B127="","",+($F$20)/SQRT((5)))</f>
        <v/>
      </c>
      <c r="D127" s="693" t="str">
        <f aca="false">IF(B127="","",$F$21/SQRT((3)))</f>
        <v/>
      </c>
      <c r="E127" s="693" t="str">
        <f aca="false">IF(B127="","",$F$22/(SQRT(12)))</f>
        <v/>
      </c>
      <c r="F127" s="693" t="str">
        <f aca="false">IF(B127="","",$F$23/(SQRT(3)))</f>
        <v/>
      </c>
      <c r="G127" s="694" t="str">
        <f aca="false">IF(B127="","",(SQRT((+C127^2+D127^2+E127^2+F127^2))/(10^-3)))</f>
        <v/>
      </c>
      <c r="H127" s="675" t="str">
        <f aca="false">IF(B127="","",(IF('conversion datos'!$L$30='Patrones LACOMET'!$D$3,(VLOOKUP(B127,'BLOQUES PATRON (pulg) '!$K$5:$Q$86,6,FALSE())*1000),IF('conversion datos'!$L$30='Patrones LACOMET'!$D$4,(VLOOKUP(B127,'BLOQUES PATRON (mm)'!$D$5:$H$126,5,FALSE())),"No existe el patrón"))))</f>
        <v/>
      </c>
      <c r="I127" s="676" t="str">
        <f aca="false">IF(B127="","",0.42^2)</f>
        <v/>
      </c>
      <c r="J127" s="676" t="str">
        <f aca="false">IF(B127="","",IF('conversion datos'!$L$30='Patrones LACOMET'!$D$3,LOOKUP(B127,'BLOQUES PATRON (pulg) '!$S$5:$S$86,'BLOQUES PATRON (pulg) '!$Z$5:$Z$86),IF('conversion datos'!$L$30='Patrones LACOMET'!$D$4,LOOKUP(B127,'BLOQUES PATRON (mm)'!$O$5:$O$126,'BLOQUES PATRON (mm)'!$U$5:$U$126),"No existe el patrón")))</f>
        <v/>
      </c>
      <c r="K127" s="677" t="str">
        <f aca="false">IF(B127="","",SQRT((H127^2)+(J127^2)+(I127^2)))</f>
        <v/>
      </c>
      <c r="L127" s="695" t="str">
        <f aca="false">IF(B127="","",$G$4)</f>
        <v/>
      </c>
      <c r="M127" s="695" t="str">
        <f aca="false">IF(B127="","",($G$5))</f>
        <v/>
      </c>
      <c r="N127" s="695" t="str">
        <f aca="false">IF(B127="","",($G$6))</f>
        <v/>
      </c>
      <c r="O127" s="696" t="str">
        <f aca="false">IF(B127="","",(($G$7)))</f>
        <v/>
      </c>
      <c r="P127" s="697" t="str">
        <f aca="false">IF(B127="","",$G$8)</f>
        <v/>
      </c>
      <c r="Q127" s="698" t="str">
        <f aca="false">IF(B127="","",SQRT((L127^2)*(M127^2)+(N127^2)+(O127^2)+(P127^2)))</f>
        <v/>
      </c>
      <c r="R127" s="699" t="str">
        <f aca="false">IF(B127="","",($G$12))</f>
        <v/>
      </c>
      <c r="S127" s="699" t="str">
        <f aca="false">IF(B127="","",($G$13))</f>
        <v/>
      </c>
      <c r="T127" s="700" t="str">
        <f aca="false">IF(B127="","",+$F$14/SQRT(12))</f>
        <v/>
      </c>
      <c r="U127" s="684" t="str">
        <f aca="false">IF(B127="","",(($M$17)/2)*1000)</f>
        <v/>
      </c>
      <c r="V127" s="685" t="str">
        <f aca="false">+IF(B127="","",+$G$15)</f>
        <v/>
      </c>
      <c r="W127" s="685" t="str">
        <f aca="false">+IF(B127="","",+$G$16)</f>
        <v/>
      </c>
      <c r="X127" s="685" t="str">
        <f aca="false">+IF(B127="","",+$G$17)</f>
        <v/>
      </c>
      <c r="Y127" s="686" t="str">
        <f aca="false">+IF(B127="","",K127*$G$9)</f>
        <v/>
      </c>
      <c r="Z127" s="686" t="str">
        <f aca="false">+IF(B127="","",K127*$G$12)</f>
        <v/>
      </c>
      <c r="AA127" s="686" t="str">
        <f aca="false">+IF(B127="","",K127*$G$13)</f>
        <v/>
      </c>
      <c r="AB127" s="686" t="str">
        <f aca="false">+IF(B127="","",K127*T127)</f>
        <v/>
      </c>
      <c r="AC127" s="687" t="str">
        <f aca="false">IF(B127="","",('SENSIBILIDAD 2'!B104^2)*(G127^2))</f>
        <v/>
      </c>
      <c r="AD127" s="688" t="str">
        <f aca="false">IF(B127="","",('SENSIBILIDAD 2'!C104^2)*(K127^2))</f>
        <v/>
      </c>
      <c r="AE127" s="688" t="str">
        <f aca="false">IF(B127="","",'SENSIBILIDAD 2'!D104^2*(R127^2))</f>
        <v/>
      </c>
      <c r="AF127" s="688" t="str">
        <f aca="false">IF(B127="","",'SENSIBILIDAD 2'!E104^2*(S127^2))</f>
        <v/>
      </c>
      <c r="AG127" s="688" t="str">
        <f aca="false">IF(B127="","",'SENSIBILIDAD 2'!F104^2*(T127^2))</f>
        <v/>
      </c>
      <c r="AH127" s="688" t="str">
        <f aca="false">IF(B127="","",(('SENSIBILIDAD 2'!G104)^2)*(Q127^2))</f>
        <v/>
      </c>
      <c r="AI127" s="688" t="str">
        <f aca="false">IF(B127="","",'SENSIBILIDAD 2'!H104^2*(U127^2))</f>
        <v/>
      </c>
      <c r="AJ127" s="688" t="str">
        <f aca="false">IF(B127="","",'SENSIBILIDAD 2'!M104^2*(V127^2))</f>
        <v/>
      </c>
      <c r="AK127" s="688" t="str">
        <f aca="false">IF(B127="","",'SENSIBILIDAD 2'!N104^2*(W127^2))</f>
        <v/>
      </c>
      <c r="AL127" s="688" t="str">
        <f aca="false">IF(B127="","",'SENSIBILIDAD 2'!O104^2*(X127^2))</f>
        <v/>
      </c>
      <c r="AM127" s="688" t="str">
        <f aca="false">IF($B127="","",(Y127^2)*('SENSIBILIDAD 2'!K104^2))</f>
        <v/>
      </c>
      <c r="AN127" s="688" t="str">
        <f aca="false">IF($B127="","",(Z127^2)*('SENSIBILIDAD 2'!I104^2))</f>
        <v/>
      </c>
      <c r="AO127" s="688" t="str">
        <f aca="false">IF($B127="","",(AA127^2)*('SENSIBILIDAD 2'!J104^2))</f>
        <v/>
      </c>
      <c r="AP127" s="688" t="str">
        <f aca="false">IF($B127="","",(AB127^2)*('SENSIBILIDAD 2'!L104^2))</f>
        <v/>
      </c>
      <c r="AQ127" s="689" t="str">
        <f aca="false">IF(B127="","",SQRT(AC127+AD127+AE127+AF127+AG127+AH127+AI127+AJ127+AK127+AL127+AM127+AN127+AO127+AP127))</f>
        <v/>
      </c>
      <c r="AR127" s="701" t="str">
        <f aca="false">IF(B127="","",2*AQ127)</f>
        <v/>
      </c>
      <c r="AS127" s="706" t="str">
        <f aca="false">IF(B127="","",+AR127/1000)</f>
        <v/>
      </c>
      <c r="AT127" s="692" t="str">
        <f aca="false">IF('conversion datos'!$L$30='Patrones LACOMET'!$D$3,(IF(N127="","",AS127*39.37008)),IF('conversion datos'!$L$30='Patrones LACOMET'!$D$4,AS127,"No existe el patrón"))</f>
        <v/>
      </c>
    </row>
    <row r="128" customFormat="false" ht="15.75" hidden="false" customHeight="false" outlineLevel="0" collapsed="false">
      <c r="A128" s="81" t="n">
        <f aca="false">+CALIBRACION!A111</f>
        <v>100</v>
      </c>
      <c r="B128" s="672" t="str">
        <f aca="false">IF(CALIBRACION!H111="","",CALIBRACION!H111)</f>
        <v/>
      </c>
      <c r="C128" s="693" t="str">
        <f aca="false">IF(B128="","",+($F$20)/SQRT((5)))</f>
        <v/>
      </c>
      <c r="D128" s="693" t="str">
        <f aca="false">IF(B128="","",$F$21/SQRT((3)))</f>
        <v/>
      </c>
      <c r="E128" s="693" t="str">
        <f aca="false">IF(B128="","",$F$22/(SQRT(12)))</f>
        <v/>
      </c>
      <c r="F128" s="693" t="str">
        <f aca="false">IF(B128="","",$F$23/(SQRT(3)))</f>
        <v/>
      </c>
      <c r="G128" s="694" t="str">
        <f aca="false">IF(B128="","",(SQRT((+C128^2+D128^2+E128^2+F128^2))/(10^-3)))</f>
        <v/>
      </c>
      <c r="H128" s="675" t="str">
        <f aca="false">IF(B128="","",(IF('conversion datos'!$L$30='Patrones LACOMET'!$D$3,(VLOOKUP(B128,'BLOQUES PATRON (pulg) '!$K$5:$Q$86,6,FALSE())*1000),IF('conversion datos'!$L$30='Patrones LACOMET'!$D$4,(VLOOKUP(B128,'BLOQUES PATRON (mm)'!$D$5:$H$126,5,FALSE())),"No existe el patrón"))))</f>
        <v/>
      </c>
      <c r="I128" s="676" t="str">
        <f aca="false">IF(B128="","",0.42^2)</f>
        <v/>
      </c>
      <c r="J128" s="676" t="str">
        <f aca="false">IF(B128="","",IF('conversion datos'!$L$30='Patrones LACOMET'!$D$3,LOOKUP(B128,'BLOQUES PATRON (pulg) '!$S$5:$S$86,'BLOQUES PATRON (pulg) '!$Z$5:$Z$86),IF('conversion datos'!$L$30='Patrones LACOMET'!$D$4,LOOKUP(B128,'BLOQUES PATRON (mm)'!$O$5:$O$126,'BLOQUES PATRON (mm)'!$U$5:$U$126),"No existe el patrón")))</f>
        <v/>
      </c>
      <c r="K128" s="677" t="str">
        <f aca="false">IF(B128="","",SQRT((H128^2)+(J128^2)+(I128^2)))</f>
        <v/>
      </c>
      <c r="L128" s="695" t="str">
        <f aca="false">IF(B128="","",$G$4)</f>
        <v/>
      </c>
      <c r="M128" s="695" t="str">
        <f aca="false">IF(B128="","",($G$5))</f>
        <v/>
      </c>
      <c r="N128" s="695" t="str">
        <f aca="false">IF(B128="","",($G$6))</f>
        <v/>
      </c>
      <c r="O128" s="696" t="str">
        <f aca="false">IF(B128="","",(($G$7)))</f>
        <v/>
      </c>
      <c r="P128" s="697" t="str">
        <f aca="false">IF(B128="","",$G$8)</f>
        <v/>
      </c>
      <c r="Q128" s="698" t="str">
        <f aca="false">IF(B128="","",SQRT((L128^2)*(M128^2)+(N128^2)+(O128^2)+(P128^2)))</f>
        <v/>
      </c>
      <c r="R128" s="699" t="str">
        <f aca="false">IF(B128="","",($G$12))</f>
        <v/>
      </c>
      <c r="S128" s="699" t="str">
        <f aca="false">IF(B128="","",($G$13))</f>
        <v/>
      </c>
      <c r="T128" s="700" t="str">
        <f aca="false">IF(B128="","",+$F$14/SQRT(12))</f>
        <v/>
      </c>
      <c r="U128" s="684" t="str">
        <f aca="false">IF(B128="","",(($M$17)/2)*1000)</f>
        <v/>
      </c>
      <c r="V128" s="685" t="str">
        <f aca="false">+IF(B128="","",+$G$15)</f>
        <v/>
      </c>
      <c r="W128" s="685" t="str">
        <f aca="false">+IF(B128="","",+$G$16)</f>
        <v/>
      </c>
      <c r="X128" s="685" t="str">
        <f aca="false">+IF(B128="","",+$G$17)</f>
        <v/>
      </c>
      <c r="Y128" s="686" t="str">
        <f aca="false">+IF(B128="","",K128*$G$9)</f>
        <v/>
      </c>
      <c r="Z128" s="686" t="str">
        <f aca="false">+IF(B128="","",K128*$G$12)</f>
        <v/>
      </c>
      <c r="AA128" s="686" t="str">
        <f aca="false">+IF(B128="","",K128*$G$13)</f>
        <v/>
      </c>
      <c r="AB128" s="686" t="str">
        <f aca="false">+IF(B128="","",K128*T128)</f>
        <v/>
      </c>
      <c r="AC128" s="687" t="str">
        <f aca="false">IF(B128="","",('SENSIBILIDAD 2'!B105^2)*(G128^2))</f>
        <v/>
      </c>
      <c r="AD128" s="688" t="str">
        <f aca="false">IF(B128="","",('SENSIBILIDAD 2'!C105^2)*(K128^2))</f>
        <v/>
      </c>
      <c r="AE128" s="688" t="str">
        <f aca="false">IF(B128="","",'SENSIBILIDAD 2'!D105^2*(R128^2))</f>
        <v/>
      </c>
      <c r="AF128" s="688" t="str">
        <f aca="false">IF(B128="","",'SENSIBILIDAD 2'!E105^2*(S128^2))</f>
        <v/>
      </c>
      <c r="AG128" s="688" t="str">
        <f aca="false">IF(B128="","",'SENSIBILIDAD 2'!F105^2*(T128^2))</f>
        <v/>
      </c>
      <c r="AH128" s="688" t="str">
        <f aca="false">IF(B128="","",(('SENSIBILIDAD 2'!G105)^2)*(Q128^2))</f>
        <v/>
      </c>
      <c r="AI128" s="688" t="str">
        <f aca="false">IF(B128="","",'SENSIBILIDAD 2'!H105^2*(U128^2))</f>
        <v/>
      </c>
      <c r="AJ128" s="688" t="str">
        <f aca="false">IF(B128="","",'SENSIBILIDAD 2'!M105^2*(V128^2))</f>
        <v/>
      </c>
      <c r="AK128" s="688" t="str">
        <f aca="false">IF(B128="","",'SENSIBILIDAD 2'!N105^2*(W128^2))</f>
        <v/>
      </c>
      <c r="AL128" s="688" t="str">
        <f aca="false">IF(B128="","",'SENSIBILIDAD 2'!O105^2*(X128^2))</f>
        <v/>
      </c>
      <c r="AM128" s="688" t="str">
        <f aca="false">IF($B128="","",(Y128^2)*('SENSIBILIDAD 2'!K105^2))</f>
        <v/>
      </c>
      <c r="AN128" s="688" t="str">
        <f aca="false">IF($B128="","",(Z128^2)*('SENSIBILIDAD 2'!I105^2))</f>
        <v/>
      </c>
      <c r="AO128" s="688" t="str">
        <f aca="false">IF($B128="","",(AA128^2)*('SENSIBILIDAD 2'!J105^2))</f>
        <v/>
      </c>
      <c r="AP128" s="688" t="str">
        <f aca="false">IF($B128="","",(AB128^2)*('SENSIBILIDAD 2'!L105^2))</f>
        <v/>
      </c>
      <c r="AQ128" s="689" t="str">
        <f aca="false">IF(B128="","",SQRT(AC128+AD128+AE128+AF128+AG128+AH128+AI128+AJ128+AK128+AL128+AM128+AN128+AO128+AP128))</f>
        <v/>
      </c>
      <c r="AR128" s="701" t="str">
        <f aca="false">IF(B128="","",2*AQ128)</f>
        <v/>
      </c>
      <c r="AS128" s="706" t="str">
        <f aca="false">IF(B128="","",+AR128/1000)</f>
        <v/>
      </c>
      <c r="AT128" s="692" t="str">
        <f aca="false">IF('conversion datos'!$L$30='Patrones LACOMET'!$D$3,(IF(N128="","",AS128*39.37008)),IF('conversion datos'!$L$30='Patrones LACOMET'!$D$4,AS128,"No existe el patrón"))</f>
        <v/>
      </c>
    </row>
    <row r="129" customFormat="false" ht="15.75" hidden="false" customHeight="false" outlineLevel="0" collapsed="false">
      <c r="A129" s="81" t="n">
        <f aca="false">+CALIBRACION!A112</f>
        <v>101</v>
      </c>
      <c r="B129" s="672" t="str">
        <f aca="false">IF(CALIBRACION!H112="","",CALIBRACION!H112)</f>
        <v/>
      </c>
      <c r="C129" s="693" t="str">
        <f aca="false">IF(B129="","",+($F$20)/SQRT((5)))</f>
        <v/>
      </c>
      <c r="D129" s="693" t="str">
        <f aca="false">IF(B129="","",$F$21/SQRT((3)))</f>
        <v/>
      </c>
      <c r="E129" s="693" t="str">
        <f aca="false">IF(B129="","",$F$22/(SQRT(12)))</f>
        <v/>
      </c>
      <c r="F129" s="693" t="str">
        <f aca="false">IF(B129="","",$F$23/(SQRT(3)))</f>
        <v/>
      </c>
      <c r="G129" s="694" t="str">
        <f aca="false">IF(B129="","",(SQRT((+C129^2+D129^2+E129^2+F129^2))/(10^-3)))</f>
        <v/>
      </c>
      <c r="H129" s="675" t="str">
        <f aca="false">IF(B129="","",(IF('conversion datos'!$L$30='Patrones LACOMET'!$D$3,(VLOOKUP(B129,'BLOQUES PATRON (pulg) '!$K$5:$Q$86,6,FALSE())*1000),IF('conversion datos'!$L$30='Patrones LACOMET'!$D$4,(VLOOKUP(B129,'BLOQUES PATRON (mm)'!$D$5:$H$126,5,FALSE())),"No existe el patrón"))))</f>
        <v/>
      </c>
      <c r="I129" s="676" t="str">
        <f aca="false">IF(B129="","",0.42^2)</f>
        <v/>
      </c>
      <c r="J129" s="676" t="str">
        <f aca="false">IF(B129="","",IF('conversion datos'!$L$30='Patrones LACOMET'!$D$3,LOOKUP(B129,'BLOQUES PATRON (pulg) '!$S$5:$S$86,'BLOQUES PATRON (pulg) '!$Z$5:$Z$86),IF('conversion datos'!$L$30='Patrones LACOMET'!$D$4,LOOKUP(B129,'BLOQUES PATRON (mm)'!$O$5:$O$126,'BLOQUES PATRON (mm)'!$U$5:$U$126),"No existe el patrón")))</f>
        <v/>
      </c>
      <c r="K129" s="677" t="str">
        <f aca="false">IF(B129="","",SQRT((H129^2)+(J129^2)+(I129^2)))</f>
        <v/>
      </c>
      <c r="L129" s="695" t="str">
        <f aca="false">IF(B129="","",$G$4)</f>
        <v/>
      </c>
      <c r="M129" s="695" t="str">
        <f aca="false">IF(B129="","",($G$5))</f>
        <v/>
      </c>
      <c r="N129" s="695" t="str">
        <f aca="false">IF(B129="","",($G$6))</f>
        <v/>
      </c>
      <c r="O129" s="696" t="str">
        <f aca="false">IF(B129="","",(($G$7)))</f>
        <v/>
      </c>
      <c r="P129" s="697" t="str">
        <f aca="false">IF(B129="","",$G$8)</f>
        <v/>
      </c>
      <c r="Q129" s="698" t="str">
        <f aca="false">IF(B129="","",SQRT((L129^2)*(M129^2)+(N129^2)+(O129^2)+(P129^2)))</f>
        <v/>
      </c>
      <c r="R129" s="699" t="str">
        <f aca="false">IF(B129="","",($G$12))</f>
        <v/>
      </c>
      <c r="S129" s="699" t="str">
        <f aca="false">IF(B129="","",($G$13))</f>
        <v/>
      </c>
      <c r="T129" s="700" t="str">
        <f aca="false">IF(B129="","",+$F$14/SQRT(12))</f>
        <v/>
      </c>
      <c r="U129" s="684" t="str">
        <f aca="false">IF(B129="","",(($M$17)/2)*1000)</f>
        <v/>
      </c>
      <c r="V129" s="685" t="str">
        <f aca="false">+IF(B129="","",+$G$15)</f>
        <v/>
      </c>
      <c r="W129" s="685" t="str">
        <f aca="false">+IF(B129="","",+$G$16)</f>
        <v/>
      </c>
      <c r="X129" s="685" t="str">
        <f aca="false">+IF(B129="","",+$G$17)</f>
        <v/>
      </c>
      <c r="Y129" s="686" t="str">
        <f aca="false">+IF(B129="","",K129*$G$9)</f>
        <v/>
      </c>
      <c r="Z129" s="686" t="str">
        <f aca="false">+IF(B129="","",K129*$G$12)</f>
        <v/>
      </c>
      <c r="AA129" s="686" t="str">
        <f aca="false">+IF(B129="","",K129*$G$13)</f>
        <v/>
      </c>
      <c r="AB129" s="686" t="str">
        <f aca="false">+IF(B129="","",K129*T129)</f>
        <v/>
      </c>
      <c r="AC129" s="687" t="str">
        <f aca="false">IF(B129="","",('SENSIBILIDAD 2'!B106^2)*(G129^2))</f>
        <v/>
      </c>
      <c r="AD129" s="688" t="str">
        <f aca="false">IF(B129="","",('SENSIBILIDAD 2'!C106^2)*(K129^2))</f>
        <v/>
      </c>
      <c r="AE129" s="688" t="str">
        <f aca="false">IF(B129="","",'SENSIBILIDAD 2'!D106^2*(R129^2))</f>
        <v/>
      </c>
      <c r="AF129" s="688" t="str">
        <f aca="false">IF(B129="","",'SENSIBILIDAD 2'!E106^2*(S129^2))</f>
        <v/>
      </c>
      <c r="AG129" s="688" t="str">
        <f aca="false">IF(B129="","",'SENSIBILIDAD 2'!F106^2*(T129^2))</f>
        <v/>
      </c>
      <c r="AH129" s="688" t="str">
        <f aca="false">IF(B129="","",(('SENSIBILIDAD 2'!G106)^2)*(Q129^2))</f>
        <v/>
      </c>
      <c r="AI129" s="688" t="str">
        <f aca="false">IF(B129="","",'SENSIBILIDAD 2'!H106^2*(U129^2))</f>
        <v/>
      </c>
      <c r="AJ129" s="688" t="str">
        <f aca="false">IF(B129="","",'SENSIBILIDAD 2'!M106^2*(V129^2))</f>
        <v/>
      </c>
      <c r="AK129" s="688" t="str">
        <f aca="false">IF(B129="","",'SENSIBILIDAD 2'!N106^2*(W129^2))</f>
        <v/>
      </c>
      <c r="AL129" s="688" t="str">
        <f aca="false">IF(B129="","",'SENSIBILIDAD 2'!O106^2*(X129^2))</f>
        <v/>
      </c>
      <c r="AM129" s="688" t="str">
        <f aca="false">IF($B129="","",(Y129^2)*('SENSIBILIDAD 2'!K106^2))</f>
        <v/>
      </c>
      <c r="AN129" s="688" t="str">
        <f aca="false">IF($B129="","",(Z129^2)*('SENSIBILIDAD 2'!I106^2))</f>
        <v/>
      </c>
      <c r="AO129" s="688" t="str">
        <f aca="false">IF($B129="","",(AA129^2)*('SENSIBILIDAD 2'!J106^2))</f>
        <v/>
      </c>
      <c r="AP129" s="688" t="str">
        <f aca="false">IF($B129="","",(AB129^2)*('SENSIBILIDAD 2'!L106^2))</f>
        <v/>
      </c>
      <c r="AQ129" s="689" t="str">
        <f aca="false">IF(B129="","",SQRT(AC129+AD129+AE129+AF129+AG129+AH129+AI129+AJ129+AK129+AL129+AM129+AN129+AO129+AP129))</f>
        <v/>
      </c>
      <c r="AR129" s="701" t="str">
        <f aca="false">IF(B129="","",2*AQ129)</f>
        <v/>
      </c>
      <c r="AS129" s="706" t="str">
        <f aca="false">IF(B129="","",+AR129/1000)</f>
        <v/>
      </c>
      <c r="AT129" s="692" t="str">
        <f aca="false">IF('conversion datos'!$L$30='Patrones LACOMET'!$D$3,(IF(N129="","",AS129*39.37008)),IF('conversion datos'!$L$30='Patrones LACOMET'!$D$4,AS129,"No existe el patrón"))</f>
        <v/>
      </c>
    </row>
    <row r="130" customFormat="false" ht="15.75" hidden="false" customHeight="false" outlineLevel="0" collapsed="false">
      <c r="A130" s="81" t="n">
        <f aca="false">+CALIBRACION!A113</f>
        <v>102</v>
      </c>
      <c r="B130" s="672" t="str">
        <f aca="false">IF(CALIBRACION!H113="","",CALIBRACION!H113)</f>
        <v/>
      </c>
      <c r="C130" s="693" t="str">
        <f aca="false">IF(B130="","",+($F$20)/SQRT((5)))</f>
        <v/>
      </c>
      <c r="D130" s="693" t="str">
        <f aca="false">IF(B130="","",$F$21/SQRT((3)))</f>
        <v/>
      </c>
      <c r="E130" s="693" t="str">
        <f aca="false">IF(B130="","",$F$22/(SQRT(12)))</f>
        <v/>
      </c>
      <c r="F130" s="693" t="str">
        <f aca="false">IF(B130="","",$F$23/(SQRT(3)))</f>
        <v/>
      </c>
      <c r="G130" s="694" t="str">
        <f aca="false">IF(B130="","",(SQRT((+C130^2+D130^2+E130^2+F130^2))/(10^-3)))</f>
        <v/>
      </c>
      <c r="H130" s="675" t="str">
        <f aca="false">IF(B130="","",(IF('conversion datos'!$L$30='Patrones LACOMET'!$D$3,(VLOOKUP(B130,'BLOQUES PATRON (pulg) '!$K$5:$Q$86,6,FALSE())*1000),IF('conversion datos'!$L$30='Patrones LACOMET'!$D$4,(VLOOKUP(B130,'BLOQUES PATRON (mm)'!$D$5:$H$126,5,FALSE())),"No existe el patrón"))))</f>
        <v/>
      </c>
      <c r="I130" s="676" t="str">
        <f aca="false">IF(B130="","",0.42^2)</f>
        <v/>
      </c>
      <c r="J130" s="676" t="str">
        <f aca="false">IF(B130="","",IF('conversion datos'!$L$30='Patrones LACOMET'!$D$3,LOOKUP(B130,'BLOQUES PATRON (pulg) '!$S$5:$S$86,'BLOQUES PATRON (pulg) '!$Z$5:$Z$86),IF('conversion datos'!$L$30='Patrones LACOMET'!$D$4,LOOKUP(B130,'BLOQUES PATRON (mm)'!$O$5:$O$126,'BLOQUES PATRON (mm)'!$U$5:$U$126),"No existe el patrón")))</f>
        <v/>
      </c>
      <c r="K130" s="677" t="str">
        <f aca="false">IF(B130="","",SQRT((H130^2)+(J130^2)+(I130^2)))</f>
        <v/>
      </c>
      <c r="L130" s="695" t="str">
        <f aca="false">IF(B130="","",$G$4)</f>
        <v/>
      </c>
      <c r="M130" s="695" t="str">
        <f aca="false">IF(B130="","",($G$5))</f>
        <v/>
      </c>
      <c r="N130" s="695" t="str">
        <f aca="false">IF(B130="","",($G$6))</f>
        <v/>
      </c>
      <c r="O130" s="696" t="str">
        <f aca="false">IF(B130="","",(($G$7)))</f>
        <v/>
      </c>
      <c r="P130" s="697" t="str">
        <f aca="false">IF(B130="","",$G$8)</f>
        <v/>
      </c>
      <c r="Q130" s="698" t="str">
        <f aca="false">IF(B130="","",SQRT((L130^2)*(M130^2)+(N130^2)+(O130^2)+(P130^2)))</f>
        <v/>
      </c>
      <c r="R130" s="699" t="str">
        <f aca="false">IF(B130="","",($G$12))</f>
        <v/>
      </c>
      <c r="S130" s="699" t="str">
        <f aca="false">IF(B130="","",($G$13))</f>
        <v/>
      </c>
      <c r="T130" s="700" t="str">
        <f aca="false">IF(B130="","",+$F$14/SQRT(12))</f>
        <v/>
      </c>
      <c r="U130" s="684" t="str">
        <f aca="false">IF(B130="","",(($M$17)/2)*1000)</f>
        <v/>
      </c>
      <c r="V130" s="685" t="str">
        <f aca="false">+IF(B130="","",+$G$15)</f>
        <v/>
      </c>
      <c r="W130" s="685" t="str">
        <f aca="false">+IF(B130="","",+$G$16)</f>
        <v/>
      </c>
      <c r="X130" s="685" t="str">
        <f aca="false">+IF(B130="","",+$G$17)</f>
        <v/>
      </c>
      <c r="Y130" s="686" t="str">
        <f aca="false">+IF(B130="","",K130*$G$9)</f>
        <v/>
      </c>
      <c r="Z130" s="686" t="str">
        <f aca="false">+IF(B130="","",K130*$G$12)</f>
        <v/>
      </c>
      <c r="AA130" s="686" t="str">
        <f aca="false">+IF(B130="","",K130*$G$13)</f>
        <v/>
      </c>
      <c r="AB130" s="686" t="str">
        <f aca="false">+IF(B130="","",K130*T130)</f>
        <v/>
      </c>
      <c r="AC130" s="687" t="str">
        <f aca="false">IF(B130="","",('SENSIBILIDAD 2'!B107^2)*(G130^2))</f>
        <v/>
      </c>
      <c r="AD130" s="688" t="str">
        <f aca="false">IF(B130="","",('SENSIBILIDAD 2'!C107^2)*(K130^2))</f>
        <v/>
      </c>
      <c r="AE130" s="688" t="str">
        <f aca="false">IF(B130="","",'SENSIBILIDAD 2'!D107^2*(R130^2))</f>
        <v/>
      </c>
      <c r="AF130" s="688" t="str">
        <f aca="false">IF(B130="","",'SENSIBILIDAD 2'!E107^2*(S130^2))</f>
        <v/>
      </c>
      <c r="AG130" s="688" t="str">
        <f aca="false">IF(B130="","",'SENSIBILIDAD 2'!F107^2*(T130^2))</f>
        <v/>
      </c>
      <c r="AH130" s="688" t="str">
        <f aca="false">IF(B130="","",(('SENSIBILIDAD 2'!G107)^2)*(Q130^2))</f>
        <v/>
      </c>
      <c r="AI130" s="688" t="str">
        <f aca="false">IF(B130="","",'SENSIBILIDAD 2'!H107^2*(U130^2))</f>
        <v/>
      </c>
      <c r="AJ130" s="688" t="str">
        <f aca="false">IF(B130="","",'SENSIBILIDAD 2'!M107^2*(V130^2))</f>
        <v/>
      </c>
      <c r="AK130" s="688" t="str">
        <f aca="false">IF(B130="","",'SENSIBILIDAD 2'!N107^2*(W130^2))</f>
        <v/>
      </c>
      <c r="AL130" s="688" t="str">
        <f aca="false">IF(B130="","",'SENSIBILIDAD 2'!O107^2*(X130^2))</f>
        <v/>
      </c>
      <c r="AM130" s="688" t="str">
        <f aca="false">IF($B130="","",(Y130^2)*('SENSIBILIDAD 2'!K107^2))</f>
        <v/>
      </c>
      <c r="AN130" s="688" t="str">
        <f aca="false">IF($B130="","",(Z130^2)*('SENSIBILIDAD 2'!I107^2))</f>
        <v/>
      </c>
      <c r="AO130" s="688" t="str">
        <f aca="false">IF($B130="","",(AA130^2)*('SENSIBILIDAD 2'!J107^2))</f>
        <v/>
      </c>
      <c r="AP130" s="688" t="str">
        <f aca="false">IF($B130="","",(AB130^2)*('SENSIBILIDAD 2'!L107^2))</f>
        <v/>
      </c>
      <c r="AQ130" s="689" t="str">
        <f aca="false">IF(B130="","",SQRT(AC130+AD130+AE130+AF130+AG130+AH130+AI130+AJ130+AK130+AL130+AM130+AN130+AO130+AP130))</f>
        <v/>
      </c>
      <c r="AR130" s="701" t="str">
        <f aca="false">IF(B130="","",2*AQ130)</f>
        <v/>
      </c>
      <c r="AS130" s="706" t="str">
        <f aca="false">IF(B130="","",+AR130/1000)</f>
        <v/>
      </c>
      <c r="AT130" s="692" t="str">
        <f aca="false">IF('conversion datos'!$L$30='Patrones LACOMET'!$D$3,(IF(N130="","",AS130*39.37008)),IF('conversion datos'!$L$30='Patrones LACOMET'!$D$4,AS130,"No existe el patrón"))</f>
        <v/>
      </c>
    </row>
    <row r="131" customFormat="false" ht="15.75" hidden="false" customHeight="false" outlineLevel="0" collapsed="false">
      <c r="A131" s="81" t="n">
        <f aca="false">+CALIBRACION!A114</f>
        <v>103</v>
      </c>
      <c r="B131" s="672" t="str">
        <f aca="false">IF(CALIBRACION!H114="","",CALIBRACION!H114)</f>
        <v/>
      </c>
      <c r="C131" s="693" t="str">
        <f aca="false">IF(B131="","",+($F$20)/SQRT((5)))</f>
        <v/>
      </c>
      <c r="D131" s="693" t="str">
        <f aca="false">IF(B131="","",$F$21/SQRT((3)))</f>
        <v/>
      </c>
      <c r="E131" s="693" t="str">
        <f aca="false">IF(B131="","",$F$22/(SQRT(12)))</f>
        <v/>
      </c>
      <c r="F131" s="693" t="str">
        <f aca="false">IF(B131="","",$F$23/(SQRT(3)))</f>
        <v/>
      </c>
      <c r="G131" s="694" t="str">
        <f aca="false">IF(B131="","",(SQRT((+C131^2+D131^2+E131^2+F131^2))/(10^-3)))</f>
        <v/>
      </c>
      <c r="H131" s="675" t="str">
        <f aca="false">IF(B131="","",(IF('conversion datos'!$L$30='Patrones LACOMET'!$D$3,(VLOOKUP(B131,'BLOQUES PATRON (pulg) '!$K$5:$Q$86,6,FALSE())*1000),IF('conversion datos'!$L$30='Patrones LACOMET'!$D$4,(VLOOKUP(B131,'BLOQUES PATRON (mm)'!$D$5:$H$126,5,FALSE())),"No existe el patrón"))))</f>
        <v/>
      </c>
      <c r="I131" s="676" t="str">
        <f aca="false">IF(B131="","",0.42^2)</f>
        <v/>
      </c>
      <c r="J131" s="676" t="str">
        <f aca="false">IF(B131="","",IF('conversion datos'!$L$30='Patrones LACOMET'!$D$3,LOOKUP(B131,'BLOQUES PATRON (pulg) '!$S$5:$S$86,'BLOQUES PATRON (pulg) '!$Z$5:$Z$86),IF('conversion datos'!$L$30='Patrones LACOMET'!$D$4,LOOKUP(B131,'BLOQUES PATRON (mm)'!$O$5:$O$126,'BLOQUES PATRON (mm)'!$U$5:$U$126),"No existe el patrón")))</f>
        <v/>
      </c>
      <c r="K131" s="677" t="str">
        <f aca="false">IF(B131="","",SQRT((H131^2)+(J131^2)+(I131^2)))</f>
        <v/>
      </c>
      <c r="L131" s="695" t="str">
        <f aca="false">IF(B131="","",$G$4)</f>
        <v/>
      </c>
      <c r="M131" s="695" t="str">
        <f aca="false">IF(B131="","",($G$5))</f>
        <v/>
      </c>
      <c r="N131" s="695" t="str">
        <f aca="false">IF(B131="","",($G$6))</f>
        <v/>
      </c>
      <c r="O131" s="696" t="str">
        <f aca="false">IF(B131="","",(($G$7)))</f>
        <v/>
      </c>
      <c r="P131" s="697" t="str">
        <f aca="false">IF(B131="","",$G$8)</f>
        <v/>
      </c>
      <c r="Q131" s="698" t="str">
        <f aca="false">IF(B131="","",SQRT((L131^2)*(M131^2)+(N131^2)+(O131^2)+(P131^2)))</f>
        <v/>
      </c>
      <c r="R131" s="699" t="str">
        <f aca="false">IF(B131="","",($G$12))</f>
        <v/>
      </c>
      <c r="S131" s="699" t="str">
        <f aca="false">IF(B131="","",($G$13))</f>
        <v/>
      </c>
      <c r="T131" s="700" t="str">
        <f aca="false">IF(B131="","",+$F$14/SQRT(12))</f>
        <v/>
      </c>
      <c r="U131" s="684" t="str">
        <f aca="false">IF(B131="","",(($M$17)/2)*1000)</f>
        <v/>
      </c>
      <c r="V131" s="685" t="str">
        <f aca="false">+IF(B131="","",+$G$15)</f>
        <v/>
      </c>
      <c r="W131" s="685" t="str">
        <f aca="false">+IF(B131="","",+$G$16)</f>
        <v/>
      </c>
      <c r="X131" s="685" t="str">
        <f aca="false">+IF(B131="","",+$G$17)</f>
        <v/>
      </c>
      <c r="Y131" s="686" t="str">
        <f aca="false">+IF(B131="","",K131*$G$9)</f>
        <v/>
      </c>
      <c r="Z131" s="686" t="str">
        <f aca="false">+IF(B131="","",K131*$G$12)</f>
        <v/>
      </c>
      <c r="AA131" s="686" t="str">
        <f aca="false">+IF(B131="","",K131*$G$13)</f>
        <v/>
      </c>
      <c r="AB131" s="686" t="str">
        <f aca="false">+IF(B131="","",K131*T131)</f>
        <v/>
      </c>
      <c r="AC131" s="687" t="str">
        <f aca="false">IF(B131="","",('SENSIBILIDAD 2'!B108^2)*(G131^2))</f>
        <v/>
      </c>
      <c r="AD131" s="688" t="str">
        <f aca="false">IF(B131="","",('SENSIBILIDAD 2'!C108^2)*(K131^2))</f>
        <v/>
      </c>
      <c r="AE131" s="688" t="str">
        <f aca="false">IF(B131="","",'SENSIBILIDAD 2'!D108^2*(R131^2))</f>
        <v/>
      </c>
      <c r="AF131" s="688" t="str">
        <f aca="false">IF(B131="","",'SENSIBILIDAD 2'!E108^2*(S131^2))</f>
        <v/>
      </c>
      <c r="AG131" s="688" t="str">
        <f aca="false">IF(B131="","",'SENSIBILIDAD 2'!F108^2*(T131^2))</f>
        <v/>
      </c>
      <c r="AH131" s="688" t="str">
        <f aca="false">IF(B131="","",(('SENSIBILIDAD 2'!G108)^2)*(Q131^2))</f>
        <v/>
      </c>
      <c r="AI131" s="688" t="str">
        <f aca="false">IF(B131="","",'SENSIBILIDAD 2'!H108^2*(U131^2))</f>
        <v/>
      </c>
      <c r="AJ131" s="688" t="str">
        <f aca="false">IF(B131="","",'SENSIBILIDAD 2'!M108^2*(V131^2))</f>
        <v/>
      </c>
      <c r="AK131" s="688" t="str">
        <f aca="false">IF(B131="","",'SENSIBILIDAD 2'!N108^2*(W131^2))</f>
        <v/>
      </c>
      <c r="AL131" s="688" t="str">
        <f aca="false">IF(B131="","",'SENSIBILIDAD 2'!O108^2*(X131^2))</f>
        <v/>
      </c>
      <c r="AM131" s="688" t="str">
        <f aca="false">IF($B131="","",(Y131^2)*('SENSIBILIDAD 2'!K108^2))</f>
        <v/>
      </c>
      <c r="AN131" s="688" t="str">
        <f aca="false">IF($B131="","",(Z131^2)*('SENSIBILIDAD 2'!I108^2))</f>
        <v/>
      </c>
      <c r="AO131" s="688" t="str">
        <f aca="false">IF($B131="","",(AA131^2)*('SENSIBILIDAD 2'!J108^2))</f>
        <v/>
      </c>
      <c r="AP131" s="688" t="str">
        <f aca="false">IF($B131="","",(AB131^2)*('SENSIBILIDAD 2'!L108^2))</f>
        <v/>
      </c>
      <c r="AQ131" s="689" t="str">
        <f aca="false">IF(B131="","",SQRT(AC131+AD131+AE131+AF131+AG131+AH131+AI131+AJ131+AK131+AL131+AM131+AN131+AO131+AP131))</f>
        <v/>
      </c>
      <c r="AR131" s="701" t="str">
        <f aca="false">IF(B131="","",2*AQ131)</f>
        <v/>
      </c>
      <c r="AS131" s="706" t="str">
        <f aca="false">IF(B131="","",+AR131/1000)</f>
        <v/>
      </c>
      <c r="AT131" s="692" t="str">
        <f aca="false">IF('conversion datos'!$L$30='Patrones LACOMET'!$D$3,(IF(N131="","",AS131*39.37008)),IF('conversion datos'!$L$30='Patrones LACOMET'!$D$4,AS131,"No existe el patrón"))</f>
        <v/>
      </c>
    </row>
    <row r="132" customFormat="false" ht="15.75" hidden="false" customHeight="false" outlineLevel="0" collapsed="false">
      <c r="A132" s="81" t="n">
        <f aca="false">+CALIBRACION!A115</f>
        <v>104</v>
      </c>
      <c r="B132" s="672" t="str">
        <f aca="false">IF(CALIBRACION!H115="","",CALIBRACION!H115)</f>
        <v/>
      </c>
      <c r="C132" s="693" t="str">
        <f aca="false">IF(B132="","",+($F$20)/SQRT((5)))</f>
        <v/>
      </c>
      <c r="D132" s="693" t="str">
        <f aca="false">IF(B132="","",$F$21/SQRT((3)))</f>
        <v/>
      </c>
      <c r="E132" s="693" t="str">
        <f aca="false">IF(B132="","",$F$22/(SQRT(12)))</f>
        <v/>
      </c>
      <c r="F132" s="693" t="str">
        <f aca="false">IF(B132="","",$F$23/(SQRT(3)))</f>
        <v/>
      </c>
      <c r="G132" s="694" t="str">
        <f aca="false">IF(B132="","",(SQRT((+C132^2+D132^2+E132^2+F132^2))/(10^-3)))</f>
        <v/>
      </c>
      <c r="H132" s="675" t="str">
        <f aca="false">IF(B132="","",(IF('conversion datos'!$L$30='Patrones LACOMET'!$D$3,(VLOOKUP(B132,'BLOQUES PATRON (pulg) '!$K$5:$Q$86,6,FALSE())*1000),IF('conversion datos'!$L$30='Patrones LACOMET'!$D$4,(VLOOKUP(B132,'BLOQUES PATRON (mm)'!$D$5:$H$126,5,FALSE())),"No existe el patrón"))))</f>
        <v/>
      </c>
      <c r="I132" s="676" t="str">
        <f aca="false">IF(B132="","",0.42^2)</f>
        <v/>
      </c>
      <c r="J132" s="676" t="str">
        <f aca="false">IF(B132="","",IF('conversion datos'!$L$30='Patrones LACOMET'!$D$3,LOOKUP(B132,'BLOQUES PATRON (pulg) '!$S$5:$S$86,'BLOQUES PATRON (pulg) '!$Z$5:$Z$86),IF('conversion datos'!$L$30='Patrones LACOMET'!$D$4,LOOKUP(B132,'BLOQUES PATRON (mm)'!$O$5:$O$126,'BLOQUES PATRON (mm)'!$U$5:$U$126),"No existe el patrón")))</f>
        <v/>
      </c>
      <c r="K132" s="677" t="str">
        <f aca="false">IF(B132="","",SQRT((H132^2)+(J132^2)+(I132^2)))</f>
        <v/>
      </c>
      <c r="L132" s="695" t="str">
        <f aca="false">IF(B132="","",$G$4)</f>
        <v/>
      </c>
      <c r="M132" s="695" t="str">
        <f aca="false">IF(B132="","",($G$5))</f>
        <v/>
      </c>
      <c r="N132" s="695" t="str">
        <f aca="false">IF(B132="","",($G$6))</f>
        <v/>
      </c>
      <c r="O132" s="696" t="str">
        <f aca="false">IF(B132="","",(($G$7)))</f>
        <v/>
      </c>
      <c r="P132" s="697" t="str">
        <f aca="false">IF(B132="","",$G$8)</f>
        <v/>
      </c>
      <c r="Q132" s="698" t="str">
        <f aca="false">IF(B132="","",SQRT((L132^2)*(M132^2)+(N132^2)+(O132^2)+(P132^2)))</f>
        <v/>
      </c>
      <c r="R132" s="699" t="str">
        <f aca="false">IF(B132="","",($G$12))</f>
        <v/>
      </c>
      <c r="S132" s="699" t="str">
        <f aca="false">IF(B132="","",($G$13))</f>
        <v/>
      </c>
      <c r="T132" s="700" t="str">
        <f aca="false">IF(B132="","",+$F$14/SQRT(12))</f>
        <v/>
      </c>
      <c r="U132" s="684" t="str">
        <f aca="false">IF(B132="","",(($M$17)/2)*1000)</f>
        <v/>
      </c>
      <c r="V132" s="685" t="str">
        <f aca="false">+IF(B132="","",+$G$15)</f>
        <v/>
      </c>
      <c r="W132" s="685" t="str">
        <f aca="false">+IF(B132="","",+$G$16)</f>
        <v/>
      </c>
      <c r="X132" s="685" t="str">
        <f aca="false">+IF(B132="","",+$G$17)</f>
        <v/>
      </c>
      <c r="Y132" s="686" t="str">
        <f aca="false">+IF(B132="","",K132*$G$9)</f>
        <v/>
      </c>
      <c r="Z132" s="686" t="str">
        <f aca="false">+IF(B132="","",K132*$G$12)</f>
        <v/>
      </c>
      <c r="AA132" s="686" t="str">
        <f aca="false">+IF(B132="","",K132*$G$13)</f>
        <v/>
      </c>
      <c r="AB132" s="686" t="str">
        <f aca="false">+IF(B132="","",K132*T132)</f>
        <v/>
      </c>
      <c r="AC132" s="687" t="str">
        <f aca="false">IF(B132="","",('SENSIBILIDAD 2'!B109^2)*(G132^2))</f>
        <v/>
      </c>
      <c r="AD132" s="688" t="str">
        <f aca="false">IF(B132="","",('SENSIBILIDAD 2'!C109^2)*(K132^2))</f>
        <v/>
      </c>
      <c r="AE132" s="688" t="str">
        <f aca="false">IF(B132="","",'SENSIBILIDAD 2'!D109^2*(R132^2))</f>
        <v/>
      </c>
      <c r="AF132" s="688" t="str">
        <f aca="false">IF(B132="","",'SENSIBILIDAD 2'!E109^2*(S132^2))</f>
        <v/>
      </c>
      <c r="AG132" s="688" t="str">
        <f aca="false">IF(B132="","",'SENSIBILIDAD 2'!F109^2*(T132^2))</f>
        <v/>
      </c>
      <c r="AH132" s="688" t="str">
        <f aca="false">IF(B132="","",(('SENSIBILIDAD 2'!G109)^2)*(Q132^2))</f>
        <v/>
      </c>
      <c r="AI132" s="688" t="str">
        <f aca="false">IF(B132="","",'SENSIBILIDAD 2'!H109^2*(U132^2))</f>
        <v/>
      </c>
      <c r="AJ132" s="688" t="str">
        <f aca="false">IF(B132="","",'SENSIBILIDAD 2'!M109^2*(V132^2))</f>
        <v/>
      </c>
      <c r="AK132" s="688" t="str">
        <f aca="false">IF(B132="","",'SENSIBILIDAD 2'!N109^2*(W132^2))</f>
        <v/>
      </c>
      <c r="AL132" s="688" t="str">
        <f aca="false">IF(B132="","",'SENSIBILIDAD 2'!O109^2*(X132^2))</f>
        <v/>
      </c>
      <c r="AM132" s="688" t="str">
        <f aca="false">IF($B132="","",(Y132^2)*('SENSIBILIDAD 2'!K109^2))</f>
        <v/>
      </c>
      <c r="AN132" s="688" t="str">
        <f aca="false">IF($B132="","",(Z132^2)*('SENSIBILIDAD 2'!I109^2))</f>
        <v/>
      </c>
      <c r="AO132" s="688" t="str">
        <f aca="false">IF($B132="","",(AA132^2)*('SENSIBILIDAD 2'!J109^2))</f>
        <v/>
      </c>
      <c r="AP132" s="688" t="str">
        <f aca="false">IF($B132="","",(AB132^2)*('SENSIBILIDAD 2'!L109^2))</f>
        <v/>
      </c>
      <c r="AQ132" s="689" t="str">
        <f aca="false">IF(B132="","",SQRT(AC132+AD132+AE132+AF132+AG132+AH132+AI132+AJ132+AK132+AL132+AM132+AN132+AO132+AP132))</f>
        <v/>
      </c>
      <c r="AR132" s="701" t="str">
        <f aca="false">IF(B132="","",2*AQ132)</f>
        <v/>
      </c>
      <c r="AS132" s="706" t="str">
        <f aca="false">IF(B132="","",+AR132/1000)</f>
        <v/>
      </c>
      <c r="AT132" s="692" t="str">
        <f aca="false">IF('conversion datos'!$L$30='Patrones LACOMET'!$D$3,(IF(N132="","",AS132*39.37008)),IF('conversion datos'!$L$30='Patrones LACOMET'!$D$4,AS132,"No existe el patrón"))</f>
        <v/>
      </c>
    </row>
    <row r="133" customFormat="false" ht="15.75" hidden="false" customHeight="false" outlineLevel="0" collapsed="false">
      <c r="A133" s="81" t="n">
        <f aca="false">+CALIBRACION!A116</f>
        <v>105</v>
      </c>
      <c r="B133" s="672" t="str">
        <f aca="false">IF(CALIBRACION!H116="","",CALIBRACION!H116)</f>
        <v/>
      </c>
      <c r="C133" s="693" t="str">
        <f aca="false">IF(B133="","",+($F$20)/SQRT((5)))</f>
        <v/>
      </c>
      <c r="D133" s="693" t="str">
        <f aca="false">IF(B133="","",$F$21/SQRT((3)))</f>
        <v/>
      </c>
      <c r="E133" s="693" t="str">
        <f aca="false">IF(B133="","",$F$22/(SQRT(12)))</f>
        <v/>
      </c>
      <c r="F133" s="693" t="str">
        <f aca="false">IF(B133="","",$F$23/(SQRT(3)))</f>
        <v/>
      </c>
      <c r="G133" s="694" t="str">
        <f aca="false">IF(B133="","",(SQRT((+C133^2+D133^2+E133^2+F133^2))/(10^-3)))</f>
        <v/>
      </c>
      <c r="H133" s="675" t="str">
        <f aca="false">IF(B133="","",(IF('conversion datos'!$L$30='Patrones LACOMET'!$D$3,(VLOOKUP(B133,'BLOQUES PATRON (pulg) '!$K$5:$Q$86,6,FALSE())*1000),IF('conversion datos'!$L$30='Patrones LACOMET'!$D$4,(VLOOKUP(B133,'BLOQUES PATRON (mm)'!$D$5:$H$126,5,FALSE())),"No existe el patrón"))))</f>
        <v/>
      </c>
      <c r="I133" s="676" t="str">
        <f aca="false">IF(B133="","",0.42^2)</f>
        <v/>
      </c>
      <c r="J133" s="676" t="str">
        <f aca="false">IF(B133="","",IF('conversion datos'!$L$30='Patrones LACOMET'!$D$3,LOOKUP(B133,'BLOQUES PATRON (pulg) '!$S$5:$S$86,'BLOQUES PATRON (pulg) '!$Z$5:$Z$86),IF('conversion datos'!$L$30='Patrones LACOMET'!$D$4,LOOKUP(B133,'BLOQUES PATRON (mm)'!$O$5:$O$126,'BLOQUES PATRON (mm)'!$U$5:$U$126),"No existe el patrón")))</f>
        <v/>
      </c>
      <c r="K133" s="677" t="str">
        <f aca="false">IF(B133="","",SQRT((H133^2)+(J133^2)+(I133^2)))</f>
        <v/>
      </c>
      <c r="L133" s="695" t="str">
        <f aca="false">IF(B133="","",$G$4)</f>
        <v/>
      </c>
      <c r="M133" s="695" t="str">
        <f aca="false">IF(B133="","",($G$5))</f>
        <v/>
      </c>
      <c r="N133" s="695" t="str">
        <f aca="false">IF(B133="","",($G$6))</f>
        <v/>
      </c>
      <c r="O133" s="696" t="str">
        <f aca="false">IF(B133="","",(($G$7)))</f>
        <v/>
      </c>
      <c r="P133" s="697" t="str">
        <f aca="false">IF(B133="","",$G$8)</f>
        <v/>
      </c>
      <c r="Q133" s="698" t="str">
        <f aca="false">IF(B133="","",SQRT((L133^2)*(M133^2)+(N133^2)+(O133^2)+(P133^2)))</f>
        <v/>
      </c>
      <c r="R133" s="699" t="str">
        <f aca="false">IF(B133="","",($G$12))</f>
        <v/>
      </c>
      <c r="S133" s="699" t="str">
        <f aca="false">IF(B133="","",($G$13))</f>
        <v/>
      </c>
      <c r="T133" s="700" t="str">
        <f aca="false">IF(B133="","",+$F$14/SQRT(12))</f>
        <v/>
      </c>
      <c r="U133" s="684" t="str">
        <f aca="false">IF(B133="","",(($M$17)/2)*1000)</f>
        <v/>
      </c>
      <c r="V133" s="685" t="str">
        <f aca="false">+IF(B133="","",+$G$15)</f>
        <v/>
      </c>
      <c r="W133" s="685" t="str">
        <f aca="false">+IF(B133="","",+$G$16)</f>
        <v/>
      </c>
      <c r="X133" s="685" t="str">
        <f aca="false">+IF(B133="","",+$G$17)</f>
        <v/>
      </c>
      <c r="Y133" s="686" t="str">
        <f aca="false">+IF(B133="","",K133*$G$9)</f>
        <v/>
      </c>
      <c r="Z133" s="686" t="str">
        <f aca="false">+IF(B133="","",K133*$G$12)</f>
        <v/>
      </c>
      <c r="AA133" s="686" t="str">
        <f aca="false">+IF(B133="","",K133*$G$13)</f>
        <v/>
      </c>
      <c r="AB133" s="686" t="str">
        <f aca="false">+IF(B133="","",K133*T133)</f>
        <v/>
      </c>
      <c r="AC133" s="687" t="str">
        <f aca="false">IF(B133="","",('SENSIBILIDAD 2'!B110^2)*(G133^2))</f>
        <v/>
      </c>
      <c r="AD133" s="688" t="str">
        <f aca="false">IF(B133="","",('SENSIBILIDAD 2'!C110^2)*(K133^2))</f>
        <v/>
      </c>
      <c r="AE133" s="688" t="str">
        <f aca="false">IF(B133="","",'SENSIBILIDAD 2'!D110^2*(R133^2))</f>
        <v/>
      </c>
      <c r="AF133" s="688" t="str">
        <f aca="false">IF(B133="","",'SENSIBILIDAD 2'!E110^2*(S133^2))</f>
        <v/>
      </c>
      <c r="AG133" s="688" t="str">
        <f aca="false">IF(B133="","",'SENSIBILIDAD 2'!F110^2*(T133^2))</f>
        <v/>
      </c>
      <c r="AH133" s="688" t="str">
        <f aca="false">IF(B133="","",(('SENSIBILIDAD 2'!G110)^2)*(Q133^2))</f>
        <v/>
      </c>
      <c r="AI133" s="688" t="str">
        <f aca="false">IF(B133="","",'SENSIBILIDAD 2'!H110^2*(U133^2))</f>
        <v/>
      </c>
      <c r="AJ133" s="688" t="str">
        <f aca="false">IF(B133="","",'SENSIBILIDAD 2'!M110^2*(V133^2))</f>
        <v/>
      </c>
      <c r="AK133" s="688" t="str">
        <f aca="false">IF(B133="","",'SENSIBILIDAD 2'!N110^2*(W133^2))</f>
        <v/>
      </c>
      <c r="AL133" s="688" t="str">
        <f aca="false">IF(B133="","",'SENSIBILIDAD 2'!O110^2*(X133^2))</f>
        <v/>
      </c>
      <c r="AM133" s="688" t="str">
        <f aca="false">IF($B133="","",(Y133^2)*('SENSIBILIDAD 2'!K110^2))</f>
        <v/>
      </c>
      <c r="AN133" s="688" t="str">
        <f aca="false">IF($B133="","",(Z133^2)*('SENSIBILIDAD 2'!I110^2))</f>
        <v/>
      </c>
      <c r="AO133" s="688" t="str">
        <f aca="false">IF($B133="","",(AA133^2)*('SENSIBILIDAD 2'!J110^2))</f>
        <v/>
      </c>
      <c r="AP133" s="688" t="str">
        <f aca="false">IF($B133="","",(AB133^2)*('SENSIBILIDAD 2'!L110^2))</f>
        <v/>
      </c>
      <c r="AQ133" s="689" t="str">
        <f aca="false">IF(B133="","",SQRT(AC133+AD133+AE133+AF133+AG133+AH133+AI133+AJ133+AK133+AL133+AM133+AN133+AO133+AP133))</f>
        <v/>
      </c>
      <c r="AR133" s="701" t="str">
        <f aca="false">IF(B133="","",2*AQ133)</f>
        <v/>
      </c>
      <c r="AS133" s="706" t="str">
        <f aca="false">IF(B133="","",+AR133/1000)</f>
        <v/>
      </c>
      <c r="AT133" s="692" t="str">
        <f aca="false">IF('conversion datos'!$L$30='Patrones LACOMET'!$D$3,(IF(N133="","",AS133*39.37008)),IF('conversion datos'!$L$30='Patrones LACOMET'!$D$4,AS133,"No existe el patrón"))</f>
        <v/>
      </c>
    </row>
    <row r="134" customFormat="false" ht="15.75" hidden="false" customHeight="false" outlineLevel="0" collapsed="false">
      <c r="A134" s="81" t="n">
        <f aca="false">+CALIBRACION!A117</f>
        <v>106</v>
      </c>
      <c r="B134" s="672" t="str">
        <f aca="false">IF(CALIBRACION!H117="","",CALIBRACION!H117)</f>
        <v/>
      </c>
      <c r="C134" s="693" t="str">
        <f aca="false">IF(B134="","",+($F$20)/SQRT((5)))</f>
        <v/>
      </c>
      <c r="D134" s="693" t="str">
        <f aca="false">IF(B134="","",$F$21/SQRT((3)))</f>
        <v/>
      </c>
      <c r="E134" s="693" t="str">
        <f aca="false">IF(B134="","",$F$22/(SQRT(12)))</f>
        <v/>
      </c>
      <c r="F134" s="693" t="str">
        <f aca="false">IF(B134="","",$F$23/(SQRT(3)))</f>
        <v/>
      </c>
      <c r="G134" s="694" t="str">
        <f aca="false">IF(B134="","",(SQRT((+C134^2+D134^2+E134^2+F134^2))/(10^-3)))</f>
        <v/>
      </c>
      <c r="H134" s="675" t="str">
        <f aca="false">IF(B134="","",(IF('conversion datos'!$L$30='Patrones LACOMET'!$D$3,(VLOOKUP(B134,'BLOQUES PATRON (pulg) '!$K$5:$Q$86,6,FALSE())*1000),IF('conversion datos'!$L$30='Patrones LACOMET'!$D$4,(VLOOKUP(B134,'BLOQUES PATRON (mm)'!$D$5:$H$126,5,FALSE())),"No existe el patrón"))))</f>
        <v/>
      </c>
      <c r="I134" s="676" t="str">
        <f aca="false">IF(B134="","",0.42^2)</f>
        <v/>
      </c>
      <c r="J134" s="676" t="str">
        <f aca="false">IF(B134="","",IF('conversion datos'!$L$30='Patrones LACOMET'!$D$3,LOOKUP(B134,'BLOQUES PATRON (pulg) '!$S$5:$S$86,'BLOQUES PATRON (pulg) '!$Z$5:$Z$86),IF('conversion datos'!$L$30='Patrones LACOMET'!$D$4,LOOKUP(B134,'BLOQUES PATRON (mm)'!$O$5:$O$126,'BLOQUES PATRON (mm)'!$U$5:$U$126),"No existe el patrón")))</f>
        <v/>
      </c>
      <c r="K134" s="677" t="str">
        <f aca="false">IF(B134="","",SQRT((H134^2)+(J134^2)+(I134^2)))</f>
        <v/>
      </c>
      <c r="L134" s="695" t="str">
        <f aca="false">IF(B134="","",$G$4)</f>
        <v/>
      </c>
      <c r="M134" s="695" t="str">
        <f aca="false">IF(B134="","",($G$5))</f>
        <v/>
      </c>
      <c r="N134" s="695" t="str">
        <f aca="false">IF(B134="","",($G$6))</f>
        <v/>
      </c>
      <c r="O134" s="696" t="str">
        <f aca="false">IF(B134="","",(($G$7)))</f>
        <v/>
      </c>
      <c r="P134" s="697" t="str">
        <f aca="false">IF(B134="","",$G$8)</f>
        <v/>
      </c>
      <c r="Q134" s="698" t="str">
        <f aca="false">IF(B134="","",SQRT((L134^2)*(M134^2)+(N134^2)+(O134^2)+(P134^2)))</f>
        <v/>
      </c>
      <c r="R134" s="699" t="str">
        <f aca="false">IF(B134="","",($G$12))</f>
        <v/>
      </c>
      <c r="S134" s="699" t="str">
        <f aca="false">IF(B134="","",($G$13))</f>
        <v/>
      </c>
      <c r="T134" s="700" t="str">
        <f aca="false">IF(B134="","",+$F$14/SQRT(12))</f>
        <v/>
      </c>
      <c r="U134" s="684" t="str">
        <f aca="false">IF(B134="","",(($M$17)/2)*1000)</f>
        <v/>
      </c>
      <c r="V134" s="685" t="str">
        <f aca="false">+IF(B134="","",+$G$15)</f>
        <v/>
      </c>
      <c r="W134" s="685" t="str">
        <f aca="false">+IF(B134="","",+$G$16)</f>
        <v/>
      </c>
      <c r="X134" s="685" t="str">
        <f aca="false">+IF(B134="","",+$G$17)</f>
        <v/>
      </c>
      <c r="Y134" s="686" t="str">
        <f aca="false">+IF(B134="","",K134*$G$9)</f>
        <v/>
      </c>
      <c r="Z134" s="686" t="str">
        <f aca="false">+IF(B134="","",K134*$G$12)</f>
        <v/>
      </c>
      <c r="AA134" s="686" t="str">
        <f aca="false">+IF(B134="","",K134*$G$13)</f>
        <v/>
      </c>
      <c r="AB134" s="686" t="str">
        <f aca="false">+IF(B134="","",K134*T134)</f>
        <v/>
      </c>
      <c r="AC134" s="687" t="str">
        <f aca="false">IF(B134="","",('SENSIBILIDAD 2'!B111^2)*(G134^2))</f>
        <v/>
      </c>
      <c r="AD134" s="688" t="str">
        <f aca="false">IF(B134="","",('SENSIBILIDAD 2'!C111^2)*(K134^2))</f>
        <v/>
      </c>
      <c r="AE134" s="688" t="str">
        <f aca="false">IF(B134="","",'SENSIBILIDAD 2'!D111^2*(R134^2))</f>
        <v/>
      </c>
      <c r="AF134" s="688" t="str">
        <f aca="false">IF(B134="","",'SENSIBILIDAD 2'!E111^2*(S134^2))</f>
        <v/>
      </c>
      <c r="AG134" s="688" t="str">
        <f aca="false">IF(B134="","",'SENSIBILIDAD 2'!F111^2*(T134^2))</f>
        <v/>
      </c>
      <c r="AH134" s="688" t="str">
        <f aca="false">IF(B134="","",(('SENSIBILIDAD 2'!G111)^2)*(Q134^2))</f>
        <v/>
      </c>
      <c r="AI134" s="688" t="str">
        <f aca="false">IF(B134="","",'SENSIBILIDAD 2'!H111^2*(U134^2))</f>
        <v/>
      </c>
      <c r="AJ134" s="688" t="str">
        <f aca="false">IF(B134="","",'SENSIBILIDAD 2'!M111^2*(V134^2))</f>
        <v/>
      </c>
      <c r="AK134" s="688" t="str">
        <f aca="false">IF(B134="","",'SENSIBILIDAD 2'!N111^2*(W134^2))</f>
        <v/>
      </c>
      <c r="AL134" s="688" t="str">
        <f aca="false">IF(B134="","",'SENSIBILIDAD 2'!O111^2*(X134^2))</f>
        <v/>
      </c>
      <c r="AM134" s="688" t="str">
        <f aca="false">IF($B134="","",(Y134^2)*('SENSIBILIDAD 2'!K111^2))</f>
        <v/>
      </c>
      <c r="AN134" s="688" t="str">
        <f aca="false">IF($B134="","",(Z134^2)*('SENSIBILIDAD 2'!I111^2))</f>
        <v/>
      </c>
      <c r="AO134" s="688" t="str">
        <f aca="false">IF($B134="","",(AA134^2)*('SENSIBILIDAD 2'!J111^2))</f>
        <v/>
      </c>
      <c r="AP134" s="688" t="str">
        <f aca="false">IF($B134="","",(AB134^2)*('SENSIBILIDAD 2'!L111^2))</f>
        <v/>
      </c>
      <c r="AQ134" s="689" t="str">
        <f aca="false">IF(B134="","",SQRT(AC134+AD134+AE134+AF134+AG134+AH134+AI134+AJ134+AK134+AL134+AM134+AN134+AO134+AP134))</f>
        <v/>
      </c>
      <c r="AR134" s="701" t="str">
        <f aca="false">IF(B134="","",2*AQ134)</f>
        <v/>
      </c>
      <c r="AS134" s="706" t="str">
        <f aca="false">IF(B134="","",+AR134/1000)</f>
        <v/>
      </c>
      <c r="AT134" s="692" t="str">
        <f aca="false">IF('conversion datos'!$L$30='Patrones LACOMET'!$D$3,(IF(N134="","",AS134*39.37008)),IF('conversion datos'!$L$30='Patrones LACOMET'!$D$4,AS134,"No existe el patrón"))</f>
        <v/>
      </c>
    </row>
    <row r="135" customFormat="false" ht="15.75" hidden="false" customHeight="false" outlineLevel="0" collapsed="false">
      <c r="A135" s="81" t="n">
        <f aca="false">+CALIBRACION!A118</f>
        <v>107</v>
      </c>
      <c r="B135" s="672" t="str">
        <f aca="false">IF(CALIBRACION!H118="","",CALIBRACION!H118)</f>
        <v/>
      </c>
      <c r="C135" s="693" t="str">
        <f aca="false">IF(B135="","",+($F$20)/SQRT((5)))</f>
        <v/>
      </c>
      <c r="D135" s="693" t="str">
        <f aca="false">IF(B135="","",$F$21/SQRT((3)))</f>
        <v/>
      </c>
      <c r="E135" s="693" t="str">
        <f aca="false">IF(B135="","",$F$22/(SQRT(12)))</f>
        <v/>
      </c>
      <c r="F135" s="693" t="str">
        <f aca="false">IF(B135="","",$F$23/(SQRT(3)))</f>
        <v/>
      </c>
      <c r="G135" s="694" t="str">
        <f aca="false">IF(B135="","",(SQRT((+C135^2+D135^2+E135^2+F135^2))/(10^-3)))</f>
        <v/>
      </c>
      <c r="H135" s="675" t="str">
        <f aca="false">IF(B135="","",(IF('conversion datos'!$L$30='Patrones LACOMET'!$D$3,(VLOOKUP(B135,'BLOQUES PATRON (pulg) '!$K$5:$Q$86,6,FALSE())*1000),IF('conversion datos'!$L$30='Patrones LACOMET'!$D$4,(VLOOKUP(B135,'BLOQUES PATRON (mm)'!$D$5:$H$126,5,FALSE())),"No existe el patrón"))))</f>
        <v/>
      </c>
      <c r="I135" s="676" t="str">
        <f aca="false">IF(B135="","",0.42^2)</f>
        <v/>
      </c>
      <c r="J135" s="676" t="str">
        <f aca="false">IF(B135="","",IF('conversion datos'!$L$30='Patrones LACOMET'!$D$3,LOOKUP(B135,'BLOQUES PATRON (pulg) '!$S$5:$S$86,'BLOQUES PATRON (pulg) '!$Z$5:$Z$86),IF('conversion datos'!$L$30='Patrones LACOMET'!$D$4,LOOKUP(B135,'BLOQUES PATRON (mm)'!$O$5:$O$126,'BLOQUES PATRON (mm)'!$U$5:$U$126),"No existe el patrón")))</f>
        <v/>
      </c>
      <c r="K135" s="677" t="str">
        <f aca="false">IF(B135="","",SQRT((H135^2)+(J135^2)+(I135^2)))</f>
        <v/>
      </c>
      <c r="L135" s="695" t="str">
        <f aca="false">IF(B135="","",$G$4)</f>
        <v/>
      </c>
      <c r="M135" s="695" t="str">
        <f aca="false">IF(B135="","",($G$5))</f>
        <v/>
      </c>
      <c r="N135" s="695" t="str">
        <f aca="false">IF(B135="","",($G$6))</f>
        <v/>
      </c>
      <c r="O135" s="696" t="str">
        <f aca="false">IF(B135="","",(($G$7)))</f>
        <v/>
      </c>
      <c r="P135" s="697" t="str">
        <f aca="false">IF(B135="","",$G$8)</f>
        <v/>
      </c>
      <c r="Q135" s="698" t="str">
        <f aca="false">IF(B135="","",SQRT((L135^2)*(M135^2)+(N135^2)+(O135^2)+(P135^2)))</f>
        <v/>
      </c>
      <c r="R135" s="699" t="str">
        <f aca="false">IF(B135="","",($G$12))</f>
        <v/>
      </c>
      <c r="S135" s="699" t="str">
        <f aca="false">IF(B135="","",($G$13))</f>
        <v/>
      </c>
      <c r="T135" s="700" t="str">
        <f aca="false">IF(B135="","",+$F$14/SQRT(12))</f>
        <v/>
      </c>
      <c r="U135" s="684" t="str">
        <f aca="false">IF(B135="","",(($M$17)/2)*1000)</f>
        <v/>
      </c>
      <c r="V135" s="685" t="str">
        <f aca="false">+IF(B135="","",+$G$15)</f>
        <v/>
      </c>
      <c r="W135" s="685" t="str">
        <f aca="false">+IF(B135="","",+$G$16)</f>
        <v/>
      </c>
      <c r="X135" s="685" t="str">
        <f aca="false">+IF(B135="","",+$G$17)</f>
        <v/>
      </c>
      <c r="Y135" s="686" t="str">
        <f aca="false">+IF(B135="","",K135*$G$9)</f>
        <v/>
      </c>
      <c r="Z135" s="686" t="str">
        <f aca="false">+IF(B135="","",K135*$G$12)</f>
        <v/>
      </c>
      <c r="AA135" s="686" t="str">
        <f aca="false">+IF(B135="","",K135*$G$13)</f>
        <v/>
      </c>
      <c r="AB135" s="686" t="str">
        <f aca="false">+IF(B135="","",K135*T135)</f>
        <v/>
      </c>
      <c r="AC135" s="687" t="str">
        <f aca="false">IF(B135="","",('SENSIBILIDAD 2'!B112^2)*(G135^2))</f>
        <v/>
      </c>
      <c r="AD135" s="688" t="str">
        <f aca="false">IF(B135="","",('SENSIBILIDAD 2'!C112^2)*(K135^2))</f>
        <v/>
      </c>
      <c r="AE135" s="688" t="str">
        <f aca="false">IF(B135="","",'SENSIBILIDAD 2'!D112^2*(R135^2))</f>
        <v/>
      </c>
      <c r="AF135" s="688" t="str">
        <f aca="false">IF(B135="","",'SENSIBILIDAD 2'!E112^2*(S135^2))</f>
        <v/>
      </c>
      <c r="AG135" s="688" t="str">
        <f aca="false">IF(B135="","",'SENSIBILIDAD 2'!F112^2*(T135^2))</f>
        <v/>
      </c>
      <c r="AH135" s="688" t="str">
        <f aca="false">IF(B135="","",(('SENSIBILIDAD 2'!G112)^2)*(Q135^2))</f>
        <v/>
      </c>
      <c r="AI135" s="688" t="str">
        <f aca="false">IF(B135="","",'SENSIBILIDAD 2'!H112^2*(U135^2))</f>
        <v/>
      </c>
      <c r="AJ135" s="688" t="str">
        <f aca="false">IF(B135="","",'SENSIBILIDAD 2'!M112^2*(V135^2))</f>
        <v/>
      </c>
      <c r="AK135" s="688" t="str">
        <f aca="false">IF(B135="","",'SENSIBILIDAD 2'!N112^2*(W135^2))</f>
        <v/>
      </c>
      <c r="AL135" s="688" t="str">
        <f aca="false">IF(B135="","",'SENSIBILIDAD 2'!O112^2*(X135^2))</f>
        <v/>
      </c>
      <c r="AM135" s="688" t="str">
        <f aca="false">IF($B135="","",(Y135^2)*('SENSIBILIDAD 2'!K112^2))</f>
        <v/>
      </c>
      <c r="AN135" s="688" t="str">
        <f aca="false">IF($B135="","",(Z135^2)*('SENSIBILIDAD 2'!I112^2))</f>
        <v/>
      </c>
      <c r="AO135" s="688" t="str">
        <f aca="false">IF($B135="","",(AA135^2)*('SENSIBILIDAD 2'!J112^2))</f>
        <v/>
      </c>
      <c r="AP135" s="688" t="str">
        <f aca="false">IF($B135="","",(AB135^2)*('SENSIBILIDAD 2'!L112^2))</f>
        <v/>
      </c>
      <c r="AQ135" s="689" t="str">
        <f aca="false">IF(B135="","",SQRT(AC135+AD135+AE135+AF135+AG135+AH135+AI135+AJ135+AK135+AL135+AM135+AN135+AO135+AP135))</f>
        <v/>
      </c>
      <c r="AR135" s="701" t="str">
        <f aca="false">IF(B135="","",2*AQ135)</f>
        <v/>
      </c>
      <c r="AS135" s="706" t="str">
        <f aca="false">IF(B135="","",+AR135/1000)</f>
        <v/>
      </c>
      <c r="AT135" s="692" t="str">
        <f aca="false">IF('conversion datos'!$L$30='Patrones LACOMET'!$D$3,(IF(N135="","",AS135*39.37008)),IF('conversion datos'!$L$30='Patrones LACOMET'!$D$4,AS135,"No existe el patrón"))</f>
        <v/>
      </c>
    </row>
    <row r="136" customFormat="false" ht="15.75" hidden="false" customHeight="false" outlineLevel="0" collapsed="false">
      <c r="A136" s="81" t="n">
        <f aca="false">+CALIBRACION!A119</f>
        <v>108</v>
      </c>
      <c r="B136" s="672" t="str">
        <f aca="false">IF(CALIBRACION!H119="","",CALIBRACION!H119)</f>
        <v/>
      </c>
      <c r="C136" s="693" t="str">
        <f aca="false">IF(B136="","",+($F$20)/SQRT((5)))</f>
        <v/>
      </c>
      <c r="D136" s="693" t="str">
        <f aca="false">IF(B136="","",$F$21/SQRT((3)))</f>
        <v/>
      </c>
      <c r="E136" s="693" t="str">
        <f aca="false">IF(B136="","",$F$22/(SQRT(12)))</f>
        <v/>
      </c>
      <c r="F136" s="693" t="str">
        <f aca="false">IF(B136="","",$F$23/(SQRT(3)))</f>
        <v/>
      </c>
      <c r="G136" s="694" t="str">
        <f aca="false">IF(B136="","",(SQRT((+C136^2+D136^2+E136^2+F136^2))/(10^-3)))</f>
        <v/>
      </c>
      <c r="H136" s="675" t="str">
        <f aca="false">IF(B136="","",(IF('conversion datos'!$L$30='Patrones LACOMET'!$D$3,(VLOOKUP(B136,'BLOQUES PATRON (pulg) '!$K$5:$Q$86,6,FALSE())*1000),IF('conversion datos'!$L$30='Patrones LACOMET'!$D$4,(VLOOKUP(B136,'BLOQUES PATRON (mm)'!$D$5:$H$126,5,FALSE())),"No existe el patrón"))))</f>
        <v/>
      </c>
      <c r="I136" s="676" t="str">
        <f aca="false">IF(B136="","",0.42^2)</f>
        <v/>
      </c>
      <c r="J136" s="676" t="str">
        <f aca="false">IF(B136="","",IF('conversion datos'!$L$30='Patrones LACOMET'!$D$3,LOOKUP(B136,'BLOQUES PATRON (pulg) '!$S$5:$S$86,'BLOQUES PATRON (pulg) '!$Z$5:$Z$86),IF('conversion datos'!$L$30='Patrones LACOMET'!$D$4,LOOKUP(B136,'BLOQUES PATRON (mm)'!$O$5:$O$126,'BLOQUES PATRON (mm)'!$U$5:$U$126),"No existe el patrón")))</f>
        <v/>
      </c>
      <c r="K136" s="677" t="str">
        <f aca="false">IF(B136="","",SQRT((H136^2)+(J136^2)+(I136^2)))</f>
        <v/>
      </c>
      <c r="L136" s="695" t="str">
        <f aca="false">IF(B136="","",$G$4)</f>
        <v/>
      </c>
      <c r="M136" s="695" t="str">
        <f aca="false">IF(B136="","",($G$5))</f>
        <v/>
      </c>
      <c r="N136" s="695" t="str">
        <f aca="false">IF(B136="","",($G$6))</f>
        <v/>
      </c>
      <c r="O136" s="696" t="str">
        <f aca="false">IF(B136="","",(($G$7)))</f>
        <v/>
      </c>
      <c r="P136" s="697" t="str">
        <f aca="false">IF(B136="","",$G$8)</f>
        <v/>
      </c>
      <c r="Q136" s="698" t="str">
        <f aca="false">IF(B136="","",SQRT((L136^2)*(M136^2)+(N136^2)+(O136^2)+(P136^2)))</f>
        <v/>
      </c>
      <c r="R136" s="699" t="str">
        <f aca="false">IF(B136="","",($G$12))</f>
        <v/>
      </c>
      <c r="S136" s="699" t="str">
        <f aca="false">IF(B136="","",($G$13))</f>
        <v/>
      </c>
      <c r="T136" s="700" t="str">
        <f aca="false">IF(B136="","",+$F$14/SQRT(12))</f>
        <v/>
      </c>
      <c r="U136" s="684" t="str">
        <f aca="false">IF(B136="","",(($M$17)/2)*1000)</f>
        <v/>
      </c>
      <c r="V136" s="685" t="str">
        <f aca="false">+IF(B136="","",+$G$15)</f>
        <v/>
      </c>
      <c r="W136" s="685" t="str">
        <f aca="false">+IF(B136="","",+$G$16)</f>
        <v/>
      </c>
      <c r="X136" s="685" t="str">
        <f aca="false">+IF(B136="","",+$G$17)</f>
        <v/>
      </c>
      <c r="Y136" s="686" t="str">
        <f aca="false">+IF(B136="","",K136*$G$9)</f>
        <v/>
      </c>
      <c r="Z136" s="686" t="str">
        <f aca="false">+IF(B136="","",K136*$G$12)</f>
        <v/>
      </c>
      <c r="AA136" s="686" t="str">
        <f aca="false">+IF(B136="","",K136*$G$13)</f>
        <v/>
      </c>
      <c r="AB136" s="686" t="str">
        <f aca="false">+IF(B136="","",K136*T136)</f>
        <v/>
      </c>
      <c r="AC136" s="687" t="str">
        <f aca="false">IF(B136="","",('SENSIBILIDAD 2'!B113^2)*(G136^2))</f>
        <v/>
      </c>
      <c r="AD136" s="688" t="str">
        <f aca="false">IF(B136="","",('SENSIBILIDAD 2'!C113^2)*(K136^2))</f>
        <v/>
      </c>
      <c r="AE136" s="688" t="str">
        <f aca="false">IF(B136="","",'SENSIBILIDAD 2'!D113^2*(R136^2))</f>
        <v/>
      </c>
      <c r="AF136" s="688" t="str">
        <f aca="false">IF(B136="","",'SENSIBILIDAD 2'!E113^2*(S136^2))</f>
        <v/>
      </c>
      <c r="AG136" s="688" t="str">
        <f aca="false">IF(B136="","",'SENSIBILIDAD 2'!F113^2*(T136^2))</f>
        <v/>
      </c>
      <c r="AH136" s="688" t="str">
        <f aca="false">IF(B136="","",(('SENSIBILIDAD 2'!G113)^2)*(Q136^2))</f>
        <v/>
      </c>
      <c r="AI136" s="688" t="str">
        <f aca="false">IF(B136="","",'SENSIBILIDAD 2'!H113^2*(U136^2))</f>
        <v/>
      </c>
      <c r="AJ136" s="688" t="str">
        <f aca="false">IF(B136="","",'SENSIBILIDAD 2'!M113^2*(V136^2))</f>
        <v/>
      </c>
      <c r="AK136" s="688" t="str">
        <f aca="false">IF(B136="","",'SENSIBILIDAD 2'!N113^2*(W136^2))</f>
        <v/>
      </c>
      <c r="AL136" s="688" t="str">
        <f aca="false">IF(B136="","",'SENSIBILIDAD 2'!O113^2*(X136^2))</f>
        <v/>
      </c>
      <c r="AM136" s="688" t="str">
        <f aca="false">IF($B136="","",(Y136^2)*('SENSIBILIDAD 2'!K113^2))</f>
        <v/>
      </c>
      <c r="AN136" s="688" t="str">
        <f aca="false">IF($B136="","",(Z136^2)*('SENSIBILIDAD 2'!I113^2))</f>
        <v/>
      </c>
      <c r="AO136" s="688" t="str">
        <f aca="false">IF($B136="","",(AA136^2)*('SENSIBILIDAD 2'!J113^2))</f>
        <v/>
      </c>
      <c r="AP136" s="688" t="str">
        <f aca="false">IF($B136="","",(AB136^2)*('SENSIBILIDAD 2'!L113^2))</f>
        <v/>
      </c>
      <c r="AQ136" s="689" t="str">
        <f aca="false">IF(B136="","",SQRT(AC136+AD136+AE136+AF136+AG136+AH136+AI136+AJ136+AK136+AL136+AM136+AN136+AO136+AP136))</f>
        <v/>
      </c>
      <c r="AR136" s="701" t="str">
        <f aca="false">IF(B136="","",2*AQ136)</f>
        <v/>
      </c>
      <c r="AS136" s="706" t="str">
        <f aca="false">IF(B136="","",+AR136/1000)</f>
        <v/>
      </c>
      <c r="AT136" s="692" t="str">
        <f aca="false">IF('conversion datos'!$L$30='Patrones LACOMET'!$D$3,(IF(N136="","",AS136*39.37008)),IF('conversion datos'!$L$30='Patrones LACOMET'!$D$4,AS136,"No existe el patrón"))</f>
        <v/>
      </c>
    </row>
    <row r="137" customFormat="false" ht="15.75" hidden="false" customHeight="false" outlineLevel="0" collapsed="false">
      <c r="A137" s="81" t="n">
        <f aca="false">+CALIBRACION!A120</f>
        <v>109</v>
      </c>
      <c r="B137" s="672" t="str">
        <f aca="false">IF(CALIBRACION!H120="","",CALIBRACION!H120)</f>
        <v/>
      </c>
      <c r="C137" s="693" t="str">
        <f aca="false">IF(B137="","",+($F$20)/SQRT((5)))</f>
        <v/>
      </c>
      <c r="D137" s="693" t="str">
        <f aca="false">IF(B137="","",$F$21/SQRT((3)))</f>
        <v/>
      </c>
      <c r="E137" s="693" t="str">
        <f aca="false">IF(B137="","",$F$22/(SQRT(12)))</f>
        <v/>
      </c>
      <c r="F137" s="693" t="str">
        <f aca="false">IF(B137="","",$F$23/(SQRT(3)))</f>
        <v/>
      </c>
      <c r="G137" s="694" t="str">
        <f aca="false">IF(B137="","",(SQRT((+C137^2+D137^2+E137^2+F137^2))/(10^-3)))</f>
        <v/>
      </c>
      <c r="H137" s="675" t="str">
        <f aca="false">IF(B137="","",(IF('conversion datos'!$L$30='Patrones LACOMET'!$D$3,(VLOOKUP(B137,'BLOQUES PATRON (pulg) '!$K$5:$Q$86,6,FALSE())*1000),IF('conversion datos'!$L$30='Patrones LACOMET'!$D$4,(VLOOKUP(B137,'BLOQUES PATRON (mm)'!$D$5:$H$126,5,FALSE())),"No existe el patrón"))))</f>
        <v/>
      </c>
      <c r="I137" s="676" t="str">
        <f aca="false">IF(B137="","",0.42^2)</f>
        <v/>
      </c>
      <c r="J137" s="676" t="str">
        <f aca="false">IF(B137="","",IF('conversion datos'!$L$30='Patrones LACOMET'!$D$3,LOOKUP(B137,'BLOQUES PATRON (pulg) '!$S$5:$S$86,'BLOQUES PATRON (pulg) '!$Z$5:$Z$86),IF('conversion datos'!$L$30='Patrones LACOMET'!$D$4,LOOKUP(B137,'BLOQUES PATRON (mm)'!$O$5:$O$126,'BLOQUES PATRON (mm)'!$U$5:$U$126),"No existe el patrón")))</f>
        <v/>
      </c>
      <c r="K137" s="677" t="str">
        <f aca="false">IF(B137="","",SQRT((H137^2)+(J137^2)+(I137^2)))</f>
        <v/>
      </c>
      <c r="L137" s="695" t="str">
        <f aca="false">IF(B137="","",$G$4)</f>
        <v/>
      </c>
      <c r="M137" s="695" t="str">
        <f aca="false">IF(B137="","",($G$5))</f>
        <v/>
      </c>
      <c r="N137" s="695" t="str">
        <f aca="false">IF(B137="","",($G$6))</f>
        <v/>
      </c>
      <c r="O137" s="696" t="str">
        <f aca="false">IF(B137="","",(($G$7)))</f>
        <v/>
      </c>
      <c r="P137" s="697" t="str">
        <f aca="false">IF(B137="","",$G$8)</f>
        <v/>
      </c>
      <c r="Q137" s="698" t="str">
        <f aca="false">IF(B137="","",SQRT((L137^2)*(M137^2)+(N137^2)+(O137^2)+(P137^2)))</f>
        <v/>
      </c>
      <c r="R137" s="699" t="str">
        <f aca="false">IF(B137="","",($G$12))</f>
        <v/>
      </c>
      <c r="S137" s="699" t="str">
        <f aca="false">IF(B137="","",($G$13))</f>
        <v/>
      </c>
      <c r="T137" s="700" t="str">
        <f aca="false">IF(B137="","",+$F$14/SQRT(12))</f>
        <v/>
      </c>
      <c r="U137" s="684" t="str">
        <f aca="false">IF(B137="","",(($M$17)/2)*1000)</f>
        <v/>
      </c>
      <c r="V137" s="685" t="str">
        <f aca="false">+IF(B137="","",+$G$15)</f>
        <v/>
      </c>
      <c r="W137" s="685" t="str">
        <f aca="false">+IF(B137="","",+$G$16)</f>
        <v/>
      </c>
      <c r="X137" s="685" t="str">
        <f aca="false">+IF(B137="","",+$G$17)</f>
        <v/>
      </c>
      <c r="Y137" s="686" t="str">
        <f aca="false">+IF(B137="","",K137*$G$9)</f>
        <v/>
      </c>
      <c r="Z137" s="686" t="str">
        <f aca="false">+IF(B137="","",K137*$G$12)</f>
        <v/>
      </c>
      <c r="AA137" s="686" t="str">
        <f aca="false">+IF(B137="","",K137*$G$13)</f>
        <v/>
      </c>
      <c r="AB137" s="686" t="str">
        <f aca="false">+IF(B137="","",K137*T137)</f>
        <v/>
      </c>
      <c r="AC137" s="687" t="str">
        <f aca="false">IF(B137="","",('SENSIBILIDAD 2'!B114^2)*(G137^2))</f>
        <v/>
      </c>
      <c r="AD137" s="688" t="str">
        <f aca="false">IF(B137="","",('SENSIBILIDAD 2'!C114^2)*(K137^2))</f>
        <v/>
      </c>
      <c r="AE137" s="688" t="str">
        <f aca="false">IF(B137="","",'SENSIBILIDAD 2'!D114^2*(R137^2))</f>
        <v/>
      </c>
      <c r="AF137" s="688" t="str">
        <f aca="false">IF(B137="","",'SENSIBILIDAD 2'!E114^2*(S137^2))</f>
        <v/>
      </c>
      <c r="AG137" s="688" t="str">
        <f aca="false">IF(B137="","",'SENSIBILIDAD 2'!F114^2*(T137^2))</f>
        <v/>
      </c>
      <c r="AH137" s="688" t="str">
        <f aca="false">IF(B137="","",(('SENSIBILIDAD 2'!G114)^2)*(Q137^2))</f>
        <v/>
      </c>
      <c r="AI137" s="688" t="str">
        <f aca="false">IF(B137="","",'SENSIBILIDAD 2'!H114^2*(U137^2))</f>
        <v/>
      </c>
      <c r="AJ137" s="688" t="str">
        <f aca="false">IF(B137="","",'SENSIBILIDAD 2'!M114^2*(V137^2))</f>
        <v/>
      </c>
      <c r="AK137" s="688" t="str">
        <f aca="false">IF(B137="","",'SENSIBILIDAD 2'!N114^2*(W137^2))</f>
        <v/>
      </c>
      <c r="AL137" s="688" t="str">
        <f aca="false">IF(B137="","",'SENSIBILIDAD 2'!O114^2*(X137^2))</f>
        <v/>
      </c>
      <c r="AM137" s="688" t="str">
        <f aca="false">IF($B137="","",(Y137^2)*('SENSIBILIDAD 2'!K114^2))</f>
        <v/>
      </c>
      <c r="AN137" s="688" t="str">
        <f aca="false">IF($B137="","",(Z137^2)*('SENSIBILIDAD 2'!I114^2))</f>
        <v/>
      </c>
      <c r="AO137" s="688" t="str">
        <f aca="false">IF($B137="","",(AA137^2)*('SENSIBILIDAD 2'!J114^2))</f>
        <v/>
      </c>
      <c r="AP137" s="688" t="str">
        <f aca="false">IF($B137="","",(AB137^2)*('SENSIBILIDAD 2'!L114^2))</f>
        <v/>
      </c>
      <c r="AQ137" s="689" t="str">
        <f aca="false">IF(B137="","",SQRT(AC137+AD137+AE137+AF137+AG137+AH137+AI137+AJ137+AK137+AL137+AM137+AN137+AO137+AP137))</f>
        <v/>
      </c>
      <c r="AR137" s="701" t="str">
        <f aca="false">IF(B137="","",2*AQ137)</f>
        <v/>
      </c>
      <c r="AS137" s="706" t="str">
        <f aca="false">IF(B137="","",+AR137/1000)</f>
        <v/>
      </c>
      <c r="AT137" s="692" t="str">
        <f aca="false">IF('conversion datos'!$L$30='Patrones LACOMET'!$D$3,(IF(N137="","",AS137*39.37008)),IF('conversion datos'!$L$30='Patrones LACOMET'!$D$4,AS137,"No existe el patrón"))</f>
        <v/>
      </c>
    </row>
    <row r="138" customFormat="false" ht="15.75" hidden="false" customHeight="false" outlineLevel="0" collapsed="false">
      <c r="A138" s="81" t="n">
        <f aca="false">+CALIBRACION!A121</f>
        <v>110</v>
      </c>
      <c r="B138" s="672" t="str">
        <f aca="false">IF(CALIBRACION!H121="","",CALIBRACION!H121)</f>
        <v/>
      </c>
      <c r="C138" s="693" t="str">
        <f aca="false">IF(B138="","",+($F$20)/SQRT((5)))</f>
        <v/>
      </c>
      <c r="D138" s="693" t="str">
        <f aca="false">IF(B138="","",$F$21/SQRT((3)))</f>
        <v/>
      </c>
      <c r="E138" s="693" t="str">
        <f aca="false">IF(B138="","",$F$22/(SQRT(12)))</f>
        <v/>
      </c>
      <c r="F138" s="693" t="str">
        <f aca="false">IF(B138="","",$F$23/(SQRT(3)))</f>
        <v/>
      </c>
      <c r="G138" s="694" t="str">
        <f aca="false">IF(B138="","",(SQRT((+C138^2+D138^2+E138^2+F138^2))/(10^-3)))</f>
        <v/>
      </c>
      <c r="H138" s="675" t="str">
        <f aca="false">IF(B138="","",(IF('conversion datos'!$L$30='Patrones LACOMET'!$D$3,(VLOOKUP(B138,'BLOQUES PATRON (pulg) '!$K$5:$Q$86,6,FALSE())*1000),IF('conversion datos'!$L$30='Patrones LACOMET'!$D$4,(VLOOKUP(B138,'BLOQUES PATRON (mm)'!$D$5:$H$126,5,FALSE())),"No existe el patrón"))))</f>
        <v/>
      </c>
      <c r="I138" s="676" t="str">
        <f aca="false">IF(B138="","",0.42^2)</f>
        <v/>
      </c>
      <c r="J138" s="676" t="str">
        <f aca="false">IF(B138="","",IF('conversion datos'!$L$30='Patrones LACOMET'!$D$3,LOOKUP(B138,'BLOQUES PATRON (pulg) '!$S$5:$S$86,'BLOQUES PATRON (pulg) '!$Z$5:$Z$86),IF('conversion datos'!$L$30='Patrones LACOMET'!$D$4,LOOKUP(B138,'BLOQUES PATRON (mm)'!$O$5:$O$126,'BLOQUES PATRON (mm)'!$U$5:$U$126),"No existe el patrón")))</f>
        <v/>
      </c>
      <c r="K138" s="677" t="str">
        <f aca="false">IF(B138="","",SQRT((H138^2)+(J138^2)+(I138^2)))</f>
        <v/>
      </c>
      <c r="L138" s="695" t="str">
        <f aca="false">IF(B138="","",$G$4)</f>
        <v/>
      </c>
      <c r="M138" s="695" t="str">
        <f aca="false">IF(B138="","",($G$5))</f>
        <v/>
      </c>
      <c r="N138" s="695" t="str">
        <f aca="false">IF(B138="","",($G$6))</f>
        <v/>
      </c>
      <c r="O138" s="696" t="str">
        <f aca="false">IF(B138="","",(($G$7)))</f>
        <v/>
      </c>
      <c r="P138" s="697" t="str">
        <f aca="false">IF(B138="","",$G$8)</f>
        <v/>
      </c>
      <c r="Q138" s="698" t="str">
        <f aca="false">IF(B138="","",SQRT((L138^2)*(M138^2)+(N138^2)+(O138^2)+(P138^2)))</f>
        <v/>
      </c>
      <c r="R138" s="699" t="str">
        <f aca="false">IF(B138="","",($G$12))</f>
        <v/>
      </c>
      <c r="S138" s="699" t="str">
        <f aca="false">IF(B138="","",($G$13))</f>
        <v/>
      </c>
      <c r="T138" s="700" t="str">
        <f aca="false">IF(B138="","",+$F$14/SQRT(12))</f>
        <v/>
      </c>
      <c r="U138" s="684" t="str">
        <f aca="false">IF(B138="","",(($M$17)/2)*1000)</f>
        <v/>
      </c>
      <c r="V138" s="685" t="str">
        <f aca="false">+IF(B138="","",+$G$15)</f>
        <v/>
      </c>
      <c r="W138" s="685" t="str">
        <f aca="false">+IF(B138="","",+$G$16)</f>
        <v/>
      </c>
      <c r="X138" s="685" t="str">
        <f aca="false">+IF(B138="","",+$G$17)</f>
        <v/>
      </c>
      <c r="Y138" s="686" t="str">
        <f aca="false">+IF(B138="","",K138*$G$9)</f>
        <v/>
      </c>
      <c r="Z138" s="686" t="str">
        <f aca="false">+IF(B138="","",K138*$G$12)</f>
        <v/>
      </c>
      <c r="AA138" s="686" t="str">
        <f aca="false">+IF(B138="","",K138*$G$13)</f>
        <v/>
      </c>
      <c r="AB138" s="686" t="str">
        <f aca="false">+IF(B138="","",K138*T138)</f>
        <v/>
      </c>
      <c r="AC138" s="687" t="str">
        <f aca="false">IF(B138="","",('SENSIBILIDAD 2'!B115^2)*(G138^2))</f>
        <v/>
      </c>
      <c r="AD138" s="688" t="str">
        <f aca="false">IF(B138="","",('SENSIBILIDAD 2'!C115^2)*(K138^2))</f>
        <v/>
      </c>
      <c r="AE138" s="688" t="str">
        <f aca="false">IF(B138="","",'SENSIBILIDAD 2'!D115^2*(R138^2))</f>
        <v/>
      </c>
      <c r="AF138" s="688" t="str">
        <f aca="false">IF(B138="","",'SENSIBILIDAD 2'!E115^2*(S138^2))</f>
        <v/>
      </c>
      <c r="AG138" s="688" t="str">
        <f aca="false">IF(B138="","",'SENSIBILIDAD 2'!F115^2*(T138^2))</f>
        <v/>
      </c>
      <c r="AH138" s="688" t="str">
        <f aca="false">IF(B138="","",(('SENSIBILIDAD 2'!G115)^2)*(Q138^2))</f>
        <v/>
      </c>
      <c r="AI138" s="688" t="str">
        <f aca="false">IF(B138="","",'SENSIBILIDAD 2'!H115^2*(U138^2))</f>
        <v/>
      </c>
      <c r="AJ138" s="688" t="str">
        <f aca="false">IF(B138="","",'SENSIBILIDAD 2'!M115^2*(V138^2))</f>
        <v/>
      </c>
      <c r="AK138" s="688" t="str">
        <f aca="false">IF(B138="","",'SENSIBILIDAD 2'!N115^2*(W138^2))</f>
        <v/>
      </c>
      <c r="AL138" s="688" t="str">
        <f aca="false">IF(B138="","",'SENSIBILIDAD 2'!O115^2*(X138^2))</f>
        <v/>
      </c>
      <c r="AM138" s="688" t="str">
        <f aca="false">IF($B138="","",(Y138^2)*('SENSIBILIDAD 2'!K115^2))</f>
        <v/>
      </c>
      <c r="AN138" s="688" t="str">
        <f aca="false">IF($B138="","",(Z138^2)*('SENSIBILIDAD 2'!I115^2))</f>
        <v/>
      </c>
      <c r="AO138" s="688" t="str">
        <f aca="false">IF($B138="","",(AA138^2)*('SENSIBILIDAD 2'!J115^2))</f>
        <v/>
      </c>
      <c r="AP138" s="688" t="str">
        <f aca="false">IF($B138="","",(AB138^2)*('SENSIBILIDAD 2'!L115^2))</f>
        <v/>
      </c>
      <c r="AQ138" s="689" t="str">
        <f aca="false">IF(B138="","",SQRT(AC138+AD138+AE138+AF138+AG138+AH138+AI138+AJ138+AK138+AL138+AM138+AN138+AO138+AP138))</f>
        <v/>
      </c>
      <c r="AR138" s="701" t="str">
        <f aca="false">IF(B138="","",2*AQ138)</f>
        <v/>
      </c>
      <c r="AS138" s="706" t="str">
        <f aca="false">IF(B138="","",+AR138/1000)</f>
        <v/>
      </c>
      <c r="AT138" s="692" t="str">
        <f aca="false">IF('conversion datos'!$L$30='Patrones LACOMET'!$D$3,(IF(N138="","",AS138*39.37008)),IF('conversion datos'!$L$30='Patrones LACOMET'!$D$4,AS138,"No existe el patrón"))</f>
        <v/>
      </c>
    </row>
    <row r="139" customFormat="false" ht="15.75" hidden="false" customHeight="false" outlineLevel="0" collapsed="false">
      <c r="A139" s="81" t="n">
        <f aca="false">+CALIBRACION!A122</f>
        <v>111</v>
      </c>
      <c r="B139" s="672" t="str">
        <f aca="false">IF(CALIBRACION!H122="","",CALIBRACION!H122)</f>
        <v/>
      </c>
      <c r="C139" s="693" t="str">
        <f aca="false">IF(B139="","",+($F$20)/SQRT((5)))</f>
        <v/>
      </c>
      <c r="D139" s="693" t="str">
        <f aca="false">IF(B139="","",$F$21/SQRT((3)))</f>
        <v/>
      </c>
      <c r="E139" s="693" t="str">
        <f aca="false">IF(B139="","",$F$22/(SQRT(12)))</f>
        <v/>
      </c>
      <c r="F139" s="693" t="str">
        <f aca="false">IF(B139="","",$F$23/(SQRT(3)))</f>
        <v/>
      </c>
      <c r="G139" s="694" t="str">
        <f aca="false">IF(B139="","",(SQRT((+C139^2+D139^2+E139^2+F139^2))/(10^-3)))</f>
        <v/>
      </c>
      <c r="H139" s="675" t="str">
        <f aca="false">IF(B139="","",(IF('conversion datos'!$L$30='Patrones LACOMET'!$D$3,(VLOOKUP(B139,'BLOQUES PATRON (pulg) '!$K$5:$Q$86,6,FALSE())*1000),IF('conversion datos'!$L$30='Patrones LACOMET'!$D$4,(VLOOKUP(B139,'BLOQUES PATRON (mm)'!$D$5:$H$126,5,FALSE())),"No existe el patrón"))))</f>
        <v/>
      </c>
      <c r="I139" s="676" t="str">
        <f aca="false">IF(B139="","",0.42^2)</f>
        <v/>
      </c>
      <c r="J139" s="676" t="str">
        <f aca="false">IF(B139="","",IF('conversion datos'!$L$30='Patrones LACOMET'!$D$3,LOOKUP(B139,'BLOQUES PATRON (pulg) '!$S$5:$S$86,'BLOQUES PATRON (pulg) '!$Z$5:$Z$86),IF('conversion datos'!$L$30='Patrones LACOMET'!$D$4,LOOKUP(B139,'BLOQUES PATRON (mm)'!$O$5:$O$126,'BLOQUES PATRON (mm)'!$U$5:$U$126),"No existe el patrón")))</f>
        <v/>
      </c>
      <c r="K139" s="677" t="str">
        <f aca="false">IF(B139="","",SQRT((H139^2)+(J139^2)+(I139^2)))</f>
        <v/>
      </c>
      <c r="L139" s="695" t="str">
        <f aca="false">IF(B139="","",$G$4)</f>
        <v/>
      </c>
      <c r="M139" s="695" t="str">
        <f aca="false">IF(B139="","",($G$5))</f>
        <v/>
      </c>
      <c r="N139" s="695" t="str">
        <f aca="false">IF(B139="","",($G$6))</f>
        <v/>
      </c>
      <c r="O139" s="696" t="str">
        <f aca="false">IF(B139="","",(($G$7)))</f>
        <v/>
      </c>
      <c r="P139" s="697" t="str">
        <f aca="false">IF(B139="","",$G$8)</f>
        <v/>
      </c>
      <c r="Q139" s="698" t="str">
        <f aca="false">IF(B139="","",SQRT((L139^2)*(M139^2)+(N139^2)+(O139^2)+(P139^2)))</f>
        <v/>
      </c>
      <c r="R139" s="699" t="str">
        <f aca="false">IF(B139="","",($G$12))</f>
        <v/>
      </c>
      <c r="S139" s="699" t="str">
        <f aca="false">IF(B139="","",($G$13))</f>
        <v/>
      </c>
      <c r="T139" s="700" t="str">
        <f aca="false">IF(B139="","",+$F$14/SQRT(12))</f>
        <v/>
      </c>
      <c r="U139" s="684" t="str">
        <f aca="false">IF(B139="","",(($M$17)/2)*1000)</f>
        <v/>
      </c>
      <c r="V139" s="685" t="str">
        <f aca="false">+IF(B139="","",+$G$15)</f>
        <v/>
      </c>
      <c r="W139" s="685" t="str">
        <f aca="false">+IF(B139="","",+$G$16)</f>
        <v/>
      </c>
      <c r="X139" s="685" t="str">
        <f aca="false">+IF(B139="","",+$G$17)</f>
        <v/>
      </c>
      <c r="Y139" s="686" t="str">
        <f aca="false">+IF(B139="","",K139*$G$9)</f>
        <v/>
      </c>
      <c r="Z139" s="686" t="str">
        <f aca="false">+IF(B139="","",K139*$G$12)</f>
        <v/>
      </c>
      <c r="AA139" s="686" t="str">
        <f aca="false">+IF(B139="","",K139*$G$13)</f>
        <v/>
      </c>
      <c r="AB139" s="686" t="str">
        <f aca="false">+IF(B139="","",K139*T139)</f>
        <v/>
      </c>
      <c r="AC139" s="687" t="str">
        <f aca="false">IF(B139="","",('SENSIBILIDAD 2'!B116^2)*(G139^2))</f>
        <v/>
      </c>
      <c r="AD139" s="688" t="str">
        <f aca="false">IF(B139="","",('SENSIBILIDAD 2'!C116^2)*(K139^2))</f>
        <v/>
      </c>
      <c r="AE139" s="688" t="str">
        <f aca="false">IF(B139="","",'SENSIBILIDAD 2'!D116^2*(R139^2))</f>
        <v/>
      </c>
      <c r="AF139" s="688" t="str">
        <f aca="false">IF(B139="","",'SENSIBILIDAD 2'!E116^2*(S139^2))</f>
        <v/>
      </c>
      <c r="AG139" s="688" t="str">
        <f aca="false">IF(B139="","",'SENSIBILIDAD 2'!F116^2*(T139^2))</f>
        <v/>
      </c>
      <c r="AH139" s="688" t="str">
        <f aca="false">IF(B139="","",(('SENSIBILIDAD 2'!G116)^2)*(Q139^2))</f>
        <v/>
      </c>
      <c r="AI139" s="688" t="str">
        <f aca="false">IF(B139="","",'SENSIBILIDAD 2'!H116^2*(U139^2))</f>
        <v/>
      </c>
      <c r="AJ139" s="688" t="str">
        <f aca="false">IF(B139="","",'SENSIBILIDAD 2'!M116^2*(V139^2))</f>
        <v/>
      </c>
      <c r="AK139" s="688" t="str">
        <f aca="false">IF(B139="","",'SENSIBILIDAD 2'!N116^2*(W139^2))</f>
        <v/>
      </c>
      <c r="AL139" s="688" t="str">
        <f aca="false">IF(B139="","",'SENSIBILIDAD 2'!O116^2*(X139^2))</f>
        <v/>
      </c>
      <c r="AM139" s="688" t="str">
        <f aca="false">IF($B139="","",(Y139^2)*('SENSIBILIDAD 2'!K116^2))</f>
        <v/>
      </c>
      <c r="AN139" s="688" t="str">
        <f aca="false">IF($B139="","",(Z139^2)*('SENSIBILIDAD 2'!I116^2))</f>
        <v/>
      </c>
      <c r="AO139" s="688" t="str">
        <f aca="false">IF($B139="","",(AA139^2)*('SENSIBILIDAD 2'!J116^2))</f>
        <v/>
      </c>
      <c r="AP139" s="688" t="str">
        <f aca="false">IF($B139="","",(AB139^2)*('SENSIBILIDAD 2'!L116^2))</f>
        <v/>
      </c>
      <c r="AQ139" s="689" t="str">
        <f aca="false">IF(B139="","",SQRT(AC139+AD139+AE139+AF139+AG139+AH139+AI139+AJ139+AK139+AL139+AM139+AN139+AO139+AP139))</f>
        <v/>
      </c>
      <c r="AR139" s="701" t="str">
        <f aca="false">IF(B139="","",2*AQ139)</f>
        <v/>
      </c>
      <c r="AS139" s="706" t="str">
        <f aca="false">IF(B139="","",+AR139/1000)</f>
        <v/>
      </c>
      <c r="AT139" s="692" t="str">
        <f aca="false">IF('conversion datos'!$L$30='Patrones LACOMET'!$D$3,(IF(N139="","",AS139*39.37008)),IF('conversion datos'!$L$30='Patrones LACOMET'!$D$4,AS139,"No existe el patrón"))</f>
        <v/>
      </c>
    </row>
    <row r="140" customFormat="false" ht="15.75" hidden="false" customHeight="false" outlineLevel="0" collapsed="false">
      <c r="A140" s="81" t="n">
        <f aca="false">+CALIBRACION!A123</f>
        <v>112</v>
      </c>
      <c r="B140" s="672" t="str">
        <f aca="false">IF(CALIBRACION!H123="","",CALIBRACION!H123)</f>
        <v/>
      </c>
      <c r="C140" s="693" t="str">
        <f aca="false">IF(B140="","",+($F$20)/SQRT((5)))</f>
        <v/>
      </c>
      <c r="D140" s="693" t="str">
        <f aca="false">IF(B140="","",$F$21/SQRT((3)))</f>
        <v/>
      </c>
      <c r="E140" s="693" t="str">
        <f aca="false">IF(B140="","",$F$22/(SQRT(12)))</f>
        <v/>
      </c>
      <c r="F140" s="693" t="str">
        <f aca="false">IF(B140="","",$F$23/(SQRT(3)))</f>
        <v/>
      </c>
      <c r="G140" s="694" t="str">
        <f aca="false">IF(B140="","",(SQRT((+C140^2+D140^2+E140^2+F140^2))/(10^-3)))</f>
        <v/>
      </c>
      <c r="H140" s="675" t="str">
        <f aca="false">IF(B140="","",(IF('conversion datos'!$L$30='Patrones LACOMET'!$D$3,(VLOOKUP(B140,'BLOQUES PATRON (pulg) '!$K$5:$Q$86,6,FALSE())*1000),IF('conversion datos'!$L$30='Patrones LACOMET'!$D$4,(VLOOKUP(B140,'BLOQUES PATRON (mm)'!$D$5:$H$126,5,FALSE())),"No existe el patrón"))))</f>
        <v/>
      </c>
      <c r="I140" s="676" t="str">
        <f aca="false">IF(B140="","",0.42^2)</f>
        <v/>
      </c>
      <c r="J140" s="676" t="str">
        <f aca="false">IF(B140="","",IF('conversion datos'!$L$30='Patrones LACOMET'!$D$3,LOOKUP(B140,'BLOQUES PATRON (pulg) '!$S$5:$S$86,'BLOQUES PATRON (pulg) '!$Z$5:$Z$86),IF('conversion datos'!$L$30='Patrones LACOMET'!$D$4,LOOKUP(B140,'BLOQUES PATRON (mm)'!$O$5:$O$126,'BLOQUES PATRON (mm)'!$U$5:$U$126),"No existe el patrón")))</f>
        <v/>
      </c>
      <c r="K140" s="677" t="str">
        <f aca="false">IF(B140="","",SQRT((H140^2)+(J140^2)+(I140^2)))</f>
        <v/>
      </c>
      <c r="L140" s="695" t="str">
        <f aca="false">IF(B140="","",$G$4)</f>
        <v/>
      </c>
      <c r="M140" s="695" t="str">
        <f aca="false">IF(B140="","",($G$5))</f>
        <v/>
      </c>
      <c r="N140" s="695" t="str">
        <f aca="false">IF(B140="","",($G$6))</f>
        <v/>
      </c>
      <c r="O140" s="696" t="str">
        <f aca="false">IF(B140="","",(($G$7)))</f>
        <v/>
      </c>
      <c r="P140" s="697" t="str">
        <f aca="false">IF(B140="","",$G$8)</f>
        <v/>
      </c>
      <c r="Q140" s="698" t="str">
        <f aca="false">IF(B140="","",SQRT((L140^2)*(M140^2)+(N140^2)+(O140^2)+(P140^2)))</f>
        <v/>
      </c>
      <c r="R140" s="699" t="str">
        <f aca="false">IF(B140="","",($G$12))</f>
        <v/>
      </c>
      <c r="S140" s="699" t="str">
        <f aca="false">IF(B140="","",($G$13))</f>
        <v/>
      </c>
      <c r="T140" s="700" t="str">
        <f aca="false">IF(B140="","",+$F$14/SQRT(12))</f>
        <v/>
      </c>
      <c r="U140" s="684" t="str">
        <f aca="false">IF(B140="","",(($M$17)/2)*1000)</f>
        <v/>
      </c>
      <c r="V140" s="685" t="str">
        <f aca="false">+IF(B140="","",+$G$15)</f>
        <v/>
      </c>
      <c r="W140" s="685" t="str">
        <f aca="false">+IF(B140="","",+$G$16)</f>
        <v/>
      </c>
      <c r="X140" s="685" t="str">
        <f aca="false">+IF(B140="","",+$G$17)</f>
        <v/>
      </c>
      <c r="Y140" s="686" t="str">
        <f aca="false">+IF(B140="","",K140*$G$9)</f>
        <v/>
      </c>
      <c r="Z140" s="686" t="str">
        <f aca="false">+IF(B140="","",K140*$G$12)</f>
        <v/>
      </c>
      <c r="AA140" s="686" t="str">
        <f aca="false">+IF(B140="","",K140*$G$13)</f>
        <v/>
      </c>
      <c r="AB140" s="686" t="str">
        <f aca="false">+IF(B140="","",K140*T140)</f>
        <v/>
      </c>
      <c r="AC140" s="687" t="str">
        <f aca="false">IF(B140="","",('SENSIBILIDAD 2'!B117^2)*(G140^2))</f>
        <v/>
      </c>
      <c r="AD140" s="688" t="str">
        <f aca="false">IF(B140="","",('SENSIBILIDAD 2'!C117^2)*(K140^2))</f>
        <v/>
      </c>
      <c r="AE140" s="688" t="str">
        <f aca="false">IF(B140="","",'SENSIBILIDAD 2'!D117^2*(R140^2))</f>
        <v/>
      </c>
      <c r="AF140" s="688" t="str">
        <f aca="false">IF(B140="","",'SENSIBILIDAD 2'!E117^2*(S140^2))</f>
        <v/>
      </c>
      <c r="AG140" s="688" t="str">
        <f aca="false">IF(B140="","",'SENSIBILIDAD 2'!F117^2*(T140^2))</f>
        <v/>
      </c>
      <c r="AH140" s="688" t="str">
        <f aca="false">IF(B140="","",(('SENSIBILIDAD 2'!G117)^2)*(Q140^2))</f>
        <v/>
      </c>
      <c r="AI140" s="688" t="str">
        <f aca="false">IF(B140="","",'SENSIBILIDAD 2'!H117^2*(U140^2))</f>
        <v/>
      </c>
      <c r="AJ140" s="688" t="str">
        <f aca="false">IF(B140="","",'SENSIBILIDAD 2'!M117^2*(V140^2))</f>
        <v/>
      </c>
      <c r="AK140" s="688" t="str">
        <f aca="false">IF(B140="","",'SENSIBILIDAD 2'!N117^2*(W140^2))</f>
        <v/>
      </c>
      <c r="AL140" s="688" t="str">
        <f aca="false">IF(B140="","",'SENSIBILIDAD 2'!O117^2*(X140^2))</f>
        <v/>
      </c>
      <c r="AM140" s="688" t="str">
        <f aca="false">IF($B140="","",(Y140^2)*('SENSIBILIDAD 2'!K117^2))</f>
        <v/>
      </c>
      <c r="AN140" s="688" t="str">
        <f aca="false">IF($B140="","",(Z140^2)*('SENSIBILIDAD 2'!I117^2))</f>
        <v/>
      </c>
      <c r="AO140" s="688" t="str">
        <f aca="false">IF($B140="","",(AA140^2)*('SENSIBILIDAD 2'!J117^2))</f>
        <v/>
      </c>
      <c r="AP140" s="688" t="str">
        <f aca="false">IF($B140="","",(AB140^2)*('SENSIBILIDAD 2'!L117^2))</f>
        <v/>
      </c>
      <c r="AQ140" s="689" t="str">
        <f aca="false">IF(B140="","",SQRT(AC140+AD140+AE140+AF140+AG140+AH140+AI140+AJ140+AK140+AL140+AM140+AN140+AO140+AP140))</f>
        <v/>
      </c>
      <c r="AR140" s="701" t="str">
        <f aca="false">IF(B140="","",2*AQ140)</f>
        <v/>
      </c>
      <c r="AS140" s="706" t="str">
        <f aca="false">IF(B140="","",+AR140/1000)</f>
        <v/>
      </c>
      <c r="AT140" s="692" t="str">
        <f aca="false">IF('conversion datos'!$L$30='Patrones LACOMET'!$D$3,(IF(N140="","",AS140*39.37008)),IF('conversion datos'!$L$30='Patrones LACOMET'!$D$4,AS140,"No existe el patrón"))</f>
        <v/>
      </c>
    </row>
    <row r="141" customFormat="false" ht="15.75" hidden="false" customHeight="false" outlineLevel="0" collapsed="false">
      <c r="A141" s="81" t="n">
        <f aca="false">+CALIBRACION!A124</f>
        <v>0</v>
      </c>
      <c r="B141" s="672" t="str">
        <f aca="false">IF(CALIBRACION!H124="","",CALIBRACION!H124)</f>
        <v/>
      </c>
      <c r="C141" s="693" t="str">
        <f aca="false">IF(B141="","",+($F$20)/SQRT((5)))</f>
        <v/>
      </c>
      <c r="D141" s="693" t="str">
        <f aca="false">IF(B141="","",$F$21/SQRT((3)))</f>
        <v/>
      </c>
      <c r="E141" s="693" t="str">
        <f aca="false">IF(B141="","",$F$22/(SQRT(12)))</f>
        <v/>
      </c>
      <c r="F141" s="693" t="str">
        <f aca="false">IF(B141="","",$F$23/(SQRT(3)))</f>
        <v/>
      </c>
      <c r="G141" s="694" t="str">
        <f aca="false">IF(B141="","",(SQRT((+C141^2+D141^2+E141^2+F141^2))/(10^-3)))</f>
        <v/>
      </c>
      <c r="H141" s="675" t="str">
        <f aca="false">IF(B141="","",(IF('conversion datos'!$L$30='Patrones LACOMET'!$D$3,(VLOOKUP(B141,'BLOQUES PATRON (pulg) '!$K$5:$Q$86,6,FALSE())*1000),IF('conversion datos'!$L$30='Patrones LACOMET'!$D$4,(VLOOKUP(B141,'BLOQUES PATRON (mm)'!$D$5:$H$126,5,FALSE())),"No existe el patrón"))))</f>
        <v/>
      </c>
      <c r="I141" s="676" t="str">
        <f aca="false">IF(B141="","",0.42^2)</f>
        <v/>
      </c>
      <c r="J141" s="676" t="str">
        <f aca="false">IF(B141="","",IF('conversion datos'!$L$30='Patrones LACOMET'!$D$3,LOOKUP(B141,'BLOQUES PATRON (pulg) '!$S$5:$S$86,'BLOQUES PATRON (pulg) '!$Z$5:$Z$86),IF('conversion datos'!$L$30='Patrones LACOMET'!$D$4,LOOKUP(B141,'BLOQUES PATRON (mm)'!$O$5:$O$126,'BLOQUES PATRON (mm)'!$U$5:$U$126),"No existe el patrón")))</f>
        <v/>
      </c>
      <c r="K141" s="677" t="str">
        <f aca="false">IF(B141="","",SQRT((H141^2)+(J141^2)+(I141^2)))</f>
        <v/>
      </c>
      <c r="L141" s="695" t="str">
        <f aca="false">IF(B141="","",$G$4)</f>
        <v/>
      </c>
      <c r="M141" s="695" t="str">
        <f aca="false">IF(B141="","",($G$5))</f>
        <v/>
      </c>
      <c r="N141" s="695" t="str">
        <f aca="false">IF(B141="","",($G$6))</f>
        <v/>
      </c>
      <c r="O141" s="696" t="str">
        <f aca="false">IF(B141="","",(($G$7)))</f>
        <v/>
      </c>
      <c r="P141" s="697" t="str">
        <f aca="false">IF(B141="","",$G$8)</f>
        <v/>
      </c>
      <c r="Q141" s="698" t="str">
        <f aca="false">IF(B141="","",SQRT((L141^2)*(M141^2)+(N141^2)+(O141^2)+(P141^2)))</f>
        <v/>
      </c>
      <c r="R141" s="699" t="str">
        <f aca="false">IF(B141="","",($G$12))</f>
        <v/>
      </c>
      <c r="S141" s="699" t="str">
        <f aca="false">IF(B141="","",($G$13))</f>
        <v/>
      </c>
      <c r="T141" s="700" t="str">
        <f aca="false">IF(B141="","",+$F$14/SQRT(12))</f>
        <v/>
      </c>
      <c r="U141" s="684" t="str">
        <f aca="false">IF(B141="","",(($M$17)/2)*1000)</f>
        <v/>
      </c>
      <c r="V141" s="685" t="str">
        <f aca="false">+IF(B141="","",+$G$15)</f>
        <v/>
      </c>
      <c r="W141" s="685" t="str">
        <f aca="false">+IF(B141="","",+$G$16)</f>
        <v/>
      </c>
      <c r="X141" s="685" t="str">
        <f aca="false">+IF(B141="","",+$G$17)</f>
        <v/>
      </c>
      <c r="Y141" s="686" t="str">
        <f aca="false">+IF(B141="","",K141*$G$9)</f>
        <v/>
      </c>
      <c r="Z141" s="686" t="str">
        <f aca="false">+IF(B141="","",K141*$G$12)</f>
        <v/>
      </c>
      <c r="AA141" s="686" t="str">
        <f aca="false">+IF(B141="","",K141*$G$13)</f>
        <v/>
      </c>
      <c r="AB141" s="686" t="str">
        <f aca="false">+IF(B141="","",K141*T141)</f>
        <v/>
      </c>
      <c r="AC141" s="687" t="str">
        <f aca="false">IF(B141="","",('SENSIBILIDAD 2'!B118^2)*(G141^2))</f>
        <v/>
      </c>
      <c r="AD141" s="688" t="str">
        <f aca="false">IF(B141="","",('SENSIBILIDAD 2'!C118^2)*(K141^2))</f>
        <v/>
      </c>
      <c r="AE141" s="688" t="str">
        <f aca="false">IF(B141="","",'SENSIBILIDAD 2'!D118^2*(R141^2))</f>
        <v/>
      </c>
      <c r="AF141" s="688" t="str">
        <f aca="false">IF(B141="","",'SENSIBILIDAD 2'!E118^2*(S141^2))</f>
        <v/>
      </c>
      <c r="AG141" s="688" t="str">
        <f aca="false">IF(B141="","",'SENSIBILIDAD 2'!F118^2*(T141^2))</f>
        <v/>
      </c>
      <c r="AH141" s="688" t="str">
        <f aca="false">IF(B141="","",(('SENSIBILIDAD 2'!G118)^2)*(Q141^2))</f>
        <v/>
      </c>
      <c r="AI141" s="688" t="str">
        <f aca="false">IF(B141="","",'SENSIBILIDAD 2'!H118^2*(U141^2))</f>
        <v/>
      </c>
      <c r="AJ141" s="688" t="str">
        <f aca="false">IF(B141="","",'SENSIBILIDAD 2'!M118^2*(V141^2))</f>
        <v/>
      </c>
      <c r="AK141" s="688" t="str">
        <f aca="false">IF(B141="","",'SENSIBILIDAD 2'!N118^2*(W141^2))</f>
        <v/>
      </c>
      <c r="AL141" s="688" t="str">
        <f aca="false">IF(B141="","",'SENSIBILIDAD 2'!O118^2*(X141^2))</f>
        <v/>
      </c>
      <c r="AM141" s="688" t="str">
        <f aca="false">IF($B141="","",(Y141^2)*('SENSIBILIDAD 2'!K118^2))</f>
        <v/>
      </c>
      <c r="AN141" s="688" t="str">
        <f aca="false">IF($B141="","",(Z141^2)*('SENSIBILIDAD 2'!I118^2))</f>
        <v/>
      </c>
      <c r="AO141" s="688" t="str">
        <f aca="false">IF($B141="","",(AA141^2)*('SENSIBILIDAD 2'!J118^2))</f>
        <v/>
      </c>
      <c r="AP141" s="688" t="str">
        <f aca="false">IF($B141="","",(AB141^2)*('SENSIBILIDAD 2'!L118^2))</f>
        <v/>
      </c>
      <c r="AQ141" s="689" t="str">
        <f aca="false">IF(B141="","",SQRT(AC141+AD141+AE141+AF141+AG141+AH141+AI141+AJ141+AK141+AL141+AM141+AN141+AO141+AP141))</f>
        <v/>
      </c>
      <c r="AR141" s="701" t="str">
        <f aca="false">IF(B141="","",2*AQ141)</f>
        <v/>
      </c>
      <c r="AS141" s="706" t="str">
        <f aca="false">IF(B141="","",+AR141/1000)</f>
        <v/>
      </c>
      <c r="AT141" s="692" t="str">
        <f aca="false">IF('conversion datos'!$L$30='Patrones LACOMET'!$D$3,(IF(N141="","",AS141*39.37008)),IF('conversion datos'!$L$30='Patrones LACOMET'!$D$4,AS141,"No existe el patrón"))</f>
        <v/>
      </c>
    </row>
    <row r="142" customFormat="false" ht="15.75" hidden="false" customHeight="false" outlineLevel="0" collapsed="false">
      <c r="A142" s="81" t="n">
        <f aca="false">+CALIBRACION!A125</f>
        <v>0</v>
      </c>
      <c r="B142" s="672" t="str">
        <f aca="false">IF(CALIBRACION!H125="","",CALIBRACION!H125)</f>
        <v/>
      </c>
      <c r="C142" s="693" t="str">
        <f aca="false">IF(B142="","",+($F$20)/SQRT((5)))</f>
        <v/>
      </c>
      <c r="D142" s="693" t="str">
        <f aca="false">IF(B142="","",$F$21/SQRT((3)))</f>
        <v/>
      </c>
      <c r="E142" s="693" t="str">
        <f aca="false">IF(B142="","",$F$22/(SQRT(12)))</f>
        <v/>
      </c>
      <c r="F142" s="693" t="str">
        <f aca="false">IF(B142="","",$F$23/(SQRT(3)))</f>
        <v/>
      </c>
      <c r="G142" s="694" t="str">
        <f aca="false">IF(B142="","",(SQRT((+C142^2+D142^2+E142^2+F142^2))/(10^-3)))</f>
        <v/>
      </c>
      <c r="H142" s="675" t="str">
        <f aca="false">IF(B142="","",(IF('conversion datos'!$L$30='Patrones LACOMET'!$D$3,(VLOOKUP(B142,'BLOQUES PATRON (pulg) '!$K$5:$Q$86,6,FALSE())*1000),IF('conversion datos'!$L$30='Patrones LACOMET'!$D$4,(VLOOKUP(B142,'BLOQUES PATRON (mm)'!$D$5:$H$126,5,FALSE())),"No existe el patrón"))))</f>
        <v/>
      </c>
      <c r="I142" s="676" t="str">
        <f aca="false">IF(B142="","",0.42^2)</f>
        <v/>
      </c>
      <c r="J142" s="676" t="str">
        <f aca="false">IF(B142="","",IF('conversion datos'!$L$30='Patrones LACOMET'!$D$3,LOOKUP(B142,'BLOQUES PATRON (pulg) '!$S$5:$S$86,'BLOQUES PATRON (pulg) '!$Z$5:$Z$86),IF('conversion datos'!$L$30='Patrones LACOMET'!$D$4,LOOKUP(B142,'BLOQUES PATRON (mm)'!$O$5:$O$126,'BLOQUES PATRON (mm)'!$U$5:$U$126),"No existe el patrón")))</f>
        <v/>
      </c>
      <c r="K142" s="677" t="str">
        <f aca="false">IF(B142="","",SQRT((H142^2)+(J142^2)+(I142^2)))</f>
        <v/>
      </c>
      <c r="L142" s="695" t="str">
        <f aca="false">IF(B142="","",$G$4)</f>
        <v/>
      </c>
      <c r="M142" s="695" t="str">
        <f aca="false">IF(B142="","",($G$5))</f>
        <v/>
      </c>
      <c r="N142" s="695" t="str">
        <f aca="false">IF(B142="","",($G$6))</f>
        <v/>
      </c>
      <c r="O142" s="696" t="str">
        <f aca="false">IF(B142="","",(($G$7)))</f>
        <v/>
      </c>
      <c r="P142" s="697" t="str">
        <f aca="false">IF(B142="","",$G$8)</f>
        <v/>
      </c>
      <c r="Q142" s="698" t="str">
        <f aca="false">IF(B142="","",SQRT((L142^2)*(M142^2)+(N142^2)+(O142^2)+(P142^2)))</f>
        <v/>
      </c>
      <c r="R142" s="699" t="str">
        <f aca="false">IF(B142="","",($G$12))</f>
        <v/>
      </c>
      <c r="S142" s="699" t="str">
        <f aca="false">IF(B142="","",($G$13))</f>
        <v/>
      </c>
      <c r="T142" s="700" t="str">
        <f aca="false">IF(B142="","",+$F$14/SQRT(12))</f>
        <v/>
      </c>
      <c r="U142" s="684" t="str">
        <f aca="false">IF(B142="","",(($M$17)/2)*1000)</f>
        <v/>
      </c>
      <c r="V142" s="685" t="str">
        <f aca="false">+IF(B142="","",+$G$15)</f>
        <v/>
      </c>
      <c r="W142" s="685" t="str">
        <f aca="false">+IF(B142="","",+$G$16)</f>
        <v/>
      </c>
      <c r="X142" s="685" t="str">
        <f aca="false">+IF(B142="","",+$G$17)</f>
        <v/>
      </c>
      <c r="Y142" s="686" t="str">
        <f aca="false">+IF(B142="","",K142*$G$9)</f>
        <v/>
      </c>
      <c r="Z142" s="686" t="str">
        <f aca="false">+IF(B142="","",K142*$G$12)</f>
        <v/>
      </c>
      <c r="AA142" s="686" t="str">
        <f aca="false">+IF(B142="","",K142*$G$13)</f>
        <v/>
      </c>
      <c r="AB142" s="686" t="str">
        <f aca="false">+IF(B142="","",K142*T142)</f>
        <v/>
      </c>
      <c r="AC142" s="687" t="str">
        <f aca="false">IF(B142="","",('SENSIBILIDAD 2'!B119^2)*(G142^2))</f>
        <v/>
      </c>
      <c r="AD142" s="688" t="str">
        <f aca="false">IF(B142="","",('SENSIBILIDAD 2'!C119^2)*(K142^2))</f>
        <v/>
      </c>
      <c r="AE142" s="688" t="str">
        <f aca="false">IF(B142="","",'SENSIBILIDAD 2'!D119^2*(R142^2))</f>
        <v/>
      </c>
      <c r="AF142" s="688" t="str">
        <f aca="false">IF(B142="","",'SENSIBILIDAD 2'!E119^2*(S142^2))</f>
        <v/>
      </c>
      <c r="AG142" s="688" t="str">
        <f aca="false">IF(B142="","",'SENSIBILIDAD 2'!F119^2*(T142^2))</f>
        <v/>
      </c>
      <c r="AH142" s="688" t="str">
        <f aca="false">IF(B142="","",(('SENSIBILIDAD 2'!G119)^2)*(Q142^2))</f>
        <v/>
      </c>
      <c r="AI142" s="688" t="str">
        <f aca="false">IF(B142="","",'SENSIBILIDAD 2'!H119^2*(U142^2))</f>
        <v/>
      </c>
      <c r="AJ142" s="688" t="str">
        <f aca="false">IF(B142="","",'SENSIBILIDAD 2'!M119^2*(V142^2))</f>
        <v/>
      </c>
      <c r="AK142" s="688" t="str">
        <f aca="false">IF(B142="","",'SENSIBILIDAD 2'!N119^2*(W142^2))</f>
        <v/>
      </c>
      <c r="AL142" s="688" t="str">
        <f aca="false">IF(B142="","",'SENSIBILIDAD 2'!O119^2*(X142^2))</f>
        <v/>
      </c>
      <c r="AM142" s="688" t="str">
        <f aca="false">IF($B142="","",(Y142^2)*('SENSIBILIDAD 2'!K119^2))</f>
        <v/>
      </c>
      <c r="AN142" s="688" t="str">
        <f aca="false">IF($B142="","",(Z142^2)*('SENSIBILIDAD 2'!I119^2))</f>
        <v/>
      </c>
      <c r="AO142" s="688" t="str">
        <f aca="false">IF($B142="","",(AA142^2)*('SENSIBILIDAD 2'!J119^2))</f>
        <v/>
      </c>
      <c r="AP142" s="688" t="str">
        <f aca="false">IF($B142="","",(AB142^2)*('SENSIBILIDAD 2'!L119^2))</f>
        <v/>
      </c>
      <c r="AQ142" s="689" t="str">
        <f aca="false">IF(B142="","",SQRT(AC142+AD142+AE142+AF142+AG142+AH142+AI142+AJ142+AK142+AL142+AM142+AN142+AO142+AP142))</f>
        <v/>
      </c>
      <c r="AR142" s="701" t="str">
        <f aca="false">IF(B142="","",2*AQ142)</f>
        <v/>
      </c>
      <c r="AS142" s="706" t="str">
        <f aca="false">IF(B142="","",+AR142/1000)</f>
        <v/>
      </c>
      <c r="AT142" s="692" t="str">
        <f aca="false">IF('conversion datos'!$L$30='Patrones LACOMET'!$D$3,(IF(N142="","",AS142*39.37008)),IF('conversion datos'!$L$30='Patrones LACOMET'!$D$4,AS142,"No existe el patrón"))</f>
        <v/>
      </c>
    </row>
    <row r="143" customFormat="false" ht="15.75" hidden="false" customHeight="false" outlineLevel="0" collapsed="false">
      <c r="A143" s="81" t="n">
        <f aca="false">+CALIBRACION!A126</f>
        <v>0</v>
      </c>
      <c r="B143" s="672" t="str">
        <f aca="false">IF(CALIBRACION!H126="","",CALIBRACION!H126)</f>
        <v/>
      </c>
      <c r="C143" s="693" t="str">
        <f aca="false">IF(B143="","",+($F$20)/SQRT((5)))</f>
        <v/>
      </c>
      <c r="D143" s="693" t="str">
        <f aca="false">IF(B143="","",$F$21/SQRT((3)))</f>
        <v/>
      </c>
      <c r="E143" s="693" t="str">
        <f aca="false">IF(B143="","",$F$22/(SQRT(12)))</f>
        <v/>
      </c>
      <c r="F143" s="693" t="str">
        <f aca="false">IF(B143="","",$F$23/(SQRT(3)))</f>
        <v/>
      </c>
      <c r="G143" s="694" t="str">
        <f aca="false">IF(B143="","",(SQRT((+C143^2+D143^2+E143^2+F143^2))/(10^-3)))</f>
        <v/>
      </c>
      <c r="H143" s="675" t="str">
        <f aca="false">IF(B143="","",(IF('conversion datos'!$L$30='Patrones LACOMET'!$D$3,(VLOOKUP(B143,'BLOQUES PATRON (pulg) '!$K$5:$Q$86,6,FALSE())*1000),IF('conversion datos'!$L$30='Patrones LACOMET'!$D$4,(VLOOKUP(B143,'BLOQUES PATRON (mm)'!$D$5:$H$126,5,FALSE())),"No existe el patrón"))))</f>
        <v/>
      </c>
      <c r="I143" s="676" t="str">
        <f aca="false">IF(B143="","",0.42^2)</f>
        <v/>
      </c>
      <c r="J143" s="676" t="str">
        <f aca="false">IF(B143="","",IF('conversion datos'!$L$30='Patrones LACOMET'!$D$3,LOOKUP(B143,'BLOQUES PATRON (pulg) '!$S$5:$S$86,'BLOQUES PATRON (pulg) '!$Z$5:$Z$86),IF('conversion datos'!$L$30='Patrones LACOMET'!$D$4,LOOKUP(B143,'BLOQUES PATRON (mm)'!$O$5:$O$126,'BLOQUES PATRON (mm)'!$U$5:$U$126),"No existe el patrón")))</f>
        <v/>
      </c>
      <c r="K143" s="677" t="str">
        <f aca="false">IF(B143="","",SQRT((H143^2)+(J143^2)+(I143^2)))</f>
        <v/>
      </c>
      <c r="L143" s="695" t="str">
        <f aca="false">IF(B143="","",$G$4)</f>
        <v/>
      </c>
      <c r="M143" s="695" t="str">
        <f aca="false">IF(B143="","",($G$5))</f>
        <v/>
      </c>
      <c r="N143" s="695" t="str">
        <f aca="false">IF(B143="","",($G$6))</f>
        <v/>
      </c>
      <c r="O143" s="696" t="str">
        <f aca="false">IF(B143="","",(($G$7)))</f>
        <v/>
      </c>
      <c r="P143" s="697" t="str">
        <f aca="false">IF(B143="","",$G$8)</f>
        <v/>
      </c>
      <c r="Q143" s="698" t="str">
        <f aca="false">IF(B143="","",SQRT((L143^2)*(M143^2)+(N143^2)+(O143^2)+(P143^2)))</f>
        <v/>
      </c>
      <c r="R143" s="699" t="str">
        <f aca="false">IF(B143="","",($G$12))</f>
        <v/>
      </c>
      <c r="S143" s="699" t="str">
        <f aca="false">IF(B143="","",($G$13))</f>
        <v/>
      </c>
      <c r="T143" s="700" t="str">
        <f aca="false">IF(B143="","",+$F$14/SQRT(12))</f>
        <v/>
      </c>
      <c r="U143" s="684" t="str">
        <f aca="false">IF(B143="","",(($M$17)/2)*1000)</f>
        <v/>
      </c>
      <c r="V143" s="685" t="str">
        <f aca="false">+IF(B143="","",+$G$15)</f>
        <v/>
      </c>
      <c r="W143" s="685" t="str">
        <f aca="false">+IF(B143="","",+$G$16)</f>
        <v/>
      </c>
      <c r="X143" s="685" t="str">
        <f aca="false">+IF(B143="","",+$G$17)</f>
        <v/>
      </c>
      <c r="Y143" s="686" t="str">
        <f aca="false">+IF(B143="","",K143*$G$9)</f>
        <v/>
      </c>
      <c r="Z143" s="686" t="str">
        <f aca="false">+IF(B143="","",K143*$G$12)</f>
        <v/>
      </c>
      <c r="AA143" s="686" t="str">
        <f aca="false">+IF(B143="","",K143*$G$13)</f>
        <v/>
      </c>
      <c r="AB143" s="686" t="str">
        <f aca="false">+IF(B143="","",K143*T143)</f>
        <v/>
      </c>
      <c r="AC143" s="687" t="str">
        <f aca="false">IF(B143="","",('SENSIBILIDAD 2'!B120^2)*(G143^2))</f>
        <v/>
      </c>
      <c r="AD143" s="688" t="str">
        <f aca="false">IF(B143="","",('SENSIBILIDAD 2'!C120^2)*(K143^2))</f>
        <v/>
      </c>
      <c r="AE143" s="688" t="str">
        <f aca="false">IF(B143="","",'SENSIBILIDAD 2'!D120^2*(R143^2))</f>
        <v/>
      </c>
      <c r="AF143" s="688" t="str">
        <f aca="false">IF(B143="","",'SENSIBILIDAD 2'!E120^2*(S143^2))</f>
        <v/>
      </c>
      <c r="AG143" s="688" t="str">
        <f aca="false">IF(B143="","",'SENSIBILIDAD 2'!F120^2*(T143^2))</f>
        <v/>
      </c>
      <c r="AH143" s="688" t="str">
        <f aca="false">IF(B143="","",(('SENSIBILIDAD 2'!G120)^2)*(Q143^2))</f>
        <v/>
      </c>
      <c r="AI143" s="688" t="str">
        <f aca="false">IF(B143="","",'SENSIBILIDAD 2'!H120^2*(U143^2))</f>
        <v/>
      </c>
      <c r="AJ143" s="688" t="str">
        <f aca="false">IF(B143="","",'SENSIBILIDAD 2'!M120^2*(V143^2))</f>
        <v/>
      </c>
      <c r="AK143" s="688" t="str">
        <f aca="false">IF(B143="","",'SENSIBILIDAD 2'!N120^2*(W143^2))</f>
        <v/>
      </c>
      <c r="AL143" s="688" t="str">
        <f aca="false">IF(B143="","",'SENSIBILIDAD 2'!O120^2*(X143^2))</f>
        <v/>
      </c>
      <c r="AM143" s="688" t="str">
        <f aca="false">IF($B143="","",(Y143^2)*('SENSIBILIDAD 2'!K120^2))</f>
        <v/>
      </c>
      <c r="AN143" s="688" t="str">
        <f aca="false">IF($B143="","",(Z143^2)*('SENSIBILIDAD 2'!I120^2))</f>
        <v/>
      </c>
      <c r="AO143" s="688" t="str">
        <f aca="false">IF($B143="","",(AA143^2)*('SENSIBILIDAD 2'!J120^2))</f>
        <v/>
      </c>
      <c r="AP143" s="688" t="str">
        <f aca="false">IF($B143="","",(AB143^2)*('SENSIBILIDAD 2'!L120^2))</f>
        <v/>
      </c>
      <c r="AQ143" s="689" t="str">
        <f aca="false">IF(B143="","",SQRT(AC143+AD143+AE143+AF143+AG143+AH143+AI143+AJ143+AK143+AL143+AM143+AN143+AO143+AP143))</f>
        <v/>
      </c>
      <c r="AR143" s="701" t="str">
        <f aca="false">IF(B143="","",2*AQ143)</f>
        <v/>
      </c>
      <c r="AS143" s="706" t="str">
        <f aca="false">IF(B143="","",+AR143/1000)</f>
        <v/>
      </c>
      <c r="AT143" s="692" t="str">
        <f aca="false">IF('conversion datos'!$L$30='Patrones LACOMET'!$D$3,(IF(N143="","",AS143*39.37008)),IF('conversion datos'!$L$30='Patrones LACOMET'!$D$4,AS143,"No existe el patrón"))</f>
        <v/>
      </c>
    </row>
    <row r="144" customFormat="false" ht="15.75" hidden="false" customHeight="false" outlineLevel="0" collapsed="false">
      <c r="A144" s="81" t="n">
        <f aca="false">+CALIBRACION!A127</f>
        <v>0</v>
      </c>
      <c r="B144" s="672" t="str">
        <f aca="false">IF(CALIBRACION!H127="","",CALIBRACION!H127)</f>
        <v/>
      </c>
      <c r="C144" s="693" t="str">
        <f aca="false">IF(B144="","",+($F$20)/SQRT((5)))</f>
        <v/>
      </c>
      <c r="D144" s="693" t="str">
        <f aca="false">IF(B144="","",$F$21/SQRT((3)))</f>
        <v/>
      </c>
      <c r="E144" s="693" t="str">
        <f aca="false">IF(B144="","",$F$22/(SQRT(12)))</f>
        <v/>
      </c>
      <c r="F144" s="693" t="str">
        <f aca="false">IF(B144="","",$F$23/(SQRT(3)))</f>
        <v/>
      </c>
      <c r="G144" s="694" t="str">
        <f aca="false">IF(B144="","",(SQRT((+C144^2+D144^2+E144^2+F144^2))/(10^-3)))</f>
        <v/>
      </c>
      <c r="H144" s="675" t="str">
        <f aca="false">IF(B144="","",(IF('conversion datos'!$L$30='Patrones LACOMET'!$D$3,(VLOOKUP(B144,'BLOQUES PATRON (pulg) '!$K$5:$Q$86,6,FALSE())*1000),IF('conversion datos'!$L$30='Patrones LACOMET'!$D$4,(VLOOKUP(B144,'BLOQUES PATRON (mm)'!$D$5:$H$126,5,FALSE())),"No existe el patrón"))))</f>
        <v/>
      </c>
      <c r="I144" s="676" t="str">
        <f aca="false">IF(B144="","",0.42^2)</f>
        <v/>
      </c>
      <c r="J144" s="676" t="str">
        <f aca="false">IF(B144="","",IF('conversion datos'!$L$30='Patrones LACOMET'!$D$3,LOOKUP(B144,'BLOQUES PATRON (pulg) '!$S$5:$S$86,'BLOQUES PATRON (pulg) '!$Z$5:$Z$86),IF('conversion datos'!$L$30='Patrones LACOMET'!$D$4,LOOKUP(B144,'BLOQUES PATRON (mm)'!$O$5:$O$126,'BLOQUES PATRON (mm)'!$U$5:$U$126),"No existe el patrón")))</f>
        <v/>
      </c>
      <c r="K144" s="677" t="str">
        <f aca="false">IF(B144="","",SQRT((H144^2)+(J144^2)+(I144^2)))</f>
        <v/>
      </c>
      <c r="L144" s="695" t="str">
        <f aca="false">IF(B144="","",$G$4)</f>
        <v/>
      </c>
      <c r="M144" s="695" t="str">
        <f aca="false">IF(B144="","",($G$5))</f>
        <v/>
      </c>
      <c r="N144" s="695" t="str">
        <f aca="false">IF(B144="","",($G$6))</f>
        <v/>
      </c>
      <c r="O144" s="696" t="str">
        <f aca="false">IF(B144="","",(($G$7)))</f>
        <v/>
      </c>
      <c r="P144" s="697" t="str">
        <f aca="false">IF(B144="","",$G$8)</f>
        <v/>
      </c>
      <c r="Q144" s="698" t="str">
        <f aca="false">IF(B144="","",SQRT((L144^2)*(M144^2)+(N144^2)+(O144^2)+(P144^2)))</f>
        <v/>
      </c>
      <c r="R144" s="699" t="str">
        <f aca="false">IF(B144="","",($G$12))</f>
        <v/>
      </c>
      <c r="S144" s="699" t="str">
        <f aca="false">IF(B144="","",($G$13))</f>
        <v/>
      </c>
      <c r="T144" s="700" t="str">
        <f aca="false">IF(B144="","",+$F$14/SQRT(12))</f>
        <v/>
      </c>
      <c r="U144" s="684" t="str">
        <f aca="false">IF(B144="","",(($M$17)/2)*1000)</f>
        <v/>
      </c>
      <c r="V144" s="685" t="str">
        <f aca="false">+IF(B144="","",+$G$15)</f>
        <v/>
      </c>
      <c r="W144" s="685" t="str">
        <f aca="false">+IF(B144="","",+$G$16)</f>
        <v/>
      </c>
      <c r="X144" s="685" t="str">
        <f aca="false">+IF(B144="","",+$G$17)</f>
        <v/>
      </c>
      <c r="Y144" s="686" t="str">
        <f aca="false">+IF(B144="","",K144*$G$9)</f>
        <v/>
      </c>
      <c r="Z144" s="686" t="str">
        <f aca="false">+IF(B144="","",K144*$G$12)</f>
        <v/>
      </c>
      <c r="AA144" s="686" t="str">
        <f aca="false">+IF(B144="","",K144*$G$13)</f>
        <v/>
      </c>
      <c r="AB144" s="686" t="str">
        <f aca="false">+IF(B144="","",K144*T144)</f>
        <v/>
      </c>
      <c r="AC144" s="687" t="str">
        <f aca="false">IF(B144="","",('SENSIBILIDAD 2'!B121^2)*(G144^2))</f>
        <v/>
      </c>
      <c r="AD144" s="688" t="str">
        <f aca="false">IF(B144="","",('SENSIBILIDAD 2'!C121^2)*(K144^2))</f>
        <v/>
      </c>
      <c r="AE144" s="688" t="str">
        <f aca="false">IF(B144="","",'SENSIBILIDAD 2'!D121^2*(R144^2))</f>
        <v/>
      </c>
      <c r="AF144" s="688" t="str">
        <f aca="false">IF(B144="","",'SENSIBILIDAD 2'!E121^2*(S144^2))</f>
        <v/>
      </c>
      <c r="AG144" s="688" t="str">
        <f aca="false">IF(B144="","",'SENSIBILIDAD 2'!F121^2*(T144^2))</f>
        <v/>
      </c>
      <c r="AH144" s="688" t="str">
        <f aca="false">IF(B144="","",(('SENSIBILIDAD 2'!G121)^2)*(Q144^2))</f>
        <v/>
      </c>
      <c r="AI144" s="688" t="str">
        <f aca="false">IF(B144="","",'SENSIBILIDAD 2'!H121^2*(U144^2))</f>
        <v/>
      </c>
      <c r="AJ144" s="688" t="str">
        <f aca="false">IF(B144="","",'SENSIBILIDAD 2'!M121^2*(V144^2))</f>
        <v/>
      </c>
      <c r="AK144" s="688" t="str">
        <f aca="false">IF(B144="","",'SENSIBILIDAD 2'!N121^2*(W144^2))</f>
        <v/>
      </c>
      <c r="AL144" s="688" t="str">
        <f aca="false">IF(B144="","",'SENSIBILIDAD 2'!O121^2*(X144^2))</f>
        <v/>
      </c>
      <c r="AM144" s="688" t="str">
        <f aca="false">IF($B144="","",(Y144^2)*('SENSIBILIDAD 2'!K121^2))</f>
        <v/>
      </c>
      <c r="AN144" s="688" t="str">
        <f aca="false">IF($B144="","",(Z144^2)*('SENSIBILIDAD 2'!I121^2))</f>
        <v/>
      </c>
      <c r="AO144" s="688" t="str">
        <f aca="false">IF($B144="","",(AA144^2)*('SENSIBILIDAD 2'!J121^2))</f>
        <v/>
      </c>
      <c r="AP144" s="688" t="str">
        <f aca="false">IF($B144="","",(AB144^2)*('SENSIBILIDAD 2'!L121^2))</f>
        <v/>
      </c>
      <c r="AQ144" s="689" t="str">
        <f aca="false">IF(B144="","",SQRT(AC144+AD144+AE144+AF144+AG144+AH144+AI144+AJ144+AK144+AL144+AM144+AN144+AO144+AP144))</f>
        <v/>
      </c>
      <c r="AR144" s="701" t="str">
        <f aca="false">IF(B144="","",2*AQ144)</f>
        <v/>
      </c>
      <c r="AS144" s="706" t="str">
        <f aca="false">IF(B144="","",+AR144/1000)</f>
        <v/>
      </c>
      <c r="AT144" s="692" t="str">
        <f aca="false">IF('conversion datos'!$L$30='Patrones LACOMET'!$D$3,(IF(N144="","",AS144*39.37008)),IF('conversion datos'!$L$30='Patrones LACOMET'!$D$4,AS144,"No existe el patrón"))</f>
        <v/>
      </c>
    </row>
    <row r="153" customFormat="false" ht="12.75" hidden="false" customHeight="false" outlineLevel="0" collapsed="false"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  <c r="AA153" s="81"/>
      <c r="AB153" s="81"/>
      <c r="AC153" s="81"/>
      <c r="AD153" s="81"/>
      <c r="AE153" s="81"/>
      <c r="AF153" s="81"/>
      <c r="AG153" s="81"/>
      <c r="AH153" s="81"/>
      <c r="AI153" s="81"/>
      <c r="AJ153" s="81"/>
      <c r="AK153" s="81"/>
      <c r="AL153" s="81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  <c r="BA153" s="81"/>
      <c r="BB153" s="81"/>
      <c r="BC153" s="81"/>
      <c r="BD153" s="81"/>
    </row>
    <row r="154" customFormat="false" ht="12.75" hidden="false" customHeight="false" outlineLevel="0" collapsed="false"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  <c r="BA154" s="81"/>
      <c r="BB154" s="81"/>
      <c r="BC154" s="81"/>
      <c r="BD154" s="81"/>
    </row>
    <row r="155" customFormat="false" ht="12.75" hidden="false" customHeight="false" outlineLevel="0" collapsed="false"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  <c r="BA155" s="81"/>
      <c r="BB155" s="81"/>
      <c r="BC155" s="81"/>
      <c r="BD155" s="81"/>
    </row>
    <row r="156" customFormat="false" ht="12.75" hidden="false" customHeight="false" outlineLevel="0" collapsed="false"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  <c r="AC156" s="81"/>
      <c r="AD156" s="81"/>
      <c r="AE156" s="81"/>
      <c r="AF156" s="81"/>
      <c r="AG156" s="81"/>
      <c r="AH156" s="81"/>
      <c r="AI156" s="81"/>
      <c r="AJ156" s="81"/>
      <c r="AK156" s="81"/>
      <c r="AL156" s="81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  <c r="BA156" s="81"/>
      <c r="BB156" s="81"/>
      <c r="BC156" s="81"/>
      <c r="BD156" s="81"/>
    </row>
    <row r="157" customFormat="false" ht="12.75" hidden="false" customHeight="false" outlineLevel="0" collapsed="false"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81"/>
      <c r="AG157" s="81"/>
      <c r="AH157" s="81"/>
      <c r="AI157" s="81"/>
      <c r="AJ157" s="81"/>
      <c r="AK157" s="81"/>
      <c r="AL157" s="81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  <c r="BA157" s="81"/>
      <c r="BB157" s="81"/>
      <c r="BC157" s="81"/>
      <c r="BD157" s="81"/>
    </row>
    <row r="158" customFormat="false" ht="12.75" hidden="false" customHeight="false" outlineLevel="0" collapsed="false"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  <c r="AC158" s="81"/>
      <c r="AD158" s="81"/>
      <c r="AE158" s="81"/>
      <c r="AF158" s="81"/>
      <c r="AG158" s="81"/>
      <c r="AH158" s="81"/>
      <c r="AI158" s="81"/>
      <c r="AJ158" s="81"/>
      <c r="AK158" s="81"/>
      <c r="AL158" s="81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  <c r="BA158" s="81"/>
      <c r="BB158" s="81"/>
      <c r="BC158" s="81"/>
      <c r="BD158" s="81"/>
    </row>
    <row r="159" customFormat="false" ht="12.75" hidden="false" customHeight="false" outlineLevel="0" collapsed="false"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  <c r="AB159" s="81"/>
      <c r="AC159" s="81"/>
      <c r="AD159" s="81"/>
      <c r="AE159" s="81"/>
      <c r="AF159" s="81"/>
      <c r="AG159" s="81"/>
      <c r="AH159" s="81"/>
      <c r="AI159" s="81"/>
      <c r="AJ159" s="81"/>
      <c r="AK159" s="81"/>
      <c r="AL159" s="81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  <c r="BA159" s="81"/>
      <c r="BB159" s="81"/>
      <c r="BC159" s="81"/>
      <c r="BD159" s="81"/>
    </row>
    <row r="160" customFormat="false" ht="12.75" hidden="false" customHeight="false" outlineLevel="0" collapsed="false"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81"/>
      <c r="AG160" s="81"/>
      <c r="AH160" s="81"/>
      <c r="AI160" s="81"/>
      <c r="AJ160" s="81"/>
      <c r="AK160" s="81"/>
      <c r="AL160" s="81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  <c r="BA160" s="81"/>
      <c r="BB160" s="81"/>
      <c r="BC160" s="81"/>
      <c r="BD160" s="81"/>
    </row>
    <row r="161" customFormat="false" ht="12.75" hidden="false" customHeight="false" outlineLevel="0" collapsed="false"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  <c r="AA161" s="81"/>
      <c r="AB161" s="81"/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  <c r="BA161" s="81"/>
      <c r="BB161" s="81"/>
      <c r="BC161" s="81"/>
      <c r="BD161" s="81"/>
    </row>
    <row r="162" customFormat="false" ht="12.75" hidden="false" customHeight="false" outlineLevel="0" collapsed="false"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  <c r="AC162" s="81"/>
      <c r="AD162" s="81"/>
      <c r="AE162" s="81"/>
      <c r="AF162" s="81"/>
      <c r="AG162" s="81"/>
      <c r="AH162" s="81"/>
      <c r="AI162" s="81"/>
      <c r="AJ162" s="81"/>
      <c r="AK162" s="81"/>
      <c r="AL162" s="81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  <c r="BA162" s="81"/>
      <c r="BB162" s="81"/>
      <c r="BC162" s="81"/>
      <c r="BD162" s="81"/>
    </row>
    <row r="163" customFormat="false" ht="12.75" hidden="false" customHeight="false" outlineLevel="0" collapsed="false"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  <c r="BA163" s="81"/>
      <c r="BB163" s="81"/>
      <c r="BC163" s="81"/>
      <c r="BD163" s="81"/>
    </row>
    <row r="164" customFormat="false" ht="12.75" hidden="false" customHeight="false" outlineLevel="0" collapsed="false"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  <c r="AD164" s="81"/>
      <c r="AE164" s="81"/>
      <c r="AF164" s="81"/>
      <c r="AG164" s="81"/>
      <c r="AH164" s="81"/>
      <c r="AI164" s="81"/>
      <c r="AJ164" s="81"/>
      <c r="AK164" s="81"/>
      <c r="AL164" s="81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  <c r="BA164" s="81"/>
      <c r="BB164" s="81"/>
      <c r="BC164" s="81"/>
      <c r="BD164" s="81"/>
    </row>
    <row r="165" customFormat="false" ht="12.75" hidden="false" customHeight="false" outlineLevel="0" collapsed="false"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1"/>
      <c r="AJ165" s="81"/>
      <c r="AK165" s="81"/>
      <c r="AL165" s="81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  <c r="BA165" s="81"/>
      <c r="BB165" s="81"/>
      <c r="BC165" s="81"/>
      <c r="BD165" s="81"/>
    </row>
    <row r="166" customFormat="false" ht="12.75" hidden="false" customHeight="false" outlineLevel="0" collapsed="false"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  <c r="AI166" s="81"/>
      <c r="AJ166" s="81"/>
      <c r="AK166" s="81"/>
      <c r="AL166" s="81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  <c r="BA166" s="81"/>
      <c r="BB166" s="81"/>
      <c r="BC166" s="81"/>
      <c r="BD166" s="81"/>
    </row>
    <row r="167" customFormat="false" ht="12.75" hidden="false" customHeight="false" outlineLevel="0" collapsed="false"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  <c r="AF167" s="81"/>
      <c r="AG167" s="81"/>
      <c r="AH167" s="81"/>
      <c r="AI167" s="81"/>
      <c r="AJ167" s="81"/>
      <c r="AK167" s="81"/>
      <c r="AL167" s="81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  <c r="BA167" s="81"/>
      <c r="BB167" s="81"/>
      <c r="BC167" s="81"/>
      <c r="BD167" s="81"/>
    </row>
    <row r="168" customFormat="false" ht="12.75" hidden="false" customHeight="false" outlineLevel="0" collapsed="false"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  <c r="AD168" s="81"/>
      <c r="AE168" s="81"/>
      <c r="AF168" s="81"/>
      <c r="AG168" s="81"/>
      <c r="AH168" s="81"/>
      <c r="AI168" s="81"/>
      <c r="AJ168" s="81"/>
      <c r="AK168" s="81"/>
      <c r="AL168" s="81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  <c r="BA168" s="81"/>
      <c r="BB168" s="81"/>
      <c r="BC168" s="81"/>
      <c r="BD168" s="81"/>
    </row>
    <row r="169" customFormat="false" ht="12.75" hidden="false" customHeight="false" outlineLevel="0" collapsed="false"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  <c r="AD169" s="81"/>
      <c r="AE169" s="81"/>
      <c r="AF169" s="81"/>
      <c r="AG169" s="81"/>
      <c r="AH169" s="81"/>
      <c r="AI169" s="81"/>
      <c r="AJ169" s="81"/>
      <c r="AK169" s="81"/>
      <c r="AL169" s="81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  <c r="BA169" s="81"/>
      <c r="BB169" s="81"/>
      <c r="BC169" s="81"/>
      <c r="BD169" s="81"/>
    </row>
    <row r="170" customFormat="false" ht="12.75" hidden="false" customHeight="false" outlineLevel="0" collapsed="false"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  <c r="AD170" s="81"/>
      <c r="AE170" s="81"/>
      <c r="AF170" s="81"/>
      <c r="AG170" s="81"/>
      <c r="AH170" s="81"/>
      <c r="AI170" s="81"/>
      <c r="AJ170" s="81"/>
      <c r="AK170" s="81"/>
      <c r="AL170" s="81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  <c r="BA170" s="81"/>
      <c r="BB170" s="81"/>
      <c r="BC170" s="81"/>
      <c r="BD170" s="81"/>
    </row>
    <row r="171" customFormat="false" ht="12.75" hidden="false" customHeight="false" outlineLevel="0" collapsed="false"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  <c r="BA171" s="81"/>
      <c r="BB171" s="81"/>
      <c r="BC171" s="81"/>
      <c r="BD171" s="81"/>
    </row>
  </sheetData>
  <mergeCells count="68">
    <mergeCell ref="C1:D1"/>
    <mergeCell ref="B3:E3"/>
    <mergeCell ref="C4:E4"/>
    <mergeCell ref="N4:R4"/>
    <mergeCell ref="C5:E5"/>
    <mergeCell ref="N5:R5"/>
    <mergeCell ref="C6:E6"/>
    <mergeCell ref="C7:E7"/>
    <mergeCell ref="C8:E8"/>
    <mergeCell ref="B9:F9"/>
    <mergeCell ref="BB10:BC10"/>
    <mergeCell ref="BD10:BE10"/>
    <mergeCell ref="B11:E11"/>
    <mergeCell ref="N11:R11"/>
    <mergeCell ref="N12:R12"/>
    <mergeCell ref="BB15:BC15"/>
    <mergeCell ref="BD15:BE15"/>
    <mergeCell ref="B19:E19"/>
    <mergeCell ref="C20:E20"/>
    <mergeCell ref="C21:E21"/>
    <mergeCell ref="C22:E22"/>
    <mergeCell ref="C23:E23"/>
    <mergeCell ref="B25:B27"/>
    <mergeCell ref="C25:G25"/>
    <mergeCell ref="H25:K25"/>
    <mergeCell ref="L25:Q25"/>
    <mergeCell ref="R25:U25"/>
    <mergeCell ref="V25:AB25"/>
    <mergeCell ref="AC25:AP25"/>
    <mergeCell ref="AQ25:AT25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L26:L27"/>
    <mergeCell ref="M26:M27"/>
    <mergeCell ref="N26:N27"/>
    <mergeCell ref="O26:O27"/>
    <mergeCell ref="P26:P27"/>
    <mergeCell ref="Q26:Q27"/>
    <mergeCell ref="R26:R27"/>
    <mergeCell ref="S26:S27"/>
    <mergeCell ref="T26:T27"/>
    <mergeCell ref="U26:U27"/>
    <mergeCell ref="V26:V27"/>
    <mergeCell ref="W26:W27"/>
    <mergeCell ref="X26:X27"/>
    <mergeCell ref="Y26:Y27"/>
    <mergeCell ref="Z26:Z27"/>
    <mergeCell ref="AA26:AA27"/>
    <mergeCell ref="AB26:AB27"/>
    <mergeCell ref="AC26:AC27"/>
    <mergeCell ref="AD26:AD27"/>
    <mergeCell ref="AE26:AE27"/>
    <mergeCell ref="AF26:AF27"/>
    <mergeCell ref="AG26:AG27"/>
    <mergeCell ref="AH26:AH27"/>
    <mergeCell ref="AI26:AI27"/>
    <mergeCell ref="AJ26:AP26"/>
    <mergeCell ref="AQ26:AQ27"/>
    <mergeCell ref="AR26:AR27"/>
    <mergeCell ref="AS26:AS27"/>
    <mergeCell ref="AT26:AT27"/>
  </mergeCells>
  <printOptions headings="false" gridLines="false" gridLinesSet="true" horizontalCentered="false" verticalCentered="false"/>
  <pageMargins left="0.39375" right="0.196527777777778" top="0.7875" bottom="1" header="0.511805555555556" footer="0.511805555555556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10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D19" activeCellId="0" sqref="D19"/>
    </sheetView>
  </sheetViews>
  <sheetFormatPr defaultColWidth="20.66796875" defaultRowHeight="15" zeroHeight="false" outlineLevelRow="0" outlineLevelCol="0"/>
  <cols>
    <col collapsed="false" customWidth="false" hidden="false" outlineLevel="0" max="1" min="1" style="707" width="20.67"/>
    <col collapsed="false" customWidth="true" hidden="false" outlineLevel="0" max="2" min="2" style="707" width="21.5"/>
    <col collapsed="false" customWidth="false" hidden="false" outlineLevel="0" max="7" min="3" style="707" width="20.67"/>
    <col collapsed="false" customWidth="true" hidden="false" outlineLevel="0" max="8" min="8" style="707" width="19.5"/>
    <col collapsed="false" customWidth="true" hidden="false" outlineLevel="0" max="11" min="9" style="707" width="15.67"/>
    <col collapsed="false" customWidth="false" hidden="false" outlineLevel="0" max="16384" min="12" style="707" width="20.67"/>
  </cols>
  <sheetData>
    <row r="1" customFormat="false" ht="15" hidden="false" customHeight="true" outlineLevel="0" collapsed="false">
      <c r="A1" s="707" t="s">
        <v>729</v>
      </c>
      <c r="B1" s="708" t="s">
        <v>730</v>
      </c>
      <c r="C1" s="709"/>
      <c r="D1" s="709"/>
    </row>
    <row r="2" customFormat="false" ht="46.5" hidden="false" customHeight="false" outlineLevel="0" collapsed="false">
      <c r="B2" s="710"/>
      <c r="D2" s="709"/>
      <c r="H2" s="711" t="s">
        <v>731</v>
      </c>
      <c r="I2" s="711" t="s">
        <v>732</v>
      </c>
      <c r="J2" s="711" t="s">
        <v>733</v>
      </c>
      <c r="K2" s="712" t="s">
        <v>734</v>
      </c>
    </row>
    <row r="3" customFormat="false" ht="12.75" hidden="false" customHeight="true" outlineLevel="0" collapsed="false">
      <c r="A3" s="713" t="s">
        <v>735</v>
      </c>
      <c r="B3" s="709"/>
      <c r="C3" s="709"/>
      <c r="D3" s="709"/>
      <c r="H3" s="714" t="s">
        <v>736</v>
      </c>
      <c r="I3" s="715" t="n">
        <v>10.9</v>
      </c>
      <c r="J3" s="715" t="n">
        <v>20.6</v>
      </c>
      <c r="K3" s="716" t="n">
        <v>0.3</v>
      </c>
    </row>
    <row r="4" customFormat="false" ht="12.75" hidden="false" customHeight="true" outlineLevel="0" collapsed="false">
      <c r="A4" s="709"/>
      <c r="B4" s="709"/>
      <c r="D4" s="709"/>
      <c r="E4" s="717" t="s">
        <v>737</v>
      </c>
      <c r="H4" s="718" t="s">
        <v>738</v>
      </c>
      <c r="I4" s="719" t="n">
        <v>11.5</v>
      </c>
      <c r="J4" s="720" t="n">
        <v>21</v>
      </c>
      <c r="K4" s="721" t="n">
        <v>0.3</v>
      </c>
    </row>
    <row r="5" customFormat="false" ht="12.75" hidden="false" customHeight="true" outlineLevel="0" collapsed="false">
      <c r="A5" s="709"/>
      <c r="B5" s="709"/>
      <c r="D5" s="709"/>
      <c r="E5" s="722" t="s">
        <v>739</v>
      </c>
      <c r="H5" s="723" t="s">
        <v>740</v>
      </c>
      <c r="I5" s="724" t="n">
        <v>9.3</v>
      </c>
      <c r="J5" s="724" t="n">
        <v>20.6</v>
      </c>
      <c r="K5" s="725" t="n">
        <v>0.3</v>
      </c>
    </row>
    <row r="6" customFormat="false" ht="12.75" hidden="false" customHeight="true" outlineLevel="0" collapsed="false">
      <c r="E6" s="722" t="s">
        <v>741</v>
      </c>
      <c r="H6" s="718" t="s">
        <v>742</v>
      </c>
      <c r="I6" s="719" t="n">
        <v>9.7</v>
      </c>
      <c r="J6" s="720" t="n">
        <v>21</v>
      </c>
      <c r="K6" s="721" t="n">
        <v>0.3</v>
      </c>
    </row>
    <row r="7" customFormat="false" ht="12.75" hidden="false" customHeight="true" outlineLevel="0" collapsed="false">
      <c r="E7" s="726" t="s">
        <v>743</v>
      </c>
      <c r="F7" s="727"/>
      <c r="H7" s="723" t="s">
        <v>744</v>
      </c>
      <c r="I7" s="724" t="n">
        <v>4.23</v>
      </c>
      <c r="J7" s="728" t="n">
        <v>62</v>
      </c>
      <c r="K7" s="725" t="n">
        <v>0.2</v>
      </c>
    </row>
    <row r="8" customFormat="false" ht="12.75" hidden="false" customHeight="true" outlineLevel="0" collapsed="false">
      <c r="E8" s="717" t="s">
        <v>745</v>
      </c>
      <c r="H8" s="723" t="s">
        <v>746</v>
      </c>
      <c r="I8" s="724" t="n">
        <v>5.5</v>
      </c>
      <c r="J8" s="724" t="n">
        <v>61.8</v>
      </c>
      <c r="K8" s="725" t="n">
        <v>0.2</v>
      </c>
    </row>
    <row r="9" customFormat="false" ht="12.75" hidden="false" customHeight="true" outlineLevel="0" collapsed="false">
      <c r="B9" s="710"/>
      <c r="C9" s="709"/>
      <c r="D9" s="709"/>
      <c r="H9" s="723" t="s">
        <v>747</v>
      </c>
      <c r="I9" s="724" t="n">
        <v>8.5</v>
      </c>
      <c r="J9" s="728" t="n">
        <v>34</v>
      </c>
      <c r="K9" s="725" t="n">
        <v>0.28</v>
      </c>
    </row>
    <row r="10" customFormat="false" ht="12.75" hidden="false" customHeight="true" outlineLevel="0" collapsed="false">
      <c r="A10" s="713" t="s">
        <v>748</v>
      </c>
      <c r="B10" s="710"/>
      <c r="C10" s="709"/>
      <c r="D10" s="709"/>
      <c r="H10" s="723" t="s">
        <v>502</v>
      </c>
      <c r="I10" s="724" t="s">
        <v>749</v>
      </c>
      <c r="J10" s="724" t="n">
        <v>33.9</v>
      </c>
      <c r="K10" s="725" t="n">
        <v>0.28</v>
      </c>
    </row>
    <row r="11" customFormat="false" ht="12.75" hidden="false" customHeight="true" outlineLevel="0" collapsed="false">
      <c r="A11" s="707" t="s">
        <v>750</v>
      </c>
      <c r="B11" s="729" t="n">
        <v>1</v>
      </c>
      <c r="C11" s="707" t="s">
        <v>751</v>
      </c>
      <c r="H11" s="723"/>
      <c r="I11" s="724" t="s">
        <v>752</v>
      </c>
      <c r="J11" s="724"/>
      <c r="K11" s="730"/>
    </row>
    <row r="12" customFormat="false" ht="12.75" hidden="false" customHeight="true" outlineLevel="0" collapsed="false">
      <c r="A12" s="707" t="s">
        <v>753</v>
      </c>
      <c r="B12" s="729" t="n">
        <v>0.63</v>
      </c>
      <c r="C12" s="707" t="s">
        <v>751</v>
      </c>
      <c r="H12" s="731"/>
      <c r="I12" s="724"/>
      <c r="J12" s="724"/>
      <c r="K12" s="730"/>
    </row>
    <row r="13" customFormat="false" ht="12.75" hidden="false" customHeight="true" outlineLevel="0" collapsed="false">
      <c r="A13" s="707" t="s">
        <v>754</v>
      </c>
      <c r="B13" s="729" t="n">
        <v>40</v>
      </c>
      <c r="C13" s="707" t="s">
        <v>1</v>
      </c>
      <c r="F13" s="732"/>
      <c r="H13" s="731"/>
      <c r="I13" s="724"/>
      <c r="J13" s="724"/>
      <c r="K13" s="730"/>
    </row>
    <row r="14" s="709" customFormat="true" ht="12.75" hidden="false" customHeight="true" outlineLevel="0" collapsed="false">
      <c r="A14" s="733" t="s">
        <v>755</v>
      </c>
      <c r="B14" s="729" t="n">
        <v>0.24</v>
      </c>
      <c r="H14" s="734"/>
      <c r="I14" s="735"/>
      <c r="J14" s="735"/>
      <c r="K14" s="736"/>
    </row>
    <row r="15" s="709" customFormat="true" ht="15" hidden="false" customHeight="true" outlineLevel="0" collapsed="false">
      <c r="A15" s="709" t="s">
        <v>756</v>
      </c>
      <c r="B15" s="737" t="n">
        <v>624000</v>
      </c>
      <c r="C15" s="709" t="s">
        <v>757</v>
      </c>
    </row>
    <row r="16" s="709" customFormat="true" ht="15" hidden="false" customHeight="true" outlineLevel="0" collapsed="false"/>
    <row r="17" s="709" customFormat="true" ht="15" hidden="false" customHeight="true" outlineLevel="0" collapsed="false">
      <c r="A17" s="713" t="s">
        <v>758</v>
      </c>
      <c r="B17" s="738" t="s">
        <v>759</v>
      </c>
    </row>
    <row r="18" s="709" customFormat="true" ht="15" hidden="false" customHeight="true" outlineLevel="0" collapsed="false">
      <c r="B18" s="739" t="str">
        <f aca="false">IF('conversion datos'!$L$31=INCERTIDUMBRE!$N$7,'DEFORMACION 1'!C18,IF('conversion datos'!$L$31=INCERTIDUMBRE!$N$8,'DEFORMACION 1'!D18,IF('conversion datos'!$L$31=INCERTIDUMBRE!$N$9,'DEFORMACION 1'!F18,IF('conversion datos'!$L$31=INCERTIDUMBRE!$N$10,'DEFORMACION 1'!E18,"No Existe el patrón"))))</f>
        <v>Acero</v>
      </c>
      <c r="C18" s="627" t="s">
        <v>497</v>
      </c>
      <c r="D18" s="635" t="s">
        <v>659</v>
      </c>
      <c r="E18" s="635" t="s">
        <v>663</v>
      </c>
      <c r="F18" s="635" t="s">
        <v>460</v>
      </c>
      <c r="H18" s="740" t="s">
        <v>760</v>
      </c>
      <c r="I18" s="741"/>
      <c r="J18" s="741"/>
      <c r="K18" s="742" t="s">
        <v>761</v>
      </c>
      <c r="L18" s="741"/>
      <c r="M18" s="741"/>
      <c r="N18" s="743"/>
      <c r="O18" s="743"/>
      <c r="P18" s="743"/>
      <c r="Q18" s="744"/>
      <c r="R18" s="707"/>
    </row>
    <row r="19" s="709" customFormat="true" ht="15" hidden="false" customHeight="true" outlineLevel="0" collapsed="false">
      <c r="A19" s="745" t="s">
        <v>762</v>
      </c>
      <c r="B19" s="746" t="n">
        <f aca="false">HLOOKUP($B$18,$C$18:$F$21,2,FALSE())</f>
        <v>0.27</v>
      </c>
      <c r="C19" s="747" t="n">
        <v>0.27</v>
      </c>
      <c r="D19" s="748" t="n">
        <v>0.24</v>
      </c>
      <c r="E19" s="749" t="n">
        <v>0.28</v>
      </c>
      <c r="F19" s="748" t="n">
        <v>0.305</v>
      </c>
      <c r="H19" s="750" t="s">
        <v>763</v>
      </c>
      <c r="I19" s="568"/>
      <c r="J19" s="568"/>
      <c r="K19" s="568" t="s">
        <v>764</v>
      </c>
      <c r="L19" s="76"/>
      <c r="M19" s="76"/>
      <c r="N19" s="707"/>
      <c r="O19" s="707"/>
      <c r="P19" s="707"/>
      <c r="Q19" s="751"/>
      <c r="R19" s="707"/>
    </row>
    <row r="20" customFormat="false" ht="15" hidden="false" customHeight="true" outlineLevel="0" collapsed="false">
      <c r="A20" s="746" t="s">
        <v>765</v>
      </c>
      <c r="B20" s="746" t="n">
        <f aca="false">HLOOKUP($B$18,$C$18:$F$21,3,FALSE())</f>
        <v>195000</v>
      </c>
      <c r="C20" s="752" t="n">
        <v>195000</v>
      </c>
      <c r="D20" s="753" t="n">
        <v>624000</v>
      </c>
      <c r="E20" s="754" t="n">
        <v>280000</v>
      </c>
      <c r="F20" s="753" t="n">
        <v>195000</v>
      </c>
      <c r="G20" s="709"/>
      <c r="H20" s="750"/>
      <c r="I20" s="568"/>
      <c r="J20" s="568"/>
      <c r="K20" s="568" t="s">
        <v>741</v>
      </c>
      <c r="L20" s="76"/>
      <c r="M20" s="76"/>
      <c r="Q20" s="751"/>
    </row>
    <row r="21" customFormat="false" ht="15" hidden="false" customHeight="true" outlineLevel="0" collapsed="false">
      <c r="A21" s="755" t="s">
        <v>766</v>
      </c>
      <c r="B21" s="755" t="n">
        <f aca="false">HLOOKUP($B$18,$C$18:$F$21,4,FALSE())</f>
        <v>6.26461538461539E-006</v>
      </c>
      <c r="C21" s="756" t="n">
        <f aca="false">(1-$B14^2)/$B15+(1-C19^2)/C20</f>
        <v>6.26461538461539E-006</v>
      </c>
      <c r="D21" s="757" t="n">
        <f aca="false">(1-$B14^2)/$B15+(1-D19^2)/D20</f>
        <v>3.02051282051282E-006</v>
      </c>
      <c r="E21" s="758" t="n">
        <f aca="false">(1-$B14^2)/$B15+(1-E19^2)/E20</f>
        <v>4.80168498168498E-006</v>
      </c>
      <c r="F21" s="757" t="n">
        <f aca="false">(1-$B14^2)/$B15+(1-F19^2)/F20</f>
        <v>6.16141025641026E-006</v>
      </c>
      <c r="G21" s="709"/>
      <c r="H21" s="750"/>
      <c r="I21" s="568"/>
      <c r="J21" s="568"/>
      <c r="K21" s="568" t="s">
        <v>743</v>
      </c>
      <c r="L21" s="76"/>
      <c r="M21" s="76"/>
      <c r="Q21" s="751"/>
    </row>
    <row r="22" customFormat="false" ht="15" hidden="false" customHeight="true" outlineLevel="0" collapsed="false">
      <c r="A22" s="709"/>
      <c r="B22" s="729"/>
      <c r="C22" s="729"/>
      <c r="D22" s="729"/>
      <c r="E22" s="729"/>
      <c r="F22" s="729"/>
      <c r="G22" s="709"/>
      <c r="H22" s="750"/>
      <c r="I22" s="568"/>
      <c r="J22" s="568"/>
      <c r="K22" s="759" t="s">
        <v>767</v>
      </c>
      <c r="L22" s="76"/>
      <c r="M22" s="76"/>
      <c r="Q22" s="751"/>
    </row>
    <row r="23" customFormat="false" ht="15" hidden="false" customHeight="true" outlineLevel="0" collapsed="false">
      <c r="A23" s="713" t="s">
        <v>768</v>
      </c>
      <c r="B23" s="729"/>
      <c r="D23" s="760"/>
      <c r="E23" s="760"/>
      <c r="F23" s="760"/>
      <c r="H23" s="582" t="s">
        <v>769</v>
      </c>
      <c r="I23" s="76"/>
      <c r="J23" s="76"/>
      <c r="K23" s="76"/>
      <c r="L23" s="76"/>
      <c r="M23" s="76"/>
      <c r="Q23" s="751"/>
    </row>
    <row r="24" customFormat="false" ht="15" hidden="false" customHeight="true" outlineLevel="0" collapsed="false">
      <c r="B24" s="729" t="str">
        <f aca="false">B17</f>
        <v>Patrón a Utilizar</v>
      </c>
      <c r="C24" s="729" t="str">
        <f aca="false">C18</f>
        <v>Acero</v>
      </c>
      <c r="D24" s="729" t="str">
        <f aca="false">D18</f>
        <v>Carburo de tungsteno</v>
      </c>
      <c r="E24" s="729" t="str">
        <f aca="false">E18</f>
        <v>Carburo de cromo</v>
      </c>
      <c r="F24" s="729" t="str">
        <f aca="false">F18</f>
        <v>Cerámica</v>
      </c>
      <c r="H24" s="582"/>
      <c r="I24" s="76"/>
      <c r="J24" s="76"/>
      <c r="K24" s="76"/>
      <c r="L24" s="76"/>
      <c r="M24" s="76"/>
      <c r="N24" s="76"/>
      <c r="O24" s="76"/>
      <c r="P24" s="564"/>
      <c r="Q24" s="761"/>
    </row>
    <row r="25" customFormat="false" ht="15" hidden="false" customHeight="true" outlineLevel="0" collapsed="false">
      <c r="A25" s="762" t="s">
        <v>770</v>
      </c>
      <c r="B25" s="763" t="n">
        <f aca="false">HLOOKUP($B$18,$C$24:$F$29,2,FALSE())</f>
        <v>0.10334602702004</v>
      </c>
      <c r="C25" s="763" t="n">
        <f aca="false">1000*((9/8)*($B11^2/$B$13)*C21^2)^(1/3)</f>
        <v>0.10334602702004</v>
      </c>
      <c r="D25" s="763" t="n">
        <f aca="false">1000*((9/8)*($B11^2/$B$13)*D21^2)^(1/3)</f>
        <v>0.0635454753327878</v>
      </c>
      <c r="E25" s="763" t="n">
        <f aca="false">1000*((9/8)*($B11^2/$B$13)*E21^2)^(1/3)</f>
        <v>0.0865552244013894</v>
      </c>
      <c r="F25" s="763" t="n">
        <f aca="false">1000*((9/8)*($B11^2/$B$13)*F21^2)^(1/3)</f>
        <v>0.102207852134885</v>
      </c>
      <c r="G25" s="717" t="s">
        <v>771</v>
      </c>
      <c r="H25" s="764"/>
      <c r="I25" s="765"/>
      <c r="J25" s="766" t="s">
        <v>772</v>
      </c>
      <c r="K25" s="766"/>
      <c r="L25" s="766" t="s">
        <v>730</v>
      </c>
      <c r="M25" s="766"/>
      <c r="N25" s="766"/>
      <c r="O25" s="767" t="s">
        <v>773</v>
      </c>
      <c r="P25" s="767"/>
      <c r="Q25" s="767"/>
    </row>
    <row r="26" customFormat="false" ht="15" hidden="false" customHeight="true" outlineLevel="0" collapsed="false">
      <c r="A26" s="762" t="s">
        <v>774</v>
      </c>
      <c r="B26" s="763" t="n">
        <f aca="false">HLOOKUP($B$18,$C$24:$F$29,3,FALSE())</f>
        <v>0.0759487828823848</v>
      </c>
      <c r="C26" s="763" t="n">
        <f aca="false">1000*((9/8)*($B12^2/$B$13)*C21^2)^(1/3)</f>
        <v>0.0759487828823848</v>
      </c>
      <c r="D26" s="763" t="n">
        <f aca="false">1000*((9/8)*($B12^2/$B$13)*D21^2)^(1/3)</f>
        <v>0.0466994392370011</v>
      </c>
      <c r="E26" s="763" t="n">
        <f aca="false">1000*((9/8)*($B12^2/$B$13)*E21^2)^(1/3)</f>
        <v>0.0636092565428034</v>
      </c>
      <c r="F26" s="763" t="n">
        <f aca="false">1000*((9/8)*($B12^2/$B$13)*F21^2)^(1/3)</f>
        <v>0.0751123404982176</v>
      </c>
      <c r="G26" s="717" t="s">
        <v>771</v>
      </c>
      <c r="H26" s="768"/>
      <c r="I26" s="769" t="s">
        <v>775</v>
      </c>
      <c r="J26" s="770" t="s">
        <v>776</v>
      </c>
      <c r="K26" s="771" t="s">
        <v>777</v>
      </c>
      <c r="L26" s="772" t="s">
        <v>778</v>
      </c>
      <c r="M26" s="773" t="s">
        <v>779</v>
      </c>
      <c r="N26" s="774" t="s">
        <v>780</v>
      </c>
      <c r="O26" s="772" t="s">
        <v>781</v>
      </c>
      <c r="P26" s="773" t="s">
        <v>782</v>
      </c>
      <c r="Q26" s="774" t="s">
        <v>783</v>
      </c>
    </row>
    <row r="27" customFormat="false" ht="25.5" hidden="false" customHeight="false" outlineLevel="0" collapsed="false">
      <c r="A27" s="762" t="s">
        <v>784</v>
      </c>
      <c r="B27" s="763" t="n">
        <f aca="false">HLOOKUP($B$18,$C$24:$F$29,4,FALSE())</f>
        <v>0.179294809902425</v>
      </c>
      <c r="C27" s="763" t="n">
        <f aca="false">C25+C26</f>
        <v>0.179294809902425</v>
      </c>
      <c r="D27" s="763" t="n">
        <f aca="false">D25+D26</f>
        <v>0.110244914569789</v>
      </c>
      <c r="E27" s="763" t="n">
        <f aca="false">E25+E26</f>
        <v>0.150164480944193</v>
      </c>
      <c r="F27" s="763" t="n">
        <f aca="false">F25+F26</f>
        <v>0.177320192633102</v>
      </c>
      <c r="G27" s="717" t="s">
        <v>771</v>
      </c>
      <c r="H27" s="775" t="s">
        <v>785</v>
      </c>
      <c r="I27" s="776" t="n">
        <v>1</v>
      </c>
      <c r="J27" s="777"/>
      <c r="K27" s="778"/>
      <c r="L27" s="777"/>
      <c r="M27" s="609"/>
      <c r="N27" s="778"/>
      <c r="O27" s="777"/>
      <c r="P27" s="609"/>
      <c r="Q27" s="778"/>
    </row>
    <row r="28" customFormat="false" ht="25.5" hidden="false" customHeight="false" outlineLevel="0" collapsed="false">
      <c r="A28" s="762" t="s">
        <v>786</v>
      </c>
      <c r="B28" s="763" t="n">
        <f aca="false">HLOOKUP($B$18,$C$24:$F$29,5,FALSE())</f>
        <v>0.179294809902425</v>
      </c>
      <c r="C28" s="763" t="n">
        <f aca="false">B25+B26</f>
        <v>0.179294809902425</v>
      </c>
      <c r="D28" s="763" t="n">
        <f aca="false">C28</f>
        <v>0.179294809902425</v>
      </c>
      <c r="E28" s="763" t="n">
        <f aca="false">D28</f>
        <v>0.179294809902425</v>
      </c>
      <c r="F28" s="763" t="n">
        <f aca="false">E28</f>
        <v>0.179294809902425</v>
      </c>
      <c r="G28" s="717"/>
      <c r="H28" s="775" t="s">
        <v>787</v>
      </c>
      <c r="I28" s="776" t="n">
        <v>0.63</v>
      </c>
      <c r="J28" s="777"/>
      <c r="K28" s="778"/>
      <c r="L28" s="777"/>
      <c r="N28" s="778"/>
      <c r="O28" s="777"/>
      <c r="P28" s="609"/>
      <c r="Q28" s="778"/>
    </row>
    <row r="29" customFormat="false" ht="12.75" hidden="false" customHeight="false" outlineLevel="0" collapsed="false">
      <c r="A29" s="762" t="s">
        <v>788</v>
      </c>
      <c r="B29" s="763" t="n">
        <f aca="false">HLOOKUP($B$18,$C$24:$F$29,6,FALSE())</f>
        <v>0</v>
      </c>
      <c r="C29" s="763" t="n">
        <f aca="false">C27-C28</f>
        <v>0</v>
      </c>
      <c r="D29" s="763" t="n">
        <f aca="false">D27-D28</f>
        <v>-0.0690498953326358</v>
      </c>
      <c r="E29" s="763" t="n">
        <f aca="false">E27-E28</f>
        <v>-0.0291303289582318</v>
      </c>
      <c r="F29" s="763" t="n">
        <f aca="false">F27-F28</f>
        <v>-0.0019746172693228</v>
      </c>
      <c r="G29" s="717"/>
      <c r="H29" s="779" t="s">
        <v>789</v>
      </c>
      <c r="I29" s="780" t="n">
        <v>0.24</v>
      </c>
      <c r="J29" s="781" t="n">
        <v>0.24</v>
      </c>
      <c r="K29" s="782" t="n">
        <v>0.28</v>
      </c>
      <c r="L29" s="781" t="n">
        <v>0.24</v>
      </c>
      <c r="M29" s="783" t="n">
        <v>0.3</v>
      </c>
      <c r="N29" s="782" t="n">
        <f aca="false">AVERAGE(L29:M29)</f>
        <v>0.27</v>
      </c>
      <c r="O29" s="781" t="n">
        <v>0.3</v>
      </c>
      <c r="P29" s="783" t="n">
        <v>0.31</v>
      </c>
      <c r="Q29" s="784" t="n">
        <f aca="false">AVERAGE(O29:P29)</f>
        <v>0.305</v>
      </c>
    </row>
    <row r="30" customFormat="false" ht="12.75" hidden="false" customHeight="false" outlineLevel="0" collapsed="false">
      <c r="A30" s="762"/>
      <c r="C30" s="763"/>
      <c r="D30" s="763"/>
      <c r="E30" s="763"/>
      <c r="F30" s="763"/>
      <c r="G30" s="717"/>
      <c r="H30" s="779" t="s">
        <v>790</v>
      </c>
      <c r="I30" s="780" t="n">
        <v>624000</v>
      </c>
      <c r="J30" s="785" t="n">
        <v>624000</v>
      </c>
      <c r="K30" s="786" t="n">
        <v>280000</v>
      </c>
      <c r="L30" s="629" t="n">
        <v>210000</v>
      </c>
      <c r="M30" s="629" t="n">
        <v>180000</v>
      </c>
      <c r="N30" s="786" t="n">
        <f aca="false">AVERAGE(L30:M30)</f>
        <v>195000</v>
      </c>
      <c r="O30" s="785" t="n">
        <v>180000</v>
      </c>
      <c r="P30" s="629" t="n">
        <v>210000</v>
      </c>
      <c r="Q30" s="786" t="n">
        <f aca="false">AVERAGE(O30:P30)</f>
        <v>195000</v>
      </c>
    </row>
    <row r="31" customFormat="false" ht="12.75" hidden="false" customHeight="false" outlineLevel="0" collapsed="false">
      <c r="A31" s="787" t="s">
        <v>791</v>
      </c>
      <c r="B31" s="788" t="n">
        <f aca="false">'Datos de condiciones'!K7</f>
        <v>10</v>
      </c>
      <c r="C31" s="789" t="s">
        <v>48</v>
      </c>
      <c r="H31" s="790" t="s">
        <v>792</v>
      </c>
      <c r="I31" s="791" t="n">
        <v>40</v>
      </c>
      <c r="J31" s="777"/>
      <c r="K31" s="778"/>
      <c r="L31" s="777"/>
      <c r="M31" s="609"/>
      <c r="N31" s="778"/>
      <c r="O31" s="777"/>
      <c r="P31" s="609"/>
      <c r="Q31" s="778"/>
    </row>
    <row r="32" customFormat="false" ht="25.5" hidden="false" customHeight="false" outlineLevel="0" collapsed="false">
      <c r="B32" s="792"/>
      <c r="H32" s="793" t="s">
        <v>793</v>
      </c>
      <c r="I32" s="794"/>
      <c r="J32" s="795" t="n">
        <f aca="false">((1/2)*(3*PI()*$I$27)^(2/3)*((1-$I$29^2)/(PI()*$I$30)+(1-J29^2)/(PI()*J30))^(2/3)*(1/$I$31)^(1/3))*1000</f>
        <v>0.0635454753327877</v>
      </c>
      <c r="K32" s="796" t="n">
        <f aca="false">((1/2)*(3*PI()*$I$27)^(2/3)*((1-$I$29^2)/(PI()*$I$30)+(1-K29^2)/(PI()*K30))^(2/3)*(1/$I$31)^(1/3))*1000</f>
        <v>0.0865552244013894</v>
      </c>
      <c r="L32" s="795" t="n">
        <f aca="false">((1/2)*(3*PI()*$I$27)^(2/3)*((1-$I$29^2)/(PI()*$I$30)+(1-L29^2)/(PI()*L30))^(2/3)*(1/$I$31)^(1/3))*1000</f>
        <v>0.10039123713818</v>
      </c>
      <c r="M32" s="797" t="n">
        <f aca="false">((1/2)*(3*PI()*$I$27)^(2/3)*((1-$I$29^2)/(PI()*$I$30)+(1-M29^2)/(PI()*M30))^(2/3)*(1/$I$31)^(1/3))*1000</f>
        <v>0.106632552313592</v>
      </c>
      <c r="N32" s="796" t="n">
        <f aca="false">((1/2)*(3*PI()*$I$27)^(2/3)*((1-$I$29^2)/(PI()*$I$30)+(1-N29^2)/(PI()*N30))^(2/3)*(1/$I$31)^(1/3))*1000</f>
        <v>0.10334602702004</v>
      </c>
      <c r="O32" s="795" t="n">
        <f aca="false">((1/2)*(3*PI()*$I$27)^(2/3)*((1-$I$29^2)/(PI()*$I$30)+(1-O29^2)/(PI()*O30))^(2/3)*(1/$I$31)^(1/3))*1000</f>
        <v>0.106632552313592</v>
      </c>
      <c r="P32" s="797" t="n">
        <f aca="false">((1/2)*(3*PI()*$I$27)^(2/3)*((1-$I$29^2)/(PI()*$I$30)+(1-P29^2)/(PI()*P30))^(2/3)*(1/$I$31)^(1/3))*1000</f>
        <v>0.098334940159722</v>
      </c>
      <c r="Q32" s="796" t="n">
        <f aca="false">((1/2)*(3*PI()*$I$27)^(2/3)*((1-$I$29^2)/(PI()*$I$30)+(1-Q29^2)/(PI()*Q30))^(2/3)*(1/$I$31)^(1/3))*1000</f>
        <v>0.102207852134885</v>
      </c>
    </row>
    <row r="33" customFormat="false" ht="25.5" hidden="false" customHeight="false" outlineLevel="0" collapsed="false">
      <c r="A33" s="713" t="s">
        <v>794</v>
      </c>
      <c r="H33" s="793" t="s">
        <v>795</v>
      </c>
      <c r="I33" s="798"/>
      <c r="J33" s="795" t="n">
        <f aca="false">((1/2)*(3*PI()*$I$28)^(2/3)*((1-$I$29^2)/(PI()*$I$30)+(1-J29^2)/(PI()*J30))^(2/3)*(1/$I$31)^(1/3))*1000</f>
        <v>0.0466994392370011</v>
      </c>
      <c r="K33" s="796" t="n">
        <f aca="false">((1/2)*(3*PI()*$I$28)^(2/3)*((1-$I$29^2)/(PI()*$I$30)+(1-K29^2)/(PI()*K30))^(2/3)*(1/$I$31)^(1/3))*1000</f>
        <v>0.0636092565428034</v>
      </c>
      <c r="L33" s="795" t="n">
        <f aca="false">((1/2)*(3*PI()*$I$28)^(2/3)*((1-$I$29^2)/(PI()*$I$30)+(1-L29^2)/(PI()*L30))^(2/3)*(1/$I$31)^(1/3))*1000</f>
        <v>0.0737773138702582</v>
      </c>
      <c r="M33" s="797" t="n">
        <f aca="false">((1/2)*(3*PI()*$I$28)^(2/3)*((1-$I$29^2)/(PI()*$I$30)+(1-M29^2)/(PI()*M30))^(2/3)*(1/$I$31)^(1/3))*1000</f>
        <v>0.0783640435668526</v>
      </c>
      <c r="N33" s="796" t="n">
        <f aca="false">((1/2)*(3*PI()*$I$28)^(2/3)*((1-$I$29^2)/(PI()*$I$30)+(1-N29^2)/(PI()*N30))^(2/3)*(1/$I$31)^(1/3))*1000</f>
        <v>0.0759487828823847</v>
      </c>
      <c r="O33" s="795" t="n">
        <f aca="false">((1/2)*(3*PI()*$I$28)^(2/3)*((1-$I$29^2)/(PI()*$I$30)+(1-O29^2)/(PI()*O30))^(2/3)*(1/$I$31)^(1/3))*1000</f>
        <v>0.0783640435668526</v>
      </c>
      <c r="P33" s="797" t="n">
        <f aca="false">((1/2)*(3*PI()*$I$28)^(2/3)*((1-$I$29^2)/(PI()*$I$30)+(1-P29^2)/(PI()*P30))^(2/3)*(1/$I$31)^(1/3))*1000</f>
        <v>0.0722661454464506</v>
      </c>
      <c r="Q33" s="796" t="n">
        <f aca="false">((1/2)*(3*PI()*$I$28)^(2/3)*((1-$I$29^2)/(PI()*$I$30)+(1-Q29^2)/(PI()*Q30))^(2/3)*(1/$I$31)^(1/3))*1000</f>
        <v>0.0751123404982176</v>
      </c>
    </row>
    <row r="34" customFormat="false" ht="13.5" hidden="false" customHeight="false" outlineLevel="0" collapsed="false">
      <c r="A34" s="713"/>
      <c r="H34" s="799" t="s">
        <v>796</v>
      </c>
      <c r="I34" s="800"/>
      <c r="J34" s="801" t="n">
        <f aca="false">(J32+J33)</f>
        <v>0.110244914569789</v>
      </c>
      <c r="K34" s="802" t="n">
        <f aca="false">K32+K33</f>
        <v>0.150164480944193</v>
      </c>
      <c r="L34" s="801" t="n">
        <f aca="false">L32+L33</f>
        <v>0.174168551008439</v>
      </c>
      <c r="M34" s="803" t="n">
        <f aca="false">M32+M33</f>
        <v>0.184996595880445</v>
      </c>
      <c r="N34" s="802" t="n">
        <f aca="false">N32+N33</f>
        <v>0.179294809902425</v>
      </c>
      <c r="O34" s="801" t="n">
        <f aca="false">O32+O33</f>
        <v>0.184996595880445</v>
      </c>
      <c r="P34" s="803" t="n">
        <f aca="false">P32+P33</f>
        <v>0.170601085606173</v>
      </c>
      <c r="Q34" s="802" t="n">
        <f aca="false">Q32+Q33</f>
        <v>0.177320192633102</v>
      </c>
    </row>
    <row r="35" customFormat="false" ht="15" hidden="false" customHeight="true" outlineLevel="0" collapsed="false">
      <c r="B35" s="729" t="str">
        <f aca="false">B17</f>
        <v>Patrón a Utilizar</v>
      </c>
      <c r="C35" s="729" t="str">
        <f aca="false">C18</f>
        <v>Acero</v>
      </c>
      <c r="D35" s="729" t="str">
        <f aca="false">D18</f>
        <v>Carburo de tungsteno</v>
      </c>
      <c r="E35" s="729" t="str">
        <f aca="false">E18</f>
        <v>Carburo de cromo</v>
      </c>
      <c r="F35" s="729" t="str">
        <f aca="false">F18</f>
        <v>Cerámica</v>
      </c>
    </row>
    <row r="36" customFormat="false" ht="15" hidden="false" customHeight="true" outlineLevel="0" collapsed="false">
      <c r="A36" s="729" t="s">
        <v>797</v>
      </c>
      <c r="B36" s="763" t="n">
        <f aca="false">SQRT(($B11*$B$31/100)^2/3)</f>
        <v>0.0577350269189626</v>
      </c>
      <c r="C36" s="763" t="n">
        <f aca="false">SQRT(($B11*$B$31/100)^2/3)</f>
        <v>0.0577350269189626</v>
      </c>
      <c r="D36" s="763" t="n">
        <f aca="false">SQRT(($B11*$B$31/100)^2/3)</f>
        <v>0.0577350269189626</v>
      </c>
      <c r="E36" s="763" t="n">
        <f aca="false">SQRT(($B11*$B$31/100)^2/3)</f>
        <v>0.0577350269189626</v>
      </c>
      <c r="F36" s="763" t="n">
        <f aca="false">SQRT(($B11*$B$31/100)^2/3)</f>
        <v>0.0577350269189626</v>
      </c>
      <c r="G36" s="707" t="s">
        <v>751</v>
      </c>
    </row>
    <row r="37" customFormat="false" ht="15" hidden="false" customHeight="true" outlineLevel="0" collapsed="false">
      <c r="A37" s="729" t="s">
        <v>798</v>
      </c>
      <c r="B37" s="763" t="n">
        <f aca="false">SQRT(($B$13*$B$31/100)^2/3)</f>
        <v>2.3094010767585</v>
      </c>
      <c r="C37" s="763" t="n">
        <f aca="false">SQRT(($B$13*$B$31/100)^2/3)</f>
        <v>2.3094010767585</v>
      </c>
      <c r="D37" s="763" t="n">
        <f aca="false">SQRT(($B$13*$B$31/100)^2/3)</f>
        <v>2.3094010767585</v>
      </c>
      <c r="E37" s="763" t="n">
        <f aca="false">SQRT(($B$13*$B$31/100)^2/3)</f>
        <v>2.3094010767585</v>
      </c>
      <c r="F37" s="763" t="n">
        <f aca="false">SQRT(($B$13*$B$31/100)^2/3)</f>
        <v>2.3094010767585</v>
      </c>
      <c r="G37" s="707" t="s">
        <v>1</v>
      </c>
      <c r="H37" s="76"/>
      <c r="I37" s="804" t="s">
        <v>799</v>
      </c>
      <c r="J37" s="804"/>
      <c r="K37" s="804"/>
      <c r="L37" s="804"/>
    </row>
    <row r="38" customFormat="false" ht="15" hidden="false" customHeight="true" outlineLevel="0" collapsed="false">
      <c r="A38" s="729" t="s">
        <v>800</v>
      </c>
      <c r="B38" s="763" t="n">
        <f aca="false">SQRT(($B$14*$B$31/100)^2/3)</f>
        <v>0.013856406460551</v>
      </c>
      <c r="C38" s="763" t="n">
        <f aca="false">SQRT(($B$14*$B$31/100)^2/3)</f>
        <v>0.013856406460551</v>
      </c>
      <c r="D38" s="763" t="n">
        <f aca="false">SQRT(($B$14*$B$31/100)^2/3)</f>
        <v>0.013856406460551</v>
      </c>
      <c r="E38" s="763" t="n">
        <f aca="false">SQRT(($B$14*$B$31/100)^2/3)</f>
        <v>0.013856406460551</v>
      </c>
      <c r="F38" s="763" t="n">
        <f aca="false">SQRT(($B$14*$B$31/100)^2/3)</f>
        <v>0.013856406460551</v>
      </c>
      <c r="H38" s="805" t="s">
        <v>637</v>
      </c>
      <c r="I38" s="806" t="s">
        <v>801</v>
      </c>
      <c r="J38" s="806" t="s">
        <v>802</v>
      </c>
      <c r="K38" s="806" t="s">
        <v>803</v>
      </c>
      <c r="L38" s="807" t="s">
        <v>804</v>
      </c>
    </row>
    <row r="39" customFormat="false" ht="15" hidden="false" customHeight="true" outlineLevel="0" collapsed="false">
      <c r="A39" s="729" t="s">
        <v>805</v>
      </c>
      <c r="B39" s="763" t="n">
        <f aca="false">SQRT((B19*$B$31/100)^2/3)</f>
        <v>0.0155884572681199</v>
      </c>
      <c r="C39" s="763" t="n">
        <f aca="false">SQRT((C19*$B$31/100)^2/3)</f>
        <v>0.0155884572681199</v>
      </c>
      <c r="D39" s="763" t="n">
        <f aca="false">SQRT((D19*$B$31/100)^2/3)</f>
        <v>0.013856406460551</v>
      </c>
      <c r="E39" s="763" t="n">
        <f aca="false">SQRT((E19*$B$31/100)^2/3)</f>
        <v>0.0161658075373095</v>
      </c>
      <c r="F39" s="763" t="n">
        <f aca="false">SQRT((F19*$B$31/100)^2/3)</f>
        <v>0.0176091832102836</v>
      </c>
      <c r="H39" s="808" t="s">
        <v>806</v>
      </c>
      <c r="I39" s="809"/>
      <c r="J39" s="810" t="n">
        <f aca="false">(J34-N34)</f>
        <v>-0.069049895332636</v>
      </c>
      <c r="K39" s="810" t="n">
        <f aca="false">(Q34-N34)</f>
        <v>-0.00197461726932252</v>
      </c>
      <c r="L39" s="811" t="n">
        <f aca="false">(K34-N34)</f>
        <v>-0.0291303289582318</v>
      </c>
    </row>
    <row r="40" customFormat="false" ht="15" hidden="false" customHeight="true" outlineLevel="0" collapsed="false">
      <c r="A40" s="729" t="s">
        <v>807</v>
      </c>
      <c r="B40" s="763" t="n">
        <f aca="false">SQRT(($B$15*$B$31/100)^2/3)</f>
        <v>36026.6567974326</v>
      </c>
      <c r="C40" s="763" t="n">
        <f aca="false">SQRT(($B$15*$B$31/100)^2/3)</f>
        <v>36026.6567974326</v>
      </c>
      <c r="D40" s="763" t="n">
        <f aca="false">SQRT(($B$15*$B$31/100)^2/3)</f>
        <v>36026.6567974326</v>
      </c>
      <c r="E40" s="763" t="n">
        <f aca="false">SQRT(($B$15*$B$31/100)^2/3)</f>
        <v>36026.6567974326</v>
      </c>
      <c r="F40" s="763" t="n">
        <f aca="false">SQRT(($B$15*$B$31/100)^2/3)</f>
        <v>36026.6567974326</v>
      </c>
      <c r="G40" s="709" t="s">
        <v>808</v>
      </c>
      <c r="H40" s="808" t="s">
        <v>809</v>
      </c>
      <c r="I40" s="810" t="n">
        <f aca="false">(N34-J34)</f>
        <v>0.069049895332636</v>
      </c>
      <c r="J40" s="809"/>
      <c r="K40" s="810" t="n">
        <f aca="false">(Q34-J34)</f>
        <v>0.0670752780633135</v>
      </c>
      <c r="L40" s="811" t="n">
        <f aca="false">(K34-J34)</f>
        <v>0.0399195663744042</v>
      </c>
    </row>
    <row r="41" customFormat="false" ht="15" hidden="false" customHeight="true" outlineLevel="0" collapsed="false">
      <c r="A41" s="729" t="s">
        <v>810</v>
      </c>
      <c r="B41" s="763" t="n">
        <f aca="false">SQRT((B20*$B$31/100)^2/3)</f>
        <v>11258.3302491977</v>
      </c>
      <c r="C41" s="763" t="n">
        <f aca="false">SQRT((C20*$B$31/100)^2/3)</f>
        <v>11258.3302491977</v>
      </c>
      <c r="D41" s="763" t="n">
        <f aca="false">SQRT((D20*$B$31/100)^2/3)</f>
        <v>36026.6567974326</v>
      </c>
      <c r="E41" s="763" t="n">
        <f aca="false">SQRT((E20*$B$31/100)^2/3)</f>
        <v>16165.8075373095</v>
      </c>
      <c r="F41" s="763" t="n">
        <f aca="false">SQRT((F20*$B$31/100)^2/3)</f>
        <v>11258.3302491977</v>
      </c>
      <c r="G41" s="709" t="s">
        <v>808</v>
      </c>
      <c r="H41" s="808" t="s">
        <v>811</v>
      </c>
      <c r="I41" s="810" t="n">
        <f aca="false">(N34-Q34)</f>
        <v>0.00197461726932252</v>
      </c>
      <c r="J41" s="810" t="n">
        <f aca="false">(J34-Q34)</f>
        <v>-0.0670752780633135</v>
      </c>
      <c r="K41" s="812"/>
      <c r="L41" s="811" t="n">
        <f aca="false">(K34-Q34)</f>
        <v>-0.0271557116889093</v>
      </c>
    </row>
    <row r="42" customFormat="false" ht="15" hidden="false" customHeight="true" outlineLevel="0" collapsed="false">
      <c r="A42" s="813"/>
      <c r="B42" s="763"/>
      <c r="C42" s="763"/>
      <c r="D42" s="763"/>
      <c r="E42" s="763"/>
      <c r="H42" s="814" t="s">
        <v>812</v>
      </c>
      <c r="I42" s="815" t="n">
        <f aca="false">(N34-K34)</f>
        <v>0.0291303289582318</v>
      </c>
      <c r="J42" s="816" t="n">
        <f aca="false">(J34-K34)</f>
        <v>-0.0399195663744042</v>
      </c>
      <c r="K42" s="816" t="n">
        <f aca="false">(Q34-K34)</f>
        <v>0.0271557116889093</v>
      </c>
      <c r="L42" s="817"/>
    </row>
    <row r="43" customFormat="false" ht="15" hidden="false" customHeight="true" outlineLevel="0" collapsed="false">
      <c r="B43" s="763" t="str">
        <f aca="false">B17</f>
        <v>Patrón a Utilizar</v>
      </c>
      <c r="C43" s="763" t="str">
        <f aca="false">C18</f>
        <v>Acero</v>
      </c>
      <c r="D43" s="763" t="str">
        <f aca="false">D18</f>
        <v>Carburo de tungsteno</v>
      </c>
      <c r="E43" s="763" t="str">
        <f aca="false">E18</f>
        <v>Carburo de cromo</v>
      </c>
      <c r="F43" s="763" t="str">
        <f aca="false">F18</f>
        <v>Cerámica</v>
      </c>
    </row>
    <row r="44" customFormat="false" ht="15" hidden="false" customHeight="true" outlineLevel="0" collapsed="false">
      <c r="A44" s="729" t="s">
        <v>813</v>
      </c>
      <c r="B44" s="763" t="n">
        <f aca="false">SQRT(($B12*$B$31/100)^2/3)</f>
        <v>0.0363730669589464</v>
      </c>
      <c r="C44" s="763" t="n">
        <f aca="false">SQRT(($B12*$B$31/100)^2/3)</f>
        <v>0.0363730669589464</v>
      </c>
      <c r="D44" s="763" t="n">
        <f aca="false">SQRT(($B12*$B$31/100)^2/3)</f>
        <v>0.0363730669589464</v>
      </c>
      <c r="E44" s="763" t="n">
        <f aca="false">SQRT(($B12*$B$31/100)^2/3)</f>
        <v>0.0363730669589464</v>
      </c>
      <c r="F44" s="763" t="n">
        <f aca="false">SQRT(($B12*$B$31/100)^2/3)</f>
        <v>0.0363730669589464</v>
      </c>
      <c r="G44" s="707" t="s">
        <v>751</v>
      </c>
    </row>
    <row r="45" customFormat="false" ht="15" hidden="false" customHeight="true" outlineLevel="0" collapsed="false">
      <c r="A45" s="729" t="s">
        <v>798</v>
      </c>
      <c r="B45" s="763" t="n">
        <f aca="false">SQRT(($B$13*$B$31/100)^2/3)</f>
        <v>2.3094010767585</v>
      </c>
      <c r="C45" s="763" t="n">
        <f aca="false">SQRT(($B$13*$B$31/100)^2/3)</f>
        <v>2.3094010767585</v>
      </c>
      <c r="D45" s="763" t="n">
        <f aca="false">SQRT(($B$13*$B$31/100)^2/3)</f>
        <v>2.3094010767585</v>
      </c>
      <c r="E45" s="763" t="n">
        <f aca="false">SQRT(($B$13*$B$31/100)^2/3)</f>
        <v>2.3094010767585</v>
      </c>
      <c r="F45" s="763" t="n">
        <f aca="false">SQRT(($B$13*$B$31/100)^2/3)</f>
        <v>2.3094010767585</v>
      </c>
      <c r="G45" s="707" t="s">
        <v>1</v>
      </c>
    </row>
    <row r="46" customFormat="false" ht="15" hidden="false" customHeight="true" outlineLevel="0" collapsed="false">
      <c r="A46" s="729" t="s">
        <v>800</v>
      </c>
      <c r="B46" s="763" t="n">
        <f aca="false">SQRT(($B$14*$B$31/100)^2/3)</f>
        <v>0.013856406460551</v>
      </c>
      <c r="C46" s="763" t="n">
        <f aca="false">SQRT(($B$14*$B$31/100)^2/3)</f>
        <v>0.013856406460551</v>
      </c>
      <c r="D46" s="763" t="n">
        <f aca="false">SQRT(($B$14*$B$31/100)^2/3)</f>
        <v>0.013856406460551</v>
      </c>
      <c r="E46" s="763" t="n">
        <f aca="false">SQRT(($B$14*$B$31/100)^2/3)</f>
        <v>0.013856406460551</v>
      </c>
      <c r="F46" s="763" t="n">
        <f aca="false">SQRT(($B$14*$B$31/100)^2/3)</f>
        <v>0.013856406460551</v>
      </c>
    </row>
    <row r="47" customFormat="false" ht="15" hidden="false" customHeight="true" outlineLevel="0" collapsed="false">
      <c r="A47" s="729" t="s">
        <v>805</v>
      </c>
      <c r="B47" s="763" t="n">
        <f aca="false">SQRT((B19*$B$31/100)^2/3)</f>
        <v>0.0155884572681199</v>
      </c>
      <c r="C47" s="763" t="n">
        <f aca="false">SQRT((C19*$B$31/100)^2/3)</f>
        <v>0.0155884572681199</v>
      </c>
      <c r="D47" s="763" t="n">
        <f aca="false">SQRT((D19*$B$31/100)^2/3)</f>
        <v>0.013856406460551</v>
      </c>
      <c r="E47" s="763" t="n">
        <f aca="false">SQRT((E19*$B$31/100)^2/3)</f>
        <v>0.0161658075373095</v>
      </c>
      <c r="F47" s="763" t="n">
        <f aca="false">SQRT((F19*$B$31/100)^2/3)</f>
        <v>0.0176091832102836</v>
      </c>
    </row>
    <row r="48" customFormat="false" ht="15" hidden="false" customHeight="true" outlineLevel="0" collapsed="false">
      <c r="A48" s="729" t="s">
        <v>807</v>
      </c>
      <c r="B48" s="763" t="n">
        <f aca="false">SQRT(($B$15*$B$31/100)^2/3)</f>
        <v>36026.6567974326</v>
      </c>
      <c r="C48" s="763" t="n">
        <f aca="false">SQRT(($B$15*$B$31/100)^2/3)</f>
        <v>36026.6567974326</v>
      </c>
      <c r="D48" s="763" t="n">
        <f aca="false">SQRT(($B$15*$B$31/100)^2/3)</f>
        <v>36026.6567974326</v>
      </c>
      <c r="E48" s="763" t="n">
        <f aca="false">SQRT(($B$15*$B$31/100)^2/3)</f>
        <v>36026.6567974326</v>
      </c>
      <c r="F48" s="763" t="n">
        <f aca="false">SQRT(($B$15*$B$31/100)^2/3)</f>
        <v>36026.6567974326</v>
      </c>
      <c r="G48" s="709" t="s">
        <v>808</v>
      </c>
    </row>
    <row r="49" customFormat="false" ht="15" hidden="false" customHeight="true" outlineLevel="0" collapsed="false">
      <c r="A49" s="729" t="s">
        <v>810</v>
      </c>
      <c r="B49" s="763" t="n">
        <f aca="false">SQRT((B20*$B$31/100)^2/3)</f>
        <v>11258.3302491977</v>
      </c>
      <c r="C49" s="763" t="n">
        <f aca="false">SQRT((C20*$B$31/100)^2/3)</f>
        <v>11258.3302491977</v>
      </c>
      <c r="D49" s="763" t="n">
        <f aca="false">SQRT((D20*$B$31/100)^2/3)</f>
        <v>36026.6567974326</v>
      </c>
      <c r="E49" s="763" t="n">
        <f aca="false">SQRT((E20*$B$31/100)^2/3)</f>
        <v>16165.8075373095</v>
      </c>
      <c r="F49" s="763" t="n">
        <f aca="false">SQRT((F20*$B$31/100)^2/3)</f>
        <v>11258.3302491977</v>
      </c>
      <c r="G49" s="709" t="s">
        <v>808</v>
      </c>
    </row>
    <row r="50" customFormat="false" ht="15" hidden="false" customHeight="true" outlineLevel="0" collapsed="false">
      <c r="A50" s="813"/>
    </row>
    <row r="51" customFormat="false" ht="15" hidden="false" customHeight="true" outlineLevel="0" collapsed="false">
      <c r="A51" s="713" t="s">
        <v>814</v>
      </c>
      <c r="B51" s="729"/>
    </row>
    <row r="52" customFormat="false" ht="15" hidden="false" customHeight="true" outlineLevel="0" collapsed="false">
      <c r="B52" s="729"/>
    </row>
    <row r="53" customFormat="false" ht="15" hidden="false" customHeight="true" outlineLevel="0" collapsed="false">
      <c r="A53" s="707" t="s">
        <v>815</v>
      </c>
      <c r="B53" s="729" t="str">
        <f aca="false">B17</f>
        <v>Patrón a Utilizar</v>
      </c>
      <c r="C53" s="729" t="str">
        <f aca="false">C18</f>
        <v>Acero</v>
      </c>
      <c r="D53" s="729" t="str">
        <f aca="false">D18</f>
        <v>Carburo de tungsteno</v>
      </c>
      <c r="E53" s="729" t="str">
        <f aca="false">E18</f>
        <v>Carburo de cromo</v>
      </c>
      <c r="F53" s="729" t="str">
        <f aca="false">F18</f>
        <v>Cerámica</v>
      </c>
    </row>
    <row r="54" customFormat="false" ht="15" hidden="false" customHeight="true" outlineLevel="0" collapsed="false">
      <c r="A54" s="762" t="s">
        <v>816</v>
      </c>
      <c r="B54" s="818" t="n">
        <f aca="false">10^9/B25^2</f>
        <v>93629440676.7828</v>
      </c>
      <c r="C54" s="818" t="n">
        <f aca="false">10^9/C25^2</f>
        <v>93629440676.7829</v>
      </c>
      <c r="D54" s="818" t="n">
        <f aca="false">10^9/D25^2</f>
        <v>247645667601.352</v>
      </c>
      <c r="E54" s="818" t="n">
        <f aca="false">10^9/E25^2</f>
        <v>133479148247.608</v>
      </c>
      <c r="F54" s="818" t="n">
        <f aca="false">10^9/F25^2</f>
        <v>95726344834.0435</v>
      </c>
    </row>
    <row r="55" customFormat="false" ht="15" hidden="false" customHeight="true" outlineLevel="0" collapsed="false">
      <c r="A55" s="729" t="s">
        <v>817</v>
      </c>
      <c r="B55" s="819" t="n">
        <f aca="false">(3/4)*($B11/$B$13)*B54*B21^2</f>
        <v>0.0688973513466933</v>
      </c>
      <c r="C55" s="819" t="n">
        <f aca="false">(3/4)*($B11/$B$13)*C54*C21^2</f>
        <v>0.0688973513466933</v>
      </c>
      <c r="D55" s="819" t="n">
        <f aca="false">(3/4)*($B11/$B$13)*D54*D21^2</f>
        <v>0.0423636502218584</v>
      </c>
      <c r="E55" s="819" t="n">
        <f aca="false">(3/4)*($B11/$B$13)*E54*E21^2</f>
        <v>0.0577034829342596</v>
      </c>
      <c r="F55" s="819" t="n">
        <f aca="false">(3/4)*($B11/$B$13)*F54*F21^2</f>
        <v>0.0681385680899232</v>
      </c>
      <c r="G55" s="717" t="s">
        <v>818</v>
      </c>
    </row>
    <row r="56" customFormat="false" ht="15" hidden="false" customHeight="true" outlineLevel="0" collapsed="false">
      <c r="A56" s="729" t="s">
        <v>819</v>
      </c>
      <c r="B56" s="818" t="n">
        <f aca="false">-(3/8)*($B11/$B$13)^2*B54*B21^2</f>
        <v>-0.000861216891833667</v>
      </c>
      <c r="C56" s="818" t="n">
        <f aca="false">-(3/8)*($B11/$B$13)^2*C54*C21^2</f>
        <v>-0.000861216891833666</v>
      </c>
      <c r="D56" s="818" t="n">
        <f aca="false">-(3/8)*($B11/$B$13)^2*D54*D21^2</f>
        <v>-0.000529545627773229</v>
      </c>
      <c r="E56" s="818" t="n">
        <f aca="false">-(3/8)*($B11/$B$13)^2*E54*E21^2</f>
        <v>-0.000721293536678245</v>
      </c>
      <c r="F56" s="818" t="n">
        <f aca="false">-(3/8)*($B11/$B$13)^2*F54*F21^2</f>
        <v>-0.000851732101124039</v>
      </c>
      <c r="G56" s="717" t="s">
        <v>820</v>
      </c>
    </row>
    <row r="57" customFormat="false" ht="15" hidden="false" customHeight="true" outlineLevel="0" collapsed="false">
      <c r="A57" s="729" t="s">
        <v>821</v>
      </c>
      <c r="B57" s="819" t="n">
        <f aca="false">-(3/2)*($B11^2/$B$13)*B54*B21*$B14/$B15</f>
        <v>-0.00845989088245251</v>
      </c>
      <c r="C57" s="819" t="n">
        <f aca="false">-(3/2)*($B11^2/$B$13)*C54*C21*$B14/$B15</f>
        <v>-0.00845989088245252</v>
      </c>
      <c r="D57" s="819" t="n">
        <f aca="false">-(3/2)*($B11^2/$B$13)*D54*D21*$B14/$B15</f>
        <v>-0.0107887054894376</v>
      </c>
      <c r="E57" s="819" t="n">
        <f aca="false">-(3/2)*($B11^2/$B$13)*E54*E21*$B14/$B15</f>
        <v>-0.0092441080025285</v>
      </c>
      <c r="F57" s="819" t="n">
        <f aca="false">-(3/2)*($B11^2/$B$13)*F54*F21*$B14/$B15</f>
        <v>-0.00850686465676645</v>
      </c>
      <c r="G57" s="717" t="s">
        <v>771</v>
      </c>
    </row>
    <row r="58" customFormat="false" ht="15" hidden="false" customHeight="true" outlineLevel="0" collapsed="false">
      <c r="A58" s="729" t="s">
        <v>822</v>
      </c>
      <c r="B58" s="819" t="n">
        <f aca="false">-(3/2)*($B11^2/$B$13)*B54*B21*B19/B20</f>
        <v>-0.030455607176829</v>
      </c>
      <c r="C58" s="819" t="n">
        <f aca="false">-(3/2)*($B11^2/$B$13)*C54*C21*C19/C20</f>
        <v>-0.0304556071768291</v>
      </c>
      <c r="D58" s="819" t="n">
        <f aca="false">-(3/2)*($B11^2/$B$13)*D54*D21*D19/D20</f>
        <v>-0.0107887054894376</v>
      </c>
      <c r="E58" s="819" t="n">
        <f aca="false">-(3/2)*($B11^2/$B$13)*E54*E21*E19/E20</f>
        <v>-0.0240346808065741</v>
      </c>
      <c r="F58" s="819" t="n">
        <f aca="false">-(3/2)*($B11^2/$B$13)*F54*F21*F19/F20</f>
        <v>-0.0345945829375169</v>
      </c>
      <c r="G58" s="717" t="s">
        <v>771</v>
      </c>
    </row>
    <row r="59" customFormat="false" ht="15" hidden="false" customHeight="true" outlineLevel="0" collapsed="false">
      <c r="A59" s="729" t="s">
        <v>823</v>
      </c>
      <c r="B59" s="818" t="n">
        <f aca="false">-(3/4)*($B11^2/$B$13)*B54*B21*(1-$B14^2)/$B15^2</f>
        <v>-2.66179259068618E-008</v>
      </c>
      <c r="C59" s="818" t="n">
        <f aca="false">-(3/4)*($B11^2/$B$13)*C54*C21*(1-$B14^2)/$B15^2</f>
        <v>-2.66179259068618E-008</v>
      </c>
      <c r="D59" s="818" t="n">
        <f aca="false">-(3/4)*($B11^2/$B$13)*D54*D21*(1-$B14^2)/$B15^2</f>
        <v>-3.3945232549566E-008</v>
      </c>
      <c r="E59" s="818" t="n">
        <f aca="false">-(3/4)*($B11^2/$B$13)*E54*E21*(1-$B14^2)/$B15^2</f>
        <v>-2.90853611831693E-008</v>
      </c>
      <c r="F59" s="818" t="n">
        <f aca="false">-(3/4)*($B11^2/$B$13)*F54*F21*(1-$B14^2)/$B15^2</f>
        <v>-2.67657226647192E-008</v>
      </c>
      <c r="G59" s="717" t="s">
        <v>824</v>
      </c>
    </row>
    <row r="60" customFormat="false" ht="15" hidden="false" customHeight="true" outlineLevel="0" collapsed="false">
      <c r="A60" s="729" t="s">
        <v>825</v>
      </c>
      <c r="B60" s="818" t="n">
        <f aca="false">-(3/4)*($B11^2/$B$13)*B54*B21*(1-B19^2)/B20^2</f>
        <v>-2.68142387593905E-007</v>
      </c>
      <c r="C60" s="818" t="n">
        <f aca="false">-(3/4)*($B11^2/$B$13)*C54*C21*(1-C19^2)/C20^2</f>
        <v>-2.68142387593905E-007</v>
      </c>
      <c r="D60" s="818" t="n">
        <f aca="false">-(3/4)*($B11^2/$B$13)*D54*D21*(1-D19^2)/D20^2</f>
        <v>-3.3945232549566E-008</v>
      </c>
      <c r="E60" s="818" t="n">
        <f aca="false">-(3/4)*($B11^2/$B$13)*E54*E21*(1-E19^2)/E20^2</f>
        <v>-1.41265062699864E-007</v>
      </c>
      <c r="F60" s="818" t="n">
        <f aca="false">-(3/4)*($B11^2/$B$13)*F54*F21*(1-F19^2)/F20^2</f>
        <v>-2.63778241780197E-007</v>
      </c>
      <c r="G60" s="717" t="s">
        <v>824</v>
      </c>
    </row>
    <row r="61" customFormat="false" ht="15" hidden="false" customHeight="true" outlineLevel="0" collapsed="false">
      <c r="A61" s="813"/>
      <c r="C61" s="820"/>
      <c r="D61" s="820"/>
      <c r="E61" s="820"/>
      <c r="F61" s="820"/>
    </row>
    <row r="62" customFormat="false" ht="15" hidden="false" customHeight="true" outlineLevel="0" collapsed="false">
      <c r="A62" s="707" t="s">
        <v>826</v>
      </c>
      <c r="C62" s="729" t="str">
        <f aca="false">C18</f>
        <v>Acero</v>
      </c>
      <c r="D62" s="729" t="str">
        <f aca="false">D18</f>
        <v>Carburo de tungsteno</v>
      </c>
      <c r="E62" s="729" t="str">
        <f aca="false">E18</f>
        <v>Carburo de cromo</v>
      </c>
      <c r="F62" s="729" t="str">
        <f aca="false">F18</f>
        <v>Cerámica</v>
      </c>
    </row>
    <row r="63" customFormat="false" ht="15" hidden="false" customHeight="true" outlineLevel="0" collapsed="false">
      <c r="A63" s="762" t="s">
        <v>816</v>
      </c>
      <c r="B63" s="821" t="n">
        <f aca="false">10^9/B26^2</f>
        <v>173363778146.068</v>
      </c>
      <c r="C63" s="821" t="n">
        <f aca="false">10^9/C26^2</f>
        <v>173363778146.068</v>
      </c>
      <c r="D63" s="821" t="n">
        <f aca="false">10^9/D26^2</f>
        <v>458539410964.588</v>
      </c>
      <c r="E63" s="821" t="n">
        <f aca="false">10^9/E26^2</f>
        <v>247149286342.608</v>
      </c>
      <c r="F63" s="821" t="n">
        <f aca="false">10^9/F26^2</f>
        <v>177246394815.41</v>
      </c>
    </row>
    <row r="64" customFormat="false" ht="15" hidden="false" customHeight="true" outlineLevel="0" collapsed="false">
      <c r="A64" s="729" t="s">
        <v>827</v>
      </c>
      <c r="B64" s="819" t="n">
        <f aca="false">(3/4)*($B12/$B$13)*B63*B21^2</f>
        <v>0.0803690824152219</v>
      </c>
      <c r="C64" s="819" t="n">
        <f aca="false">(3/4)*($B12/$B$13)*C63*C21^2</f>
        <v>0.0803690824152218</v>
      </c>
      <c r="D64" s="819" t="n">
        <f aca="false">(3/4)*($B12/$B$13)*D63*D21^2</f>
        <v>0.0494173960179905</v>
      </c>
      <c r="E64" s="819" t="n">
        <f aca="false">(3/4)*($B12/$B$13)*E63*E21^2</f>
        <v>0.0673113825849772</v>
      </c>
      <c r="F64" s="819" t="n">
        <f aca="false">(3/4)*($B12/$B$13)*F63*F21^2</f>
        <v>0.079483958199172</v>
      </c>
      <c r="G64" s="717" t="s">
        <v>818</v>
      </c>
    </row>
    <row r="65" customFormat="false" ht="15" hidden="false" customHeight="true" outlineLevel="0" collapsed="false">
      <c r="A65" s="729" t="s">
        <v>819</v>
      </c>
      <c r="B65" s="818" t="n">
        <f aca="false">-(3/8)*($B12/$B$13)^2*B63*B21^2</f>
        <v>-0.000632906524019872</v>
      </c>
      <c r="C65" s="818" t="n">
        <f aca="false">-(3/8)*($B12/$B$13)^2*C63*C21^2</f>
        <v>-0.000632906524019872</v>
      </c>
      <c r="D65" s="818" t="n">
        <f aca="false">-(3/8)*($B12/$B$13)^2*D63*D21^2</f>
        <v>-0.000389161993641675</v>
      </c>
      <c r="E65" s="818" t="n">
        <f aca="false">-(3/8)*($B12/$B$13)^2*E63*E21^2</f>
        <v>-0.000530077137856696</v>
      </c>
      <c r="F65" s="818" t="n">
        <f aca="false">-(3/8)*($B12/$B$13)^2*F63*F21^2</f>
        <v>-0.000625936170818479</v>
      </c>
      <c r="G65" s="717" t="s">
        <v>820</v>
      </c>
    </row>
    <row r="66" customFormat="false" ht="15" hidden="false" customHeight="true" outlineLevel="0" collapsed="false">
      <c r="A66" s="729" t="s">
        <v>821</v>
      </c>
      <c r="B66" s="819" t="n">
        <f aca="false">-(3/2)*($B12^2/$B$13)*B63*B21*$B14/$B15</f>
        <v>-0.0062171564245567</v>
      </c>
      <c r="C66" s="819" t="n">
        <f aca="false">-(3/2)*($B12^2/$B$13)*C63*C21*$B14/$B15</f>
        <v>-0.0062171564245567</v>
      </c>
      <c r="D66" s="819" t="n">
        <f aca="false">-(3/2)*($B12^2/$B$13)*D63*D21*$B14/$B15</f>
        <v>-0.00792859749354857</v>
      </c>
      <c r="E66" s="819" t="n">
        <f aca="false">-(3/2)*($B12^2/$B$13)*E63*E21*$B14/$B15</f>
        <v>-0.00679347597454533</v>
      </c>
      <c r="F66" s="819" t="n">
        <f aca="false">-(3/2)*($B12^2/$B$13)*F63*F21*$B14/$B15</f>
        <v>-0.00625167735476955</v>
      </c>
      <c r="G66" s="717" t="s">
        <v>771</v>
      </c>
    </row>
    <row r="67" customFormat="false" ht="15" hidden="false" customHeight="true" outlineLevel="0" collapsed="false">
      <c r="A67" s="729" t="s">
        <v>822</v>
      </c>
      <c r="B67" s="819" t="n">
        <f aca="false">-(3/2)*($B12^2/$B$13)*B63*B21*B19/B20</f>
        <v>-0.0223817631284041</v>
      </c>
      <c r="C67" s="819" t="n">
        <f aca="false">-(3/2)*($B12^2/$B$13)*C63*C21*C19/C20</f>
        <v>-0.0223817631284041</v>
      </c>
      <c r="D67" s="819" t="n">
        <f aca="false">-(3/2)*($B12^2/$B$13)*D63*D21*D19/D20</f>
        <v>-0.00792859749354857</v>
      </c>
      <c r="E67" s="819" t="n">
        <f aca="false">-(3/2)*($B12^2/$B$13)*E63*E21*E19/E20</f>
        <v>-0.0176630375338179</v>
      </c>
      <c r="F67" s="819" t="n">
        <f aca="false">-(3/2)*($B12^2/$B$13)*F63*F21*F19/F20</f>
        <v>-0.0254234879093962</v>
      </c>
      <c r="G67" s="717" t="s">
        <v>771</v>
      </c>
    </row>
    <row r="68" customFormat="false" ht="15" hidden="false" customHeight="true" outlineLevel="0" collapsed="false">
      <c r="A68" s="729" t="s">
        <v>823</v>
      </c>
      <c r="B68" s="818" t="n">
        <f aca="false">-(3/4)*($B12^2/$B$13)*B63*B21*(1-$B14^2)/$B15^2</f>
        <v>-1.95614590494866E-008</v>
      </c>
      <c r="C68" s="818" t="n">
        <f aca="false">-(3/4)*($B12^2/$B$13)*C63*C21*(1-$B14^2)/$B15^2</f>
        <v>-1.95614590494866E-008</v>
      </c>
      <c r="D68" s="818" t="n">
        <f aca="false">-(3/4)*($B12^2/$B$13)*D63*D21*(1-$B14^2)/$B15^2</f>
        <v>-2.49462816436971E-008</v>
      </c>
      <c r="E68" s="818" t="n">
        <f aca="false">-(3/4)*($B12^2/$B$13)*E63*E21*(1-$B14^2)/$B15^2</f>
        <v>-2.13747721635E-008</v>
      </c>
      <c r="F68" s="818" t="n">
        <f aca="false">-(3/4)*($B12^2/$B$13)*F63*F21*(1-$B14^2)/$B15^2</f>
        <v>-1.96700745831157E-008</v>
      </c>
      <c r="G68" s="717" t="s">
        <v>824</v>
      </c>
    </row>
    <row r="69" customFormat="false" ht="15" hidden="false" customHeight="true" outlineLevel="0" collapsed="false">
      <c r="A69" s="729" t="s">
        <v>825</v>
      </c>
      <c r="B69" s="818" t="n">
        <f aca="false">-(3/4)*($B12^2/$B$13)*B63*B21*(1-B19^2)/B20^2</f>
        <v>-1.97057289613898E-007</v>
      </c>
      <c r="C69" s="818" t="n">
        <f aca="false">-(3/4)*($B12^2/$B$13)*C63*C21*(1-C19^2)/C20^2</f>
        <v>-1.97057289613898E-007</v>
      </c>
      <c r="D69" s="818" t="n">
        <f aca="false">-(3/4)*($B12^2/$B$13)*D63*D21*(1-D19^2)/D20^2</f>
        <v>-2.49462816436971E-008</v>
      </c>
      <c r="E69" s="818" t="n">
        <f aca="false">-(3/4)*($B12^2/$B$13)*E63*E21*(1-E19^2)/E20^2</f>
        <v>-1.03815404280399E-007</v>
      </c>
      <c r="F69" s="818" t="n">
        <f aca="false">-(3/4)*($B12^2/$B$13)*F63*F21*(1-F19^2)/F20^2</f>
        <v>-1.93850087823662E-007</v>
      </c>
      <c r="G69" s="717" t="s">
        <v>824</v>
      </c>
    </row>
    <row r="71" customFormat="false" ht="15" hidden="false" customHeight="true" outlineLevel="0" collapsed="false">
      <c r="A71" s="713" t="s">
        <v>828</v>
      </c>
      <c r="F71" s="732"/>
    </row>
    <row r="72" customFormat="false" ht="15" hidden="false" customHeight="true" outlineLevel="0" collapsed="false">
      <c r="A72" s="709"/>
      <c r="B72" s="709"/>
    </row>
    <row r="73" customFormat="false" ht="15" hidden="false" customHeight="true" outlineLevel="0" collapsed="false">
      <c r="A73" s="707" t="s">
        <v>815</v>
      </c>
      <c r="B73" s="709"/>
      <c r="C73" s="709"/>
      <c r="D73" s="709"/>
      <c r="E73" s="709"/>
      <c r="F73" s="709"/>
    </row>
    <row r="74" customFormat="false" ht="15" hidden="false" customHeight="true" outlineLevel="0" collapsed="false">
      <c r="A74" s="729" t="s">
        <v>829</v>
      </c>
      <c r="B74" s="822" t="n">
        <f aca="false">(B36*B55)^2</f>
        <v>1.58228167419657E-005</v>
      </c>
      <c r="C74" s="822" t="n">
        <f aca="false">(C36*C55)^2</f>
        <v>1.58228167419657E-005</v>
      </c>
      <c r="D74" s="822" t="n">
        <f aca="false">(D36*D55)^2</f>
        <v>5.98226286706653E-006</v>
      </c>
      <c r="E74" s="822" t="n">
        <f aca="false">(E36*E55)^2</f>
        <v>1.10989731424813E-005</v>
      </c>
      <c r="F74" s="822" t="n">
        <f aca="false">(F36*F55)^2</f>
        <v>1.54762148711503E-005</v>
      </c>
      <c r="G74" s="717" t="s">
        <v>830</v>
      </c>
    </row>
    <row r="75" customFormat="false" ht="15" hidden="false" customHeight="true" outlineLevel="0" collapsed="false">
      <c r="A75" s="729" t="s">
        <v>831</v>
      </c>
      <c r="B75" s="822" t="n">
        <f aca="false">(B37*B56)^2</f>
        <v>3.95570418549141E-006</v>
      </c>
      <c r="C75" s="822" t="n">
        <f aca="false">(C37*C56)^2</f>
        <v>3.95570418549142E-006</v>
      </c>
      <c r="D75" s="822" t="n">
        <f aca="false">(D37*D56)^2</f>
        <v>1.49556571676663E-006</v>
      </c>
      <c r="E75" s="822" t="n">
        <f aca="false">(E37*E56)^2</f>
        <v>2.77474328562032E-006</v>
      </c>
      <c r="F75" s="822" t="n">
        <f aca="false">(F37*F56)^2</f>
        <v>3.86905371778758E-006</v>
      </c>
      <c r="G75" s="717" t="s">
        <v>830</v>
      </c>
    </row>
    <row r="76" customFormat="false" ht="15" hidden="false" customHeight="true" outlineLevel="0" collapsed="false">
      <c r="A76" s="729" t="s">
        <v>832</v>
      </c>
      <c r="B76" s="822" t="n">
        <f aca="false">(B38*B57)^2</f>
        <v>1.37413927186566E-008</v>
      </c>
      <c r="C76" s="822" t="n">
        <f aca="false">(C38*C57)^2</f>
        <v>1.37413927186566E-008</v>
      </c>
      <c r="D76" s="822" t="n">
        <f aca="false">(D38*D57)^2</f>
        <v>2.23480638984617E-008</v>
      </c>
      <c r="E76" s="822" t="n">
        <f aca="false">(E38*E57)^2</f>
        <v>1.6407078290383E-008</v>
      </c>
      <c r="F76" s="822" t="n">
        <f aca="false">(F38*F57)^2</f>
        <v>1.38944152874001E-008</v>
      </c>
      <c r="G76" s="717" t="s">
        <v>830</v>
      </c>
    </row>
    <row r="77" customFormat="false" ht="15" hidden="false" customHeight="true" outlineLevel="0" collapsed="false">
      <c r="A77" s="729" t="s">
        <v>833</v>
      </c>
      <c r="B77" s="822" t="n">
        <f aca="false">(B39*B58)^2</f>
        <v>2.25393194067765E-007</v>
      </c>
      <c r="C77" s="822" t="n">
        <f aca="false">(C39*C58)^2</f>
        <v>2.25393194067765E-007</v>
      </c>
      <c r="D77" s="822" t="n">
        <f aca="false">(D39*D58)^2</f>
        <v>2.23480638984617E-008</v>
      </c>
      <c r="E77" s="822" t="n">
        <f aca="false">(E39*E58)^2</f>
        <v>1.50963350358513E-007</v>
      </c>
      <c r="F77" s="822" t="n">
        <f aca="false">(F39*F58)^2</f>
        <v>3.71103134369813E-007</v>
      </c>
      <c r="G77" s="717" t="s">
        <v>830</v>
      </c>
    </row>
    <row r="78" customFormat="false" ht="15" hidden="false" customHeight="true" outlineLevel="0" collapsed="false">
      <c r="A78" s="729" t="s">
        <v>834</v>
      </c>
      <c r="B78" s="822" t="n">
        <f aca="false">(B40*B59)^2</f>
        <v>9.19594464380605E-007</v>
      </c>
      <c r="C78" s="822" t="n">
        <f aca="false">(C40*C59)^2</f>
        <v>9.19594464380608E-007</v>
      </c>
      <c r="D78" s="822" t="n">
        <f aca="false">(D40*D59)^2</f>
        <v>1.49556571676663E-006</v>
      </c>
      <c r="E78" s="822" t="n">
        <f aca="false">(E40*E59)^2</f>
        <v>1.09798611257291E-006</v>
      </c>
      <c r="F78" s="822" t="n">
        <f aca="false">(F40*F59)^2</f>
        <v>9.29834962561753E-007</v>
      </c>
      <c r="G78" s="717" t="s">
        <v>830</v>
      </c>
    </row>
    <row r="79" customFormat="false" ht="15" hidden="false" customHeight="true" outlineLevel="0" collapsed="false">
      <c r="A79" s="729" t="s">
        <v>835</v>
      </c>
      <c r="B79" s="822" t="n">
        <f aca="false">(B41*B60)^2</f>
        <v>9.11336809811298E-006</v>
      </c>
      <c r="C79" s="822" t="n">
        <f aca="false">(C41*C60)^2</f>
        <v>9.113368098113E-006</v>
      </c>
      <c r="D79" s="822" t="n">
        <f aca="false">(D41*D60)^2</f>
        <v>1.49556571676663E-006</v>
      </c>
      <c r="E79" s="822" t="n">
        <f aca="false">(E41*E60)^2</f>
        <v>5.21512042154789E-006</v>
      </c>
      <c r="F79" s="822" t="n">
        <f aca="false">(F41*F60)^2</f>
        <v>8.81913328604562E-006</v>
      </c>
      <c r="G79" s="717" t="s">
        <v>830</v>
      </c>
    </row>
    <row r="80" customFormat="false" ht="15" hidden="false" customHeight="true" outlineLevel="0" collapsed="false">
      <c r="A80" s="729" t="s">
        <v>836</v>
      </c>
      <c r="B80" s="822" t="n">
        <f aca="false">SUM(B74:B78)</f>
        <v>2.09372499786241E-005</v>
      </c>
      <c r="C80" s="822" t="n">
        <f aca="false">SUM(C74:C78)</f>
        <v>2.09372499786241E-005</v>
      </c>
      <c r="D80" s="822" t="n">
        <f aca="false">SUM(D74:D78)</f>
        <v>9.01809042839672E-006</v>
      </c>
      <c r="E80" s="822" t="n">
        <f aca="false">SUM(E74:E78)</f>
        <v>1.51390729693234E-005</v>
      </c>
      <c r="F80" s="822" t="n">
        <f aca="false">SUM(F74:F78)</f>
        <v>2.06601011011569E-005</v>
      </c>
      <c r="G80" s="717" t="s">
        <v>830</v>
      </c>
    </row>
    <row r="81" customFormat="false" ht="15" hidden="false" customHeight="true" outlineLevel="0" collapsed="false">
      <c r="C81" s="729"/>
      <c r="D81" s="729"/>
      <c r="E81" s="729"/>
      <c r="F81" s="729"/>
    </row>
    <row r="82" customFormat="false" ht="15" hidden="false" customHeight="true" outlineLevel="0" collapsed="false">
      <c r="A82" s="707" t="s">
        <v>826</v>
      </c>
      <c r="C82" s="729"/>
      <c r="D82" s="729"/>
      <c r="E82" s="729"/>
      <c r="F82" s="729"/>
    </row>
    <row r="83" customFormat="false" ht="15" hidden="false" customHeight="true" outlineLevel="0" collapsed="false">
      <c r="A83" s="729" t="s">
        <v>837</v>
      </c>
      <c r="B83" s="822" t="n">
        <f aca="false">(B44*B64)^2</f>
        <v>8.54550758713422E-006</v>
      </c>
      <c r="C83" s="822" t="n">
        <f aca="false">(C44*C64)^2</f>
        <v>8.54550758713421E-006</v>
      </c>
      <c r="D83" s="822" t="n">
        <f aca="false">(D44*D64)^2</f>
        <v>3.23087055563015E-006</v>
      </c>
      <c r="E83" s="822" t="n">
        <f aca="false">(E44*E64)^2</f>
        <v>5.99427780433805E-006</v>
      </c>
      <c r="F83" s="822" t="n">
        <f aca="false">(F44*F64)^2</f>
        <v>8.35831658536321E-006</v>
      </c>
      <c r="G83" s="717" t="s">
        <v>830</v>
      </c>
    </row>
    <row r="84" customFormat="false" ht="15" hidden="false" customHeight="true" outlineLevel="0" collapsed="false">
      <c r="A84" s="729" t="s">
        <v>831</v>
      </c>
      <c r="B84" s="822" t="n">
        <f aca="false">(B45*B65)^2</f>
        <v>2.13637689678355E-006</v>
      </c>
      <c r="C84" s="822" t="n">
        <f aca="false">(C45*C65)^2</f>
        <v>2.13637689678355E-006</v>
      </c>
      <c r="D84" s="822" t="n">
        <f aca="false">(D45*D65)^2</f>
        <v>8.07717638907538E-007</v>
      </c>
      <c r="E84" s="822" t="n">
        <f aca="false">(E45*E65)^2</f>
        <v>1.49856945108451E-006</v>
      </c>
      <c r="F84" s="822" t="n">
        <f aca="false">(F45*F65)^2</f>
        <v>2.0895791463408E-006</v>
      </c>
      <c r="G84" s="717" t="s">
        <v>830</v>
      </c>
    </row>
    <row r="85" customFormat="false" ht="15" hidden="false" customHeight="true" outlineLevel="0" collapsed="false">
      <c r="A85" s="729" t="s">
        <v>832</v>
      </c>
      <c r="B85" s="822" t="n">
        <f aca="false">(B46*B66)^2</f>
        <v>7.42138252942205E-009</v>
      </c>
      <c r="C85" s="822" t="n">
        <f aca="false">(C46*C66)^2</f>
        <v>7.42138252942207E-009</v>
      </c>
      <c r="D85" s="822" t="n">
        <f aca="false">(D46*D66)^2</f>
        <v>1.20696303772233E-008</v>
      </c>
      <c r="E85" s="822" t="n">
        <f aca="false">(E46*E66)^2</f>
        <v>8.86105263681112E-009</v>
      </c>
      <c r="F85" s="822" t="n">
        <f aca="false">(F46*F66)^2</f>
        <v>7.50402619164258E-009</v>
      </c>
      <c r="G85" s="717" t="s">
        <v>830</v>
      </c>
    </row>
    <row r="86" customFormat="false" ht="15" hidden="false" customHeight="true" outlineLevel="0" collapsed="false">
      <c r="A86" s="729" t="s">
        <v>833</v>
      </c>
      <c r="B86" s="822" t="n">
        <f aca="false">(B47*B67)^2</f>
        <v>1.21729226938845E-007</v>
      </c>
      <c r="C86" s="822" t="n">
        <f aca="false">(C47*C67)^2</f>
        <v>1.21729226938845E-007</v>
      </c>
      <c r="D86" s="822" t="n">
        <f aca="false">(D47*D67)^2</f>
        <v>1.20696303772233E-008</v>
      </c>
      <c r="E86" s="822" t="n">
        <f aca="false">(E47*E67)^2</f>
        <v>8.15315298727032E-008</v>
      </c>
      <c r="F86" s="822" t="n">
        <f aca="false">(F47*F67)^2</f>
        <v>2.00423521430013E-007</v>
      </c>
      <c r="G86" s="717" t="s">
        <v>830</v>
      </c>
    </row>
    <row r="87" customFormat="false" ht="15" hidden="false" customHeight="true" outlineLevel="0" collapsed="false">
      <c r="A87" s="729" t="s">
        <v>834</v>
      </c>
      <c r="B87" s="822" t="n">
        <f aca="false">(B48*B68)^2</f>
        <v>4.96649970773462E-007</v>
      </c>
      <c r="C87" s="822" t="n">
        <f aca="false">(C48*C68)^2</f>
        <v>4.96649970773463E-007</v>
      </c>
      <c r="D87" s="822" t="n">
        <f aca="false">(D48*D68)^2</f>
        <v>8.07717638907538E-007</v>
      </c>
      <c r="E87" s="822" t="n">
        <f aca="false">(E48*E68)^2</f>
        <v>5.92994838313108E-007</v>
      </c>
      <c r="F87" s="822" t="n">
        <f aca="false">(F48*F68)^2</f>
        <v>5.02180607721998E-007</v>
      </c>
      <c r="G87" s="717" t="s">
        <v>830</v>
      </c>
    </row>
    <row r="88" customFormat="false" ht="15" hidden="false" customHeight="true" outlineLevel="0" collapsed="false">
      <c r="A88" s="729" t="s">
        <v>835</v>
      </c>
      <c r="B88" s="822" t="n">
        <f aca="false">(B49*B69)^2</f>
        <v>4.92190218067941E-006</v>
      </c>
      <c r="C88" s="822" t="n">
        <f aca="false">(C49*C69)^2</f>
        <v>4.92190218067941E-006</v>
      </c>
      <c r="D88" s="822" t="n">
        <f aca="false">(D49*D69)^2</f>
        <v>8.07717638907538E-007</v>
      </c>
      <c r="E88" s="822" t="n">
        <f aca="false">(E49*E69)^2</f>
        <v>2.81655610735589E-006</v>
      </c>
      <c r="F88" s="822" t="n">
        <f aca="false">(F49*F69)^2</f>
        <v>4.76299331761636E-006</v>
      </c>
      <c r="G88" s="717" t="s">
        <v>830</v>
      </c>
    </row>
    <row r="89" customFormat="false" ht="15" hidden="false" customHeight="true" outlineLevel="0" collapsed="false">
      <c r="A89" s="729" t="s">
        <v>838</v>
      </c>
      <c r="B89" s="822" t="n">
        <f aca="false">SUM(B83:B87)</f>
        <v>1.13076850641595E-005</v>
      </c>
      <c r="C89" s="822" t="n">
        <f aca="false">SUM(C83:C87)</f>
        <v>1.13076850641595E-005</v>
      </c>
      <c r="D89" s="822" t="n">
        <f aca="false">SUM(D83:D87)</f>
        <v>4.87044509419968E-006</v>
      </c>
      <c r="E89" s="822" t="n">
        <f aca="false">SUM(E83:E87)</f>
        <v>8.17623467624519E-006</v>
      </c>
      <c r="F89" s="822" t="n">
        <f aca="false">SUM(F83:F87)</f>
        <v>1.11580038870477E-005</v>
      </c>
      <c r="G89" s="717" t="s">
        <v>830</v>
      </c>
    </row>
    <row r="91" customFormat="false" ht="15" hidden="false" customHeight="true" outlineLevel="0" collapsed="false">
      <c r="A91" s="713" t="s">
        <v>839</v>
      </c>
      <c r="C91" s="822" t="str">
        <f aca="false">C18</f>
        <v>Acero</v>
      </c>
      <c r="D91" s="822" t="str">
        <f aca="false">D18</f>
        <v>Carburo de tungsteno</v>
      </c>
      <c r="E91" s="822" t="str">
        <f aca="false">E18</f>
        <v>Carburo de cromo</v>
      </c>
      <c r="F91" s="822" t="str">
        <f aca="false">F18</f>
        <v>Cerámica</v>
      </c>
    </row>
    <row r="92" customFormat="false" ht="15" hidden="false" customHeight="true" outlineLevel="0" collapsed="false">
      <c r="A92" s="813" t="s">
        <v>788</v>
      </c>
      <c r="C92" s="823" t="n">
        <f aca="false">C29</f>
        <v>0</v>
      </c>
      <c r="D92" s="823" t="n">
        <f aca="false">D29</f>
        <v>-0.0690498953326358</v>
      </c>
      <c r="E92" s="823" t="n">
        <f aca="false">E29</f>
        <v>-0.0291303289582318</v>
      </c>
      <c r="F92" s="823" t="n">
        <f aca="false">F29</f>
        <v>-0.0019746172693228</v>
      </c>
      <c r="G92" s="717" t="s">
        <v>771</v>
      </c>
    </row>
    <row r="93" customFormat="false" ht="15" hidden="false" customHeight="true" outlineLevel="0" collapsed="false">
      <c r="A93" s="729" t="s">
        <v>840</v>
      </c>
      <c r="C93" s="822" t="n">
        <f aca="false">C80+C89</f>
        <v>3.22449350427836E-005</v>
      </c>
      <c r="D93" s="822" t="n">
        <f aca="false">D80+D89</f>
        <v>1.38885355225964E-005</v>
      </c>
      <c r="E93" s="822" t="n">
        <f aca="false">E80+E89</f>
        <v>2.33153076455686E-005</v>
      </c>
      <c r="F93" s="822" t="n">
        <f aca="false">F80+F89</f>
        <v>3.18181049882045E-005</v>
      </c>
      <c r="G93" s="717" t="s">
        <v>830</v>
      </c>
    </row>
    <row r="94" customFormat="false" ht="15" hidden="false" customHeight="true" outlineLevel="0" collapsed="false">
      <c r="A94" s="729" t="s">
        <v>841</v>
      </c>
      <c r="C94" s="822" t="n">
        <f aca="false">$B80+$B89</f>
        <v>3.22449350427836E-005</v>
      </c>
      <c r="D94" s="822" t="n">
        <f aca="false">$B80+$B89</f>
        <v>3.22449350427836E-005</v>
      </c>
      <c r="E94" s="822" t="n">
        <f aca="false">$B80+$B89</f>
        <v>3.22449350427836E-005</v>
      </c>
      <c r="F94" s="822" t="n">
        <f aca="false">$B80+$B89</f>
        <v>3.22449350427836E-005</v>
      </c>
      <c r="G94" s="717" t="s">
        <v>830</v>
      </c>
    </row>
    <row r="95" customFormat="false" ht="15" hidden="false" customHeight="true" outlineLevel="0" collapsed="false">
      <c r="A95" s="729" t="s">
        <v>842</v>
      </c>
      <c r="C95" s="822" t="n">
        <f aca="false">C93+C94</f>
        <v>6.44898700855672E-005</v>
      </c>
      <c r="D95" s="822" t="n">
        <f aca="false">D93+D94</f>
        <v>4.613347056538E-005</v>
      </c>
      <c r="E95" s="822" t="n">
        <f aca="false">E93+E94</f>
        <v>5.55602426883522E-005</v>
      </c>
      <c r="F95" s="822" t="n">
        <f aca="false">F93+F94</f>
        <v>6.40630400309881E-005</v>
      </c>
      <c r="G95" s="717" t="s">
        <v>830</v>
      </c>
    </row>
    <row r="97" customFormat="false" ht="15" hidden="false" customHeight="true" outlineLevel="0" collapsed="false">
      <c r="A97" s="713" t="s">
        <v>843</v>
      </c>
    </row>
    <row r="98" customFormat="false" ht="15" hidden="false" customHeight="true" outlineLevel="0" collapsed="false">
      <c r="A98" s="762" t="s">
        <v>788</v>
      </c>
      <c r="B98" s="824" t="n">
        <f aca="false">INDEX(C92:F92,MATCH(B1,C$91:F$91,0))</f>
        <v>0</v>
      </c>
      <c r="C98" s="717" t="s">
        <v>771</v>
      </c>
    </row>
    <row r="99" customFormat="false" ht="15" hidden="false" customHeight="true" outlineLevel="0" collapsed="false">
      <c r="A99" s="709" t="s">
        <v>842</v>
      </c>
      <c r="B99" s="818" t="n">
        <f aca="false">INDEX(C95:F95,MATCH(B1,C$91:F$91,0))</f>
        <v>6.44898700855672E-005</v>
      </c>
      <c r="C99" s="717" t="s">
        <v>830</v>
      </c>
      <c r="D99" s="709" t="s">
        <v>844</v>
      </c>
      <c r="E99" s="763" t="n">
        <f aca="false">SQRT($B$99)*1000</f>
        <v>8.03055851641511</v>
      </c>
      <c r="F99" s="713" t="s">
        <v>726</v>
      </c>
    </row>
    <row r="100" customFormat="false" ht="15" hidden="false" customHeight="true" outlineLevel="0" collapsed="false">
      <c r="C100" s="792"/>
      <c r="D100" s="709" t="s">
        <v>845</v>
      </c>
      <c r="E100" s="763" t="n">
        <f aca="false">2*E99</f>
        <v>16.0611170328302</v>
      </c>
      <c r="F100" s="713" t="s">
        <v>726</v>
      </c>
    </row>
    <row r="102" customFormat="false" ht="15" hidden="false" customHeight="true" outlineLevel="0" collapsed="false">
      <c r="B102" s="825"/>
    </row>
  </sheetData>
  <sheetProtection sheet="true" password="de99" objects="true" scenarios="true"/>
  <mergeCells count="4">
    <mergeCell ref="J25:K25"/>
    <mergeCell ref="L25:N25"/>
    <mergeCell ref="O25:Q25"/>
    <mergeCell ref="I37:L3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O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7.33"/>
    <col collapsed="false" customWidth="true" hidden="false" outlineLevel="0" max="3" min="3" style="1" width="13.5"/>
    <col collapsed="false" customWidth="true" hidden="false" outlineLevel="0" max="4" min="4" style="1" width="16"/>
    <col collapsed="false" customWidth="true" hidden="false" outlineLevel="0" max="5" min="5" style="1" width="14.17"/>
    <col collapsed="false" customWidth="true" hidden="false" outlineLevel="0" max="6" min="6" style="1" width="12.83"/>
    <col collapsed="false" customWidth="true" hidden="false" outlineLevel="0" max="7" min="7" style="1" width="14.17"/>
    <col collapsed="false" customWidth="true" hidden="false" outlineLevel="0" max="13" min="13" style="1" width="13.5"/>
    <col collapsed="false" customWidth="true" hidden="false" outlineLevel="0" max="15" min="14" style="1" width="14.17"/>
  </cols>
  <sheetData>
    <row r="2" customFormat="false" ht="16.5" hidden="false" customHeight="false" outlineLevel="0" collapsed="false">
      <c r="B2" s="826" t="s">
        <v>846</v>
      </c>
      <c r="C2" s="827" t="s">
        <v>847</v>
      </c>
      <c r="D2" s="828" t="s">
        <v>848</v>
      </c>
      <c r="E2" s="828" t="s">
        <v>849</v>
      </c>
      <c r="F2" s="828" t="s">
        <v>850</v>
      </c>
      <c r="G2" s="828" t="s">
        <v>851</v>
      </c>
      <c r="H2" s="828" t="s">
        <v>852</v>
      </c>
      <c r="I2" s="829" t="s">
        <v>853</v>
      </c>
      <c r="J2" s="829" t="s">
        <v>854</v>
      </c>
      <c r="K2" s="829" t="s">
        <v>855</v>
      </c>
      <c r="L2" s="829" t="s">
        <v>856</v>
      </c>
      <c r="M2" s="830" t="s">
        <v>857</v>
      </c>
      <c r="N2" s="830" t="s">
        <v>858</v>
      </c>
      <c r="O2" s="830" t="s">
        <v>859</v>
      </c>
    </row>
    <row r="3" customFormat="false" ht="21" hidden="false" customHeight="false" outlineLevel="0" collapsed="false">
      <c r="B3" s="831" t="s">
        <v>814</v>
      </c>
      <c r="C3" s="831"/>
      <c r="D3" s="831"/>
      <c r="E3" s="831"/>
      <c r="F3" s="831"/>
      <c r="G3" s="831"/>
      <c r="H3" s="831"/>
      <c r="I3" s="831"/>
      <c r="J3" s="831"/>
      <c r="K3" s="831"/>
      <c r="L3" s="831"/>
      <c r="M3" s="831"/>
      <c r="N3" s="831"/>
      <c r="O3" s="831"/>
    </row>
    <row r="4" customFormat="false" ht="28.5" hidden="false" customHeight="false" outlineLevel="0" collapsed="false">
      <c r="B4" s="95" t="s">
        <v>708</v>
      </c>
      <c r="C4" s="832" t="s">
        <v>860</v>
      </c>
      <c r="D4" s="95" t="s">
        <v>861</v>
      </c>
      <c r="E4" s="95" t="s">
        <v>862</v>
      </c>
      <c r="F4" s="95" t="s">
        <v>863</v>
      </c>
      <c r="G4" s="95" t="s">
        <v>864</v>
      </c>
      <c r="H4" s="95" t="s">
        <v>865</v>
      </c>
      <c r="I4" s="833" t="s">
        <v>866</v>
      </c>
      <c r="J4" s="833"/>
      <c r="K4" s="833"/>
      <c r="L4" s="833"/>
      <c r="M4" s="833"/>
      <c r="N4" s="833"/>
      <c r="O4" s="833"/>
    </row>
    <row r="5" customFormat="false" ht="15.75" hidden="false" customHeight="false" outlineLevel="0" collapsed="false">
      <c r="B5" s="833" t="s">
        <v>867</v>
      </c>
      <c r="C5" s="833" t="s">
        <v>867</v>
      </c>
      <c r="D5" s="833" t="s">
        <v>868</v>
      </c>
      <c r="E5" s="833" t="s">
        <v>868</v>
      </c>
      <c r="F5" s="833" t="s">
        <v>869</v>
      </c>
      <c r="G5" s="110" t="s">
        <v>868</v>
      </c>
      <c r="H5" s="110" t="s">
        <v>867</v>
      </c>
      <c r="I5" s="110" t="s">
        <v>45</v>
      </c>
      <c r="J5" s="110" t="s">
        <v>45</v>
      </c>
      <c r="K5" s="110" t="s">
        <v>870</v>
      </c>
      <c r="L5" s="110" t="s">
        <v>870</v>
      </c>
      <c r="M5" s="110" t="s">
        <v>726</v>
      </c>
      <c r="N5" s="110" t="s">
        <v>726</v>
      </c>
      <c r="O5" s="110" t="s">
        <v>726</v>
      </c>
    </row>
    <row r="6" customFormat="false" ht="15.75" hidden="false" customHeight="false" outlineLevel="0" collapsed="false">
      <c r="B6" s="834" t="str">
        <f aca="false">IF(CALIBRACION!$H12="","",1)</f>
        <v/>
      </c>
      <c r="C6" s="835" t="str">
        <f aca="false">IF(CALIBRACION!H12="","",1+(INCERTIDUMBRE!$F$12*CALIBRACION!X12)-(INCERTIDUMBRE!$F$13*CALIBRACION!X12)-(INCERTIDUMBRE!$F$13*CALIBRACION!AA12))</f>
        <v/>
      </c>
      <c r="D6" s="836" t="str">
        <f aca="false">IF(CALIBRACION!H12="","",(CALIBRACION!R12*CALIBRACION!X12)*1000000)</f>
        <v/>
      </c>
      <c r="E6" s="836" t="str">
        <f aca="false">IF(CALIBRACION!H12="","",-(CALIBRACION!X12+CALIBRACION!AA12)*CALIBRACION!R12*1000000)</f>
        <v/>
      </c>
      <c r="F6" s="837" t="str">
        <f aca="false">IF(CALIBRACION!H12="","",-(INCERTIDUMBRE!$G$13*CALIBRACION!R12)*1000000)</f>
        <v/>
      </c>
      <c r="G6" s="838" t="str">
        <f aca="false">IF(CALIBRACION!H12="","",((INCERTIDUMBRE!$F$12)-(INCERTIDUMBRE!$F$13))*CALIBRACION!R12*1000000)</f>
        <v/>
      </c>
      <c r="H6" s="839" t="str">
        <f aca="false">IF(CALIBRACION!$H12="","",1)</f>
        <v/>
      </c>
      <c r="I6" s="840" t="str">
        <f aca="false">IF(CALIBRACION!$H12="","",CALIBRACION!X12)</f>
        <v/>
      </c>
      <c r="J6" s="840" t="str">
        <f aca="false">IF(CALIBRACION!$H12="","",-(CALIBRACION!X12+CALIBRACION!AA12))</f>
        <v/>
      </c>
      <c r="K6" s="840" t="str">
        <f aca="false">IF(CALIBRACION!$H12="","",INCERTIDUMBRE!$F$12-INCERTIDUMBRE!$F$13)</f>
        <v/>
      </c>
      <c r="L6" s="840" t="str">
        <f aca="false">IF(CALIBRACION!$H12="","",-INCERTIDUMBRE!$F$13)</f>
        <v/>
      </c>
      <c r="M6" s="839" t="str">
        <f aca="false">IF(CALIBRACION!$H12="","",CALIBRACION!R12*1000000)</f>
        <v/>
      </c>
      <c r="N6" s="839" t="str">
        <f aca="false">IF(CALIBRACION!$H12="","",-CALIBRACION!R12*1000000)</f>
        <v/>
      </c>
      <c r="O6" s="839" t="str">
        <f aca="false">IF(CALIBRACION!$H12="","",-CALIBRACION!R12*1000000)</f>
        <v/>
      </c>
    </row>
    <row r="7" customFormat="false" ht="15.75" hidden="false" customHeight="false" outlineLevel="0" collapsed="false">
      <c r="B7" s="834" t="str">
        <f aca="false">IF(CALIBRACION!$H13="","",1)</f>
        <v/>
      </c>
      <c r="C7" s="835" t="str">
        <f aca="false">IF(CALIBRACION!H13="","",1+(INCERTIDUMBRE!$F$12*CALIBRACION!X13)-(INCERTIDUMBRE!$F$13*CALIBRACION!X13)-(INCERTIDUMBRE!$F$13*CALIBRACION!AA13))</f>
        <v/>
      </c>
      <c r="D7" s="836" t="str">
        <f aca="false">IF(CALIBRACION!H13="","",(CALIBRACION!R13*CALIBRACION!X13)*1000000)</f>
        <v/>
      </c>
      <c r="E7" s="836" t="str">
        <f aca="false">IF(CALIBRACION!H13="","",-(CALIBRACION!X13+CALIBRACION!AA13)*CALIBRACION!R13*1000000)</f>
        <v/>
      </c>
      <c r="F7" s="837" t="str">
        <f aca="false">IF(CALIBRACION!H13="","",-(INCERTIDUMBRE!$G$13*CALIBRACION!R13)*1000000)</f>
        <v/>
      </c>
      <c r="G7" s="838" t="str">
        <f aca="false">IF(CALIBRACION!H13="","",((INCERTIDUMBRE!$F$12)-(INCERTIDUMBRE!$F$13))*CALIBRACION!R13*1000000)</f>
        <v/>
      </c>
      <c r="H7" s="839" t="str">
        <f aca="false">IF(CALIBRACION!$H13="","",1)</f>
        <v/>
      </c>
      <c r="I7" s="840" t="str">
        <f aca="false">IF(CALIBRACION!$H13="","",CALIBRACION!X13)</f>
        <v/>
      </c>
      <c r="J7" s="840" t="str">
        <f aca="false">IF(CALIBRACION!$H13="","",-(CALIBRACION!X13+CALIBRACION!AA13))</f>
        <v/>
      </c>
      <c r="K7" s="840" t="str">
        <f aca="false">IF(CALIBRACION!$H13="","",INCERTIDUMBRE!$F$12-INCERTIDUMBRE!$F$13)</f>
        <v/>
      </c>
      <c r="L7" s="840" t="str">
        <f aca="false">IF(CALIBRACION!$H13="","",-INCERTIDUMBRE!$F$13)</f>
        <v/>
      </c>
      <c r="M7" s="839" t="str">
        <f aca="false">IF(CALIBRACION!$H13="","",CALIBRACION!R13*1000000)</f>
        <v/>
      </c>
      <c r="N7" s="839" t="str">
        <f aca="false">IF(CALIBRACION!$H13="","",-CALIBRACION!R13*1000000)</f>
        <v/>
      </c>
      <c r="O7" s="839" t="str">
        <f aca="false">IF(CALIBRACION!$H13="","",-CALIBRACION!R13*1000000)</f>
        <v/>
      </c>
    </row>
    <row r="8" customFormat="false" ht="15.75" hidden="false" customHeight="false" outlineLevel="0" collapsed="false">
      <c r="B8" s="834" t="str">
        <f aca="false">IF(CALIBRACION!$H14="","",1)</f>
        <v/>
      </c>
      <c r="C8" s="835" t="str">
        <f aca="false">IF(CALIBRACION!H14="","",1+(INCERTIDUMBRE!$F$12*CALIBRACION!X14)-(INCERTIDUMBRE!$F$13*CALIBRACION!X14)-(INCERTIDUMBRE!$F$13*CALIBRACION!AA14))</f>
        <v/>
      </c>
      <c r="D8" s="836" t="str">
        <f aca="false">IF(CALIBRACION!H14="","",(CALIBRACION!R14*CALIBRACION!X14)*1000000)</f>
        <v/>
      </c>
      <c r="E8" s="836" t="str">
        <f aca="false">IF(CALIBRACION!H14="","",-(CALIBRACION!X14+CALIBRACION!AA14)*CALIBRACION!R14*1000000)</f>
        <v/>
      </c>
      <c r="F8" s="837" t="str">
        <f aca="false">IF(CALIBRACION!H14="","",-(INCERTIDUMBRE!$G$13*CALIBRACION!R14)*1000000)</f>
        <v/>
      </c>
      <c r="G8" s="838" t="str">
        <f aca="false">IF(CALIBRACION!H14="","",((INCERTIDUMBRE!$F$12)-(INCERTIDUMBRE!$F$13))*CALIBRACION!R14*1000000)</f>
        <v/>
      </c>
      <c r="H8" s="839" t="str">
        <f aca="false">IF(CALIBRACION!$H14="","",1)</f>
        <v/>
      </c>
      <c r="I8" s="840" t="str">
        <f aca="false">IF(CALIBRACION!$H14="","",CALIBRACION!X14)</f>
        <v/>
      </c>
      <c r="J8" s="840" t="str">
        <f aca="false">IF(CALIBRACION!$H14="","",-(CALIBRACION!X14+CALIBRACION!AA14))</f>
        <v/>
      </c>
      <c r="K8" s="840" t="str">
        <f aca="false">IF(CALIBRACION!$H14="","",INCERTIDUMBRE!$F$12-INCERTIDUMBRE!$F$13)</f>
        <v/>
      </c>
      <c r="L8" s="840" t="str">
        <f aca="false">IF(CALIBRACION!$H14="","",-INCERTIDUMBRE!$F$13)</f>
        <v/>
      </c>
      <c r="M8" s="839" t="str">
        <f aca="false">IF(CALIBRACION!$H14="","",CALIBRACION!R14*1000000)</f>
        <v/>
      </c>
      <c r="N8" s="839" t="str">
        <f aca="false">IF(CALIBRACION!$H14="","",-CALIBRACION!R14*1000000)</f>
        <v/>
      </c>
      <c r="O8" s="839" t="str">
        <f aca="false">IF(CALIBRACION!$H14="","",-CALIBRACION!R14*1000000)</f>
        <v/>
      </c>
    </row>
    <row r="9" customFormat="false" ht="15.75" hidden="false" customHeight="false" outlineLevel="0" collapsed="false">
      <c r="B9" s="834" t="str">
        <f aca="false">IF(CALIBRACION!$H15="","",1)</f>
        <v/>
      </c>
      <c r="C9" s="835" t="str">
        <f aca="false">IF(CALIBRACION!H15="","",1+(INCERTIDUMBRE!$F$12*CALIBRACION!X15)-(INCERTIDUMBRE!$F$13*CALIBRACION!X15)-(INCERTIDUMBRE!$F$13*CALIBRACION!AA15))</f>
        <v/>
      </c>
      <c r="D9" s="836" t="str">
        <f aca="false">IF(CALIBRACION!H15="","",(CALIBRACION!R15*CALIBRACION!X15)*1000000)</f>
        <v/>
      </c>
      <c r="E9" s="836" t="str">
        <f aca="false">IF(CALIBRACION!H15="","",-(CALIBRACION!X15+CALIBRACION!AA15)*CALIBRACION!R15*1000000)</f>
        <v/>
      </c>
      <c r="F9" s="837" t="str">
        <f aca="false">IF(CALIBRACION!H15="","",-(INCERTIDUMBRE!$G$13*CALIBRACION!R15)*1000000)</f>
        <v/>
      </c>
      <c r="G9" s="838" t="str">
        <f aca="false">IF(CALIBRACION!H15="","",((INCERTIDUMBRE!$F$12)-(INCERTIDUMBRE!$F$13))*CALIBRACION!R15*1000000)</f>
        <v/>
      </c>
      <c r="H9" s="839" t="str">
        <f aca="false">IF(CALIBRACION!$H15="","",1)</f>
        <v/>
      </c>
      <c r="I9" s="840" t="str">
        <f aca="false">IF(CALIBRACION!$H15="","",CALIBRACION!X15)</f>
        <v/>
      </c>
      <c r="J9" s="840" t="str">
        <f aca="false">IF(CALIBRACION!$H15="","",-(CALIBRACION!X15+CALIBRACION!AA15))</f>
        <v/>
      </c>
      <c r="K9" s="840" t="str">
        <f aca="false">IF(CALIBRACION!$H15="","",INCERTIDUMBRE!$F$12-INCERTIDUMBRE!$F$13)</f>
        <v/>
      </c>
      <c r="L9" s="840" t="str">
        <f aca="false">IF(CALIBRACION!$H15="","",-INCERTIDUMBRE!$F$13)</f>
        <v/>
      </c>
      <c r="M9" s="839" t="str">
        <f aca="false">IF(CALIBRACION!$H15="","",CALIBRACION!R15*1000000)</f>
        <v/>
      </c>
      <c r="N9" s="839" t="str">
        <f aca="false">IF(CALIBRACION!$H15="","",-CALIBRACION!R15*1000000)</f>
        <v/>
      </c>
      <c r="O9" s="839" t="str">
        <f aca="false">IF(CALIBRACION!$H15="","",-CALIBRACION!R15*1000000)</f>
        <v/>
      </c>
    </row>
    <row r="10" customFormat="false" ht="15.75" hidden="false" customHeight="false" outlineLevel="0" collapsed="false">
      <c r="B10" s="834" t="str">
        <f aca="false">IF(CALIBRACION!$H16="","",1)</f>
        <v/>
      </c>
      <c r="C10" s="835" t="str">
        <f aca="false">IF(CALIBRACION!H16="","",1+(INCERTIDUMBRE!$F$12*CALIBRACION!X16)-(INCERTIDUMBRE!$F$13*CALIBRACION!X16)-(INCERTIDUMBRE!$F$13*CALIBRACION!AA16))</f>
        <v/>
      </c>
      <c r="D10" s="836" t="str">
        <f aca="false">IF(CALIBRACION!H16="","",(CALIBRACION!R16*CALIBRACION!X16)*1000000)</f>
        <v/>
      </c>
      <c r="E10" s="836" t="str">
        <f aca="false">IF(CALIBRACION!H16="","",-(CALIBRACION!X16+CALIBRACION!AA16)*CALIBRACION!R16*1000000)</f>
        <v/>
      </c>
      <c r="F10" s="837" t="str">
        <f aca="false">IF(CALIBRACION!H16="","",-(INCERTIDUMBRE!$G$13*CALIBRACION!R16)*1000000)</f>
        <v/>
      </c>
      <c r="G10" s="838" t="str">
        <f aca="false">IF(CALIBRACION!H16="","",((INCERTIDUMBRE!$F$12)-(INCERTIDUMBRE!$F$13))*CALIBRACION!R16*1000000)</f>
        <v/>
      </c>
      <c r="H10" s="839" t="str">
        <f aca="false">IF(CALIBRACION!$H16="","",1)</f>
        <v/>
      </c>
      <c r="I10" s="840" t="str">
        <f aca="false">IF(CALIBRACION!$H16="","",CALIBRACION!X16)</f>
        <v/>
      </c>
      <c r="J10" s="840" t="str">
        <f aca="false">IF(CALIBRACION!$H16="","",-(CALIBRACION!X16+CALIBRACION!AA16))</f>
        <v/>
      </c>
      <c r="K10" s="840" t="str">
        <f aca="false">IF(CALIBRACION!$H16="","",INCERTIDUMBRE!$F$12-INCERTIDUMBRE!$F$13)</f>
        <v/>
      </c>
      <c r="L10" s="840" t="str">
        <f aca="false">IF(CALIBRACION!$H16="","",-INCERTIDUMBRE!$F$13)</f>
        <v/>
      </c>
      <c r="M10" s="839" t="str">
        <f aca="false">IF(CALIBRACION!$H16="","",CALIBRACION!R16*1000000)</f>
        <v/>
      </c>
      <c r="N10" s="839" t="str">
        <f aca="false">IF(CALIBRACION!$H16="","",-CALIBRACION!R16*1000000)</f>
        <v/>
      </c>
      <c r="O10" s="839" t="str">
        <f aca="false">IF(CALIBRACION!$H16="","",-CALIBRACION!R16*1000000)</f>
        <v/>
      </c>
    </row>
    <row r="11" customFormat="false" ht="15.75" hidden="false" customHeight="false" outlineLevel="0" collapsed="false">
      <c r="B11" s="834" t="str">
        <f aca="false">IF(CALIBRACION!$H17="","",1)</f>
        <v/>
      </c>
      <c r="C11" s="835" t="str">
        <f aca="false">IF(CALIBRACION!H17="","",1+(INCERTIDUMBRE!$F$12*CALIBRACION!X17)-(INCERTIDUMBRE!$F$13*CALIBRACION!X17)-(INCERTIDUMBRE!$F$13*CALIBRACION!AA17))</f>
        <v/>
      </c>
      <c r="D11" s="836" t="str">
        <f aca="false">IF(CALIBRACION!H17="","",(CALIBRACION!R17*CALIBRACION!X17)*1000000)</f>
        <v/>
      </c>
      <c r="E11" s="836" t="str">
        <f aca="false">IF(CALIBRACION!H17="","",-(CALIBRACION!X17+CALIBRACION!AA17)*CALIBRACION!R17*1000000)</f>
        <v/>
      </c>
      <c r="F11" s="837" t="str">
        <f aca="false">IF(CALIBRACION!H17="","",-(INCERTIDUMBRE!$G$13*CALIBRACION!R17)*1000000)</f>
        <v/>
      </c>
      <c r="G11" s="838" t="str">
        <f aca="false">IF(CALIBRACION!H17="","",((INCERTIDUMBRE!$F$12)-(INCERTIDUMBRE!$F$13))*CALIBRACION!R17*1000000)</f>
        <v/>
      </c>
      <c r="H11" s="839" t="str">
        <f aca="false">IF(CALIBRACION!$H17="","",1)</f>
        <v/>
      </c>
      <c r="I11" s="840" t="str">
        <f aca="false">IF(CALIBRACION!$H17="","",CALIBRACION!X17)</f>
        <v/>
      </c>
      <c r="J11" s="840" t="str">
        <f aca="false">IF(CALIBRACION!$H17="","",-(CALIBRACION!X17+CALIBRACION!AA17))</f>
        <v/>
      </c>
      <c r="K11" s="840" t="str">
        <f aca="false">IF(CALIBRACION!$H17="","",INCERTIDUMBRE!$F$12-INCERTIDUMBRE!$F$13)</f>
        <v/>
      </c>
      <c r="L11" s="840" t="str">
        <f aca="false">IF(CALIBRACION!$H17="","",-INCERTIDUMBRE!$F$13)</f>
        <v/>
      </c>
      <c r="M11" s="839" t="str">
        <f aca="false">IF(CALIBRACION!$H17="","",CALIBRACION!R17*1000000)</f>
        <v/>
      </c>
      <c r="N11" s="839" t="str">
        <f aca="false">IF(CALIBRACION!$H17="","",-CALIBRACION!R17*1000000)</f>
        <v/>
      </c>
      <c r="O11" s="839" t="str">
        <f aca="false">IF(CALIBRACION!$H17="","",-CALIBRACION!R17*1000000)</f>
        <v/>
      </c>
    </row>
    <row r="12" customFormat="false" ht="15.75" hidden="false" customHeight="false" outlineLevel="0" collapsed="false">
      <c r="B12" s="834" t="str">
        <f aca="false">IF(CALIBRACION!$H18="","",1)</f>
        <v/>
      </c>
      <c r="C12" s="835" t="str">
        <f aca="false">IF(CALIBRACION!H18="","",1+(INCERTIDUMBRE!$F$12*CALIBRACION!X18)-(INCERTIDUMBRE!$F$13*CALIBRACION!X18)-(INCERTIDUMBRE!$F$13*CALIBRACION!AA18))</f>
        <v/>
      </c>
      <c r="D12" s="836" t="str">
        <f aca="false">IF(CALIBRACION!H18="","",(CALIBRACION!R18*CALIBRACION!X18)*1000000)</f>
        <v/>
      </c>
      <c r="E12" s="836" t="str">
        <f aca="false">IF(CALIBRACION!H18="","",-(CALIBRACION!X18+CALIBRACION!AA18)*CALIBRACION!R18*1000000)</f>
        <v/>
      </c>
      <c r="F12" s="837" t="str">
        <f aca="false">IF(CALIBRACION!H18="","",-(INCERTIDUMBRE!$G$13*CALIBRACION!R18)*1000000)</f>
        <v/>
      </c>
      <c r="G12" s="838" t="str">
        <f aca="false">IF(CALIBRACION!H18="","",((INCERTIDUMBRE!$F$12)-(INCERTIDUMBRE!$F$13))*CALIBRACION!R18*1000000)</f>
        <v/>
      </c>
      <c r="H12" s="839" t="str">
        <f aca="false">IF(CALIBRACION!$H18="","",1)</f>
        <v/>
      </c>
      <c r="I12" s="840" t="str">
        <f aca="false">IF(CALIBRACION!$H18="","",CALIBRACION!X18)</f>
        <v/>
      </c>
      <c r="J12" s="840" t="str">
        <f aca="false">IF(CALIBRACION!$H18="","",-(CALIBRACION!X18+CALIBRACION!AA18))</f>
        <v/>
      </c>
      <c r="K12" s="840" t="str">
        <f aca="false">IF(CALIBRACION!$H18="","",INCERTIDUMBRE!$F$12-INCERTIDUMBRE!$F$13)</f>
        <v/>
      </c>
      <c r="L12" s="840" t="str">
        <f aca="false">IF(CALIBRACION!$H18="","",-INCERTIDUMBRE!$F$13)</f>
        <v/>
      </c>
      <c r="M12" s="839" t="str">
        <f aca="false">IF(CALIBRACION!$H18="","",CALIBRACION!R18*1000000)</f>
        <v/>
      </c>
      <c r="N12" s="839" t="str">
        <f aca="false">IF(CALIBRACION!$H18="","",-CALIBRACION!R18*1000000)</f>
        <v/>
      </c>
      <c r="O12" s="839" t="str">
        <f aca="false">IF(CALIBRACION!$H18="","",-CALIBRACION!R18*1000000)</f>
        <v/>
      </c>
    </row>
    <row r="13" customFormat="false" ht="15.75" hidden="false" customHeight="false" outlineLevel="0" collapsed="false">
      <c r="B13" s="834" t="str">
        <f aca="false">IF(CALIBRACION!$H19="","",1)</f>
        <v/>
      </c>
      <c r="C13" s="835" t="str">
        <f aca="false">IF(CALIBRACION!H19="","",1+(INCERTIDUMBRE!$F$12*CALIBRACION!X19)-(INCERTIDUMBRE!$F$13*CALIBRACION!X19)-(INCERTIDUMBRE!$F$13*CALIBRACION!AA19))</f>
        <v/>
      </c>
      <c r="D13" s="836" t="str">
        <f aca="false">IF(CALIBRACION!H19="","",(CALIBRACION!R19*CALIBRACION!X19)*1000000)</f>
        <v/>
      </c>
      <c r="E13" s="836" t="str">
        <f aca="false">IF(CALIBRACION!H19="","",-(CALIBRACION!X19+CALIBRACION!AA19)*CALIBRACION!R19*1000000)</f>
        <v/>
      </c>
      <c r="F13" s="837" t="str">
        <f aca="false">IF(CALIBRACION!H19="","",-(INCERTIDUMBRE!$G$13*CALIBRACION!R19)*1000000)</f>
        <v/>
      </c>
      <c r="G13" s="838" t="str">
        <f aca="false">IF(CALIBRACION!H19="","",((INCERTIDUMBRE!$F$12)-(INCERTIDUMBRE!$F$13))*CALIBRACION!R19*1000000)</f>
        <v/>
      </c>
      <c r="H13" s="839" t="str">
        <f aca="false">IF(CALIBRACION!$H19="","",1)</f>
        <v/>
      </c>
      <c r="I13" s="840" t="str">
        <f aca="false">IF(CALIBRACION!$H19="","",CALIBRACION!X19)</f>
        <v/>
      </c>
      <c r="J13" s="840" t="str">
        <f aca="false">IF(CALIBRACION!$H19="","",-(CALIBRACION!X19+CALIBRACION!AA19))</f>
        <v/>
      </c>
      <c r="K13" s="840" t="str">
        <f aca="false">IF(CALIBRACION!$H19="","",INCERTIDUMBRE!$F$12-INCERTIDUMBRE!$F$13)</f>
        <v/>
      </c>
      <c r="L13" s="840" t="str">
        <f aca="false">IF(CALIBRACION!$H19="","",-INCERTIDUMBRE!$F$13)</f>
        <v/>
      </c>
      <c r="M13" s="839" t="str">
        <f aca="false">IF(CALIBRACION!$H19="","",CALIBRACION!R19*1000000)</f>
        <v/>
      </c>
      <c r="N13" s="839" t="str">
        <f aca="false">IF(CALIBRACION!$H19="","",-CALIBRACION!R19*1000000)</f>
        <v/>
      </c>
      <c r="O13" s="839" t="str">
        <f aca="false">IF(CALIBRACION!$H19="","",-CALIBRACION!R19*1000000)</f>
        <v/>
      </c>
    </row>
    <row r="14" customFormat="false" ht="15.75" hidden="false" customHeight="false" outlineLevel="0" collapsed="false">
      <c r="B14" s="834" t="str">
        <f aca="false">IF(CALIBRACION!$H20="","",1)</f>
        <v/>
      </c>
      <c r="C14" s="835" t="str">
        <f aca="false">IF(CALIBRACION!H20="","",1+(INCERTIDUMBRE!$F$12*CALIBRACION!X20)-(INCERTIDUMBRE!$F$13*CALIBRACION!X20)-(INCERTIDUMBRE!$F$13*CALIBRACION!AA20))</f>
        <v/>
      </c>
      <c r="D14" s="836" t="str">
        <f aca="false">IF(CALIBRACION!H20="","",(CALIBRACION!R20*CALIBRACION!X20)*1000000)</f>
        <v/>
      </c>
      <c r="E14" s="836" t="str">
        <f aca="false">IF(CALIBRACION!H20="","",-(CALIBRACION!X20+CALIBRACION!AA20)*CALIBRACION!R20*1000000)</f>
        <v/>
      </c>
      <c r="F14" s="837" t="str">
        <f aca="false">IF(CALIBRACION!H20="","",-(INCERTIDUMBRE!$G$13*CALIBRACION!R20)*1000000)</f>
        <v/>
      </c>
      <c r="G14" s="838" t="str">
        <f aca="false">IF(CALIBRACION!H20="","",((INCERTIDUMBRE!$F$12)-(INCERTIDUMBRE!$F$13))*CALIBRACION!R20*1000000)</f>
        <v/>
      </c>
      <c r="H14" s="839" t="str">
        <f aca="false">IF(CALIBRACION!$H20="","",1)</f>
        <v/>
      </c>
      <c r="I14" s="840" t="str">
        <f aca="false">IF(CALIBRACION!$H20="","",CALIBRACION!X20)</f>
        <v/>
      </c>
      <c r="J14" s="840" t="str">
        <f aca="false">IF(CALIBRACION!$H20="","",-(CALIBRACION!X20+CALIBRACION!AA20))</f>
        <v/>
      </c>
      <c r="K14" s="840" t="str">
        <f aca="false">IF(CALIBRACION!$H20="","",INCERTIDUMBRE!$F$12-INCERTIDUMBRE!$F$13)</f>
        <v/>
      </c>
      <c r="L14" s="840" t="str">
        <f aca="false">IF(CALIBRACION!$H20="","",-INCERTIDUMBRE!$F$13)</f>
        <v/>
      </c>
      <c r="M14" s="839" t="str">
        <f aca="false">IF(CALIBRACION!$H20="","",CALIBRACION!R20*1000000)</f>
        <v/>
      </c>
      <c r="N14" s="839" t="str">
        <f aca="false">IF(CALIBRACION!$H20="","",-CALIBRACION!R20*1000000)</f>
        <v/>
      </c>
      <c r="O14" s="839" t="str">
        <f aca="false">IF(CALIBRACION!$H20="","",-CALIBRACION!R20*1000000)</f>
        <v/>
      </c>
    </row>
    <row r="15" customFormat="false" ht="15.75" hidden="false" customHeight="false" outlineLevel="0" collapsed="false">
      <c r="B15" s="834" t="str">
        <f aca="false">IF(CALIBRACION!$H21="","",1)</f>
        <v/>
      </c>
      <c r="C15" s="835" t="str">
        <f aca="false">IF(CALIBRACION!H21="","",1+(INCERTIDUMBRE!$F$12*CALIBRACION!X21)-(INCERTIDUMBRE!$F$13*CALIBRACION!X21)-(INCERTIDUMBRE!$F$13*CALIBRACION!AA21))</f>
        <v/>
      </c>
      <c r="D15" s="836" t="str">
        <f aca="false">IF(CALIBRACION!H21="","",(CALIBRACION!R21*CALIBRACION!X21)*1000000)</f>
        <v/>
      </c>
      <c r="E15" s="836" t="str">
        <f aca="false">IF(CALIBRACION!H21="","",-(CALIBRACION!X21+CALIBRACION!AA21)*CALIBRACION!R21*1000000)</f>
        <v/>
      </c>
      <c r="F15" s="837" t="str">
        <f aca="false">IF(CALIBRACION!H21="","",-(INCERTIDUMBRE!$G$13*CALIBRACION!R21)*1000000)</f>
        <v/>
      </c>
      <c r="G15" s="838" t="str">
        <f aca="false">IF(CALIBRACION!H21="","",((INCERTIDUMBRE!$F$12)-(INCERTIDUMBRE!$F$13))*CALIBRACION!R21*1000000)</f>
        <v/>
      </c>
      <c r="H15" s="839" t="str">
        <f aca="false">IF(CALIBRACION!$H21="","",1)</f>
        <v/>
      </c>
      <c r="I15" s="840" t="str">
        <f aca="false">IF(CALIBRACION!$H21="","",CALIBRACION!X21)</f>
        <v/>
      </c>
      <c r="J15" s="840" t="str">
        <f aca="false">IF(CALIBRACION!$H21="","",-(CALIBRACION!X21+CALIBRACION!AA21))</f>
        <v/>
      </c>
      <c r="K15" s="840" t="str">
        <f aca="false">IF(CALIBRACION!$H21="","",INCERTIDUMBRE!$F$12-INCERTIDUMBRE!$F$13)</f>
        <v/>
      </c>
      <c r="L15" s="840" t="str">
        <f aca="false">IF(CALIBRACION!$H21="","",-INCERTIDUMBRE!$F$13)</f>
        <v/>
      </c>
      <c r="M15" s="839" t="str">
        <f aca="false">IF(CALIBRACION!$H21="","",CALIBRACION!R21*1000000)</f>
        <v/>
      </c>
      <c r="N15" s="839" t="str">
        <f aca="false">IF(CALIBRACION!$H21="","",-CALIBRACION!R21*1000000)</f>
        <v/>
      </c>
      <c r="O15" s="839" t="str">
        <f aca="false">IF(CALIBRACION!$H21="","",-CALIBRACION!R21*1000000)</f>
        <v/>
      </c>
    </row>
    <row r="16" customFormat="false" ht="15.75" hidden="false" customHeight="false" outlineLevel="0" collapsed="false">
      <c r="B16" s="834" t="str">
        <f aca="false">IF(CALIBRACION!$H22="","",1)</f>
        <v/>
      </c>
      <c r="C16" s="835" t="str">
        <f aca="false">IF(CALIBRACION!H22="","",1+(INCERTIDUMBRE!$F$12*CALIBRACION!X22)-(INCERTIDUMBRE!$F$13*CALIBRACION!X22)-(INCERTIDUMBRE!$F$13*CALIBRACION!AA22))</f>
        <v/>
      </c>
      <c r="D16" s="836" t="str">
        <f aca="false">IF(CALIBRACION!H22="","",(CALIBRACION!R22*CALIBRACION!X22)*1000000)</f>
        <v/>
      </c>
      <c r="E16" s="836" t="str">
        <f aca="false">IF(CALIBRACION!H22="","",-(CALIBRACION!X22+CALIBRACION!AA22)*CALIBRACION!R22*1000000)</f>
        <v/>
      </c>
      <c r="F16" s="837" t="str">
        <f aca="false">IF(CALIBRACION!H22="","",-(INCERTIDUMBRE!$G$13*CALIBRACION!R22)*1000000)</f>
        <v/>
      </c>
      <c r="G16" s="838" t="str">
        <f aca="false">IF(CALIBRACION!H22="","",((INCERTIDUMBRE!$F$12)-(INCERTIDUMBRE!$F$13))*CALIBRACION!R22*1000000)</f>
        <v/>
      </c>
      <c r="H16" s="839" t="str">
        <f aca="false">IF(CALIBRACION!$H22="","",1)</f>
        <v/>
      </c>
      <c r="I16" s="840" t="str">
        <f aca="false">IF(CALIBRACION!$H22="","",CALIBRACION!X22)</f>
        <v/>
      </c>
      <c r="J16" s="840" t="str">
        <f aca="false">IF(CALIBRACION!$H22="","",-(CALIBRACION!X22+CALIBRACION!AA22))</f>
        <v/>
      </c>
      <c r="K16" s="840" t="str">
        <f aca="false">IF(CALIBRACION!$H22="","",INCERTIDUMBRE!$F$12-INCERTIDUMBRE!$F$13)</f>
        <v/>
      </c>
      <c r="L16" s="840" t="str">
        <f aca="false">IF(CALIBRACION!$H22="","",-INCERTIDUMBRE!$F$13)</f>
        <v/>
      </c>
      <c r="M16" s="839" t="str">
        <f aca="false">IF(CALIBRACION!$H22="","",CALIBRACION!R22*1000000)</f>
        <v/>
      </c>
      <c r="N16" s="839" t="str">
        <f aca="false">IF(CALIBRACION!$H22="","",-CALIBRACION!R22*1000000)</f>
        <v/>
      </c>
      <c r="O16" s="839" t="str">
        <f aca="false">IF(CALIBRACION!$H22="","",-CALIBRACION!R22*1000000)</f>
        <v/>
      </c>
    </row>
    <row r="17" customFormat="false" ht="15.75" hidden="false" customHeight="false" outlineLevel="0" collapsed="false">
      <c r="B17" s="834" t="str">
        <f aca="false">IF(CALIBRACION!$H23="","",1)</f>
        <v/>
      </c>
      <c r="C17" s="835" t="str">
        <f aca="false">IF(CALIBRACION!H23="","",1+(INCERTIDUMBRE!$F$12*CALIBRACION!X23)-(INCERTIDUMBRE!$F$13*CALIBRACION!X23)-(INCERTIDUMBRE!$F$13*CALIBRACION!AA23))</f>
        <v/>
      </c>
      <c r="D17" s="836" t="str">
        <f aca="false">IF(CALIBRACION!H23="","",(CALIBRACION!R23*CALIBRACION!X23)*1000000)</f>
        <v/>
      </c>
      <c r="E17" s="836" t="str">
        <f aca="false">IF(CALIBRACION!H23="","",-(CALIBRACION!X23+CALIBRACION!AA23)*CALIBRACION!R23*1000000)</f>
        <v/>
      </c>
      <c r="F17" s="837" t="str">
        <f aca="false">IF(CALIBRACION!H23="","",-(INCERTIDUMBRE!$G$13*CALIBRACION!R23)*1000000)</f>
        <v/>
      </c>
      <c r="G17" s="838" t="str">
        <f aca="false">IF(CALIBRACION!H23="","",((INCERTIDUMBRE!$F$12)-(INCERTIDUMBRE!$F$13))*CALIBRACION!R23*1000000)</f>
        <v/>
      </c>
      <c r="H17" s="839" t="str">
        <f aca="false">IF(CALIBRACION!$H23="","",1)</f>
        <v/>
      </c>
      <c r="I17" s="840" t="str">
        <f aca="false">IF(CALIBRACION!$H23="","",CALIBRACION!X23)</f>
        <v/>
      </c>
      <c r="J17" s="840" t="str">
        <f aca="false">IF(CALIBRACION!$H23="","",-(CALIBRACION!X23+CALIBRACION!AA23))</f>
        <v/>
      </c>
      <c r="K17" s="840" t="str">
        <f aca="false">IF(CALIBRACION!$H23="","",INCERTIDUMBRE!$F$12-INCERTIDUMBRE!$F$13)</f>
        <v/>
      </c>
      <c r="L17" s="840" t="str">
        <f aca="false">IF(CALIBRACION!$H23="","",-INCERTIDUMBRE!$F$13)</f>
        <v/>
      </c>
      <c r="M17" s="839" t="str">
        <f aca="false">IF(CALIBRACION!$H23="","",CALIBRACION!R23*1000000)</f>
        <v/>
      </c>
      <c r="N17" s="839" t="str">
        <f aca="false">IF(CALIBRACION!$H23="","",-CALIBRACION!R23*1000000)</f>
        <v/>
      </c>
      <c r="O17" s="839" t="str">
        <f aca="false">IF(CALIBRACION!$H23="","",-CALIBRACION!R23*1000000)</f>
        <v/>
      </c>
    </row>
    <row r="18" customFormat="false" ht="15.75" hidden="false" customHeight="false" outlineLevel="0" collapsed="false">
      <c r="B18" s="834" t="str">
        <f aca="false">IF(CALIBRACION!$H24="","",1)</f>
        <v/>
      </c>
      <c r="C18" s="835" t="str">
        <f aca="false">IF(CALIBRACION!H24="","",1+(INCERTIDUMBRE!$F$12*CALIBRACION!X24)-(INCERTIDUMBRE!$F$13*CALIBRACION!X24)-(INCERTIDUMBRE!$F$13*CALIBRACION!AA24))</f>
        <v/>
      </c>
      <c r="D18" s="836" t="str">
        <f aca="false">IF(CALIBRACION!H24="","",(CALIBRACION!R24*CALIBRACION!X24)*1000000)</f>
        <v/>
      </c>
      <c r="E18" s="836" t="str">
        <f aca="false">IF(CALIBRACION!H24="","",-(CALIBRACION!X24+CALIBRACION!AA24)*CALIBRACION!R24*1000000)</f>
        <v/>
      </c>
      <c r="F18" s="837" t="str">
        <f aca="false">IF(CALIBRACION!H24="","",-(INCERTIDUMBRE!$G$13*CALIBRACION!R24)*1000000)</f>
        <v/>
      </c>
      <c r="G18" s="838" t="str">
        <f aca="false">IF(CALIBRACION!H24="","",((INCERTIDUMBRE!$F$12)-(INCERTIDUMBRE!$F$13))*CALIBRACION!R24*1000000)</f>
        <v/>
      </c>
      <c r="H18" s="839" t="str">
        <f aca="false">IF(CALIBRACION!$H24="","",1)</f>
        <v/>
      </c>
      <c r="I18" s="840" t="str">
        <f aca="false">IF(CALIBRACION!$H24="","",CALIBRACION!X24)</f>
        <v/>
      </c>
      <c r="J18" s="840" t="str">
        <f aca="false">IF(CALIBRACION!$H24="","",-(CALIBRACION!X24+CALIBRACION!AA24))</f>
        <v/>
      </c>
      <c r="K18" s="840" t="str">
        <f aca="false">IF(CALIBRACION!$H24="","",INCERTIDUMBRE!$F$12-INCERTIDUMBRE!$F$13)</f>
        <v/>
      </c>
      <c r="L18" s="840" t="str">
        <f aca="false">IF(CALIBRACION!$H24="","",-INCERTIDUMBRE!$F$13)</f>
        <v/>
      </c>
      <c r="M18" s="839" t="str">
        <f aca="false">IF(CALIBRACION!$H24="","",CALIBRACION!R24*1000000)</f>
        <v/>
      </c>
      <c r="N18" s="839" t="str">
        <f aca="false">IF(CALIBRACION!$H24="","",-CALIBRACION!R24*1000000)</f>
        <v/>
      </c>
      <c r="O18" s="839" t="str">
        <f aca="false">IF(CALIBRACION!$H24="","",-CALIBRACION!R24*1000000)</f>
        <v/>
      </c>
    </row>
    <row r="19" customFormat="false" ht="15.75" hidden="false" customHeight="false" outlineLevel="0" collapsed="false">
      <c r="B19" s="834" t="str">
        <f aca="false">IF(CALIBRACION!$H25="","",1)</f>
        <v/>
      </c>
      <c r="C19" s="835" t="str">
        <f aca="false">IF(CALIBRACION!H25="","",1+(INCERTIDUMBRE!$F$12*CALIBRACION!X25)-(INCERTIDUMBRE!$F$13*CALIBRACION!X25)-(INCERTIDUMBRE!$F$13*CALIBRACION!AA25))</f>
        <v/>
      </c>
      <c r="D19" s="836" t="str">
        <f aca="false">IF(CALIBRACION!H25="","",(CALIBRACION!R25*CALIBRACION!X25)*1000000)</f>
        <v/>
      </c>
      <c r="E19" s="836" t="str">
        <f aca="false">IF(CALIBRACION!H25="","",-(CALIBRACION!X25+CALIBRACION!AA25)*CALIBRACION!R25*1000000)</f>
        <v/>
      </c>
      <c r="F19" s="837" t="str">
        <f aca="false">IF(CALIBRACION!H25="","",-(INCERTIDUMBRE!$G$13*CALIBRACION!R25)*1000000)</f>
        <v/>
      </c>
      <c r="G19" s="838" t="str">
        <f aca="false">IF(CALIBRACION!H25="","",((INCERTIDUMBRE!$F$12)-(INCERTIDUMBRE!$F$13))*CALIBRACION!R25*1000000)</f>
        <v/>
      </c>
      <c r="H19" s="839" t="str">
        <f aca="false">IF(CALIBRACION!$H25="","",1)</f>
        <v/>
      </c>
      <c r="I19" s="840" t="str">
        <f aca="false">IF(CALIBRACION!$H25="","",CALIBRACION!X25)</f>
        <v/>
      </c>
      <c r="J19" s="840" t="str">
        <f aca="false">IF(CALIBRACION!$H25="","",-(CALIBRACION!X25+CALIBRACION!AA25))</f>
        <v/>
      </c>
      <c r="K19" s="840" t="str">
        <f aca="false">IF(CALIBRACION!$H25="","",INCERTIDUMBRE!$F$12-INCERTIDUMBRE!$F$13)</f>
        <v/>
      </c>
      <c r="L19" s="840" t="str">
        <f aca="false">IF(CALIBRACION!$H25="","",-INCERTIDUMBRE!$F$13)</f>
        <v/>
      </c>
      <c r="M19" s="839" t="str">
        <f aca="false">IF(CALIBRACION!$H25="","",CALIBRACION!R25*1000000)</f>
        <v/>
      </c>
      <c r="N19" s="839" t="str">
        <f aca="false">IF(CALIBRACION!$H25="","",-CALIBRACION!R25*1000000)</f>
        <v/>
      </c>
      <c r="O19" s="839" t="str">
        <f aca="false">IF(CALIBRACION!$H25="","",-CALIBRACION!R25*1000000)</f>
        <v/>
      </c>
    </row>
    <row r="20" customFormat="false" ht="15.75" hidden="false" customHeight="false" outlineLevel="0" collapsed="false">
      <c r="B20" s="834" t="str">
        <f aca="false">IF(CALIBRACION!$H26="","",1)</f>
        <v/>
      </c>
      <c r="C20" s="835" t="str">
        <f aca="false">IF(CALIBRACION!H26="","",1+(INCERTIDUMBRE!$F$12*CALIBRACION!X26)-(INCERTIDUMBRE!$F$13*CALIBRACION!X26)-(INCERTIDUMBRE!$F$13*CALIBRACION!AA26))</f>
        <v/>
      </c>
      <c r="D20" s="836" t="str">
        <f aca="false">IF(CALIBRACION!H26="","",(CALIBRACION!R26*CALIBRACION!X26)*1000000)</f>
        <v/>
      </c>
      <c r="E20" s="836" t="str">
        <f aca="false">IF(CALIBRACION!H26="","",-(CALIBRACION!X26+CALIBRACION!AA26)*CALIBRACION!R26*1000000)</f>
        <v/>
      </c>
      <c r="F20" s="837" t="str">
        <f aca="false">IF(CALIBRACION!H26="","",-(INCERTIDUMBRE!$G$13*CALIBRACION!R26)*1000000)</f>
        <v/>
      </c>
      <c r="G20" s="838" t="str">
        <f aca="false">IF(CALIBRACION!H26="","",((INCERTIDUMBRE!$F$12)-(INCERTIDUMBRE!$F$13))*CALIBRACION!R26*1000000)</f>
        <v/>
      </c>
      <c r="H20" s="839" t="str">
        <f aca="false">IF(CALIBRACION!$H26="","",1)</f>
        <v/>
      </c>
      <c r="I20" s="840" t="str">
        <f aca="false">IF(CALIBRACION!$H26="","",CALIBRACION!X26)</f>
        <v/>
      </c>
      <c r="J20" s="840" t="str">
        <f aca="false">IF(CALIBRACION!$H26="","",-(CALIBRACION!X26+CALIBRACION!AA26))</f>
        <v/>
      </c>
      <c r="K20" s="840" t="str">
        <f aca="false">IF(CALIBRACION!$H26="","",INCERTIDUMBRE!$F$12-INCERTIDUMBRE!$F$13)</f>
        <v/>
      </c>
      <c r="L20" s="840" t="str">
        <f aca="false">IF(CALIBRACION!$H26="","",-INCERTIDUMBRE!$F$13)</f>
        <v/>
      </c>
      <c r="M20" s="839" t="str">
        <f aca="false">IF(CALIBRACION!$H26="","",CALIBRACION!R26*1000000)</f>
        <v/>
      </c>
      <c r="N20" s="839" t="str">
        <f aca="false">IF(CALIBRACION!$H26="","",-CALIBRACION!R26*1000000)</f>
        <v/>
      </c>
      <c r="O20" s="839" t="str">
        <f aca="false">IF(CALIBRACION!$H26="","",-CALIBRACION!R26*1000000)</f>
        <v/>
      </c>
    </row>
    <row r="21" customFormat="false" ht="15.75" hidden="false" customHeight="false" outlineLevel="0" collapsed="false">
      <c r="B21" s="834" t="str">
        <f aca="false">IF(CALIBRACION!$H27="","",1)</f>
        <v/>
      </c>
      <c r="C21" s="835" t="str">
        <f aca="false">IF(CALIBRACION!H27="","",1+(INCERTIDUMBRE!$F$12*CALIBRACION!X27)-(INCERTIDUMBRE!$F$13*CALIBRACION!X27)-(INCERTIDUMBRE!$F$13*CALIBRACION!AA27))</f>
        <v/>
      </c>
      <c r="D21" s="836" t="str">
        <f aca="false">IF(CALIBRACION!H27="","",(CALIBRACION!R27*CALIBRACION!X27)*1000000)</f>
        <v/>
      </c>
      <c r="E21" s="836" t="str">
        <f aca="false">IF(CALIBRACION!H27="","",-(CALIBRACION!X27+CALIBRACION!AA27)*CALIBRACION!R27*1000000)</f>
        <v/>
      </c>
      <c r="F21" s="837" t="str">
        <f aca="false">IF(CALIBRACION!H27="","",-(INCERTIDUMBRE!$G$13*CALIBRACION!R27)*1000000)</f>
        <v/>
      </c>
      <c r="G21" s="838" t="str">
        <f aca="false">IF(CALIBRACION!H27="","",((INCERTIDUMBRE!$F$12)-(INCERTIDUMBRE!$F$13))*CALIBRACION!R27*1000000)</f>
        <v/>
      </c>
      <c r="H21" s="839" t="str">
        <f aca="false">IF(CALIBRACION!$H27="","",1)</f>
        <v/>
      </c>
      <c r="I21" s="840" t="str">
        <f aca="false">IF(CALIBRACION!$H27="","",CALIBRACION!X27)</f>
        <v/>
      </c>
      <c r="J21" s="840" t="str">
        <f aca="false">IF(CALIBRACION!$H27="","",-(CALIBRACION!X27+CALIBRACION!AA27))</f>
        <v/>
      </c>
      <c r="K21" s="840" t="str">
        <f aca="false">IF(CALIBRACION!$H27="","",INCERTIDUMBRE!$F$12-INCERTIDUMBRE!$F$13)</f>
        <v/>
      </c>
      <c r="L21" s="840" t="str">
        <f aca="false">IF(CALIBRACION!$H27="","",-INCERTIDUMBRE!$F$13)</f>
        <v/>
      </c>
      <c r="M21" s="839" t="str">
        <f aca="false">IF(CALIBRACION!$H27="","",CALIBRACION!R27*1000000)</f>
        <v/>
      </c>
      <c r="N21" s="839" t="str">
        <f aca="false">IF(CALIBRACION!$H27="","",-CALIBRACION!R27*1000000)</f>
        <v/>
      </c>
      <c r="O21" s="839" t="str">
        <f aca="false">IF(CALIBRACION!$H27="","",-CALIBRACION!R27*1000000)</f>
        <v/>
      </c>
    </row>
    <row r="22" customFormat="false" ht="15.75" hidden="false" customHeight="false" outlineLevel="0" collapsed="false">
      <c r="B22" s="834" t="str">
        <f aca="false">IF(CALIBRACION!$H28="","",1)</f>
        <v/>
      </c>
      <c r="C22" s="835" t="str">
        <f aca="false">IF(CALIBRACION!H28="","",1+(INCERTIDUMBRE!$F$12*CALIBRACION!X28)-(INCERTIDUMBRE!$F$13*CALIBRACION!X28)-(INCERTIDUMBRE!$F$13*CALIBRACION!AA28))</f>
        <v/>
      </c>
      <c r="D22" s="836" t="str">
        <f aca="false">IF(CALIBRACION!H28="","",(CALIBRACION!R28*CALIBRACION!X28)*1000000)</f>
        <v/>
      </c>
      <c r="E22" s="836" t="str">
        <f aca="false">IF(CALIBRACION!H28="","",-(CALIBRACION!X28+CALIBRACION!AA28)*CALIBRACION!R28*1000000)</f>
        <v/>
      </c>
      <c r="F22" s="837" t="str">
        <f aca="false">IF(CALIBRACION!H28="","",-(INCERTIDUMBRE!$G$13*CALIBRACION!R28)*1000000)</f>
        <v/>
      </c>
      <c r="G22" s="838" t="str">
        <f aca="false">IF(CALIBRACION!H28="","",((INCERTIDUMBRE!$F$12)-(INCERTIDUMBRE!$F$13))*CALIBRACION!R28*1000000)</f>
        <v/>
      </c>
      <c r="H22" s="839" t="str">
        <f aca="false">IF(CALIBRACION!$H28="","",1)</f>
        <v/>
      </c>
      <c r="I22" s="840" t="str">
        <f aca="false">IF(CALIBRACION!$H28="","",CALIBRACION!X28)</f>
        <v/>
      </c>
      <c r="J22" s="840" t="str">
        <f aca="false">IF(CALIBRACION!$H28="","",-(CALIBRACION!X28+CALIBRACION!AA28))</f>
        <v/>
      </c>
      <c r="K22" s="840" t="str">
        <f aca="false">IF(CALIBRACION!$H28="","",INCERTIDUMBRE!$F$12-INCERTIDUMBRE!$F$13)</f>
        <v/>
      </c>
      <c r="L22" s="840" t="str">
        <f aca="false">IF(CALIBRACION!$H28="","",-INCERTIDUMBRE!$F$13)</f>
        <v/>
      </c>
      <c r="M22" s="839" t="str">
        <f aca="false">IF(CALIBRACION!$H28="","",CALIBRACION!R28*1000000)</f>
        <v/>
      </c>
      <c r="N22" s="839" t="str">
        <f aca="false">IF(CALIBRACION!$H28="","",-CALIBRACION!R28*1000000)</f>
        <v/>
      </c>
      <c r="O22" s="839" t="str">
        <f aca="false">IF(CALIBRACION!$H28="","",-CALIBRACION!R28*1000000)</f>
        <v/>
      </c>
    </row>
    <row r="23" customFormat="false" ht="15.75" hidden="false" customHeight="false" outlineLevel="0" collapsed="false">
      <c r="B23" s="834" t="str">
        <f aca="false">IF(CALIBRACION!$H29="","",1)</f>
        <v/>
      </c>
      <c r="C23" s="835" t="str">
        <f aca="false">IF(CALIBRACION!H29="","",1+(INCERTIDUMBRE!$F$12*CALIBRACION!X29)-(INCERTIDUMBRE!$F$13*CALIBRACION!X29)-(INCERTIDUMBRE!$F$13*CALIBRACION!AA29))</f>
        <v/>
      </c>
      <c r="D23" s="836" t="str">
        <f aca="false">IF(CALIBRACION!H29="","",(CALIBRACION!R29*CALIBRACION!X29)*1000000)</f>
        <v/>
      </c>
      <c r="E23" s="836" t="str">
        <f aca="false">IF(CALIBRACION!H29="","",-(CALIBRACION!X29+CALIBRACION!AA29)*CALIBRACION!R29*1000000)</f>
        <v/>
      </c>
      <c r="F23" s="837" t="str">
        <f aca="false">IF(CALIBRACION!H29="","",-(INCERTIDUMBRE!$G$13*CALIBRACION!R29)*1000000)</f>
        <v/>
      </c>
      <c r="G23" s="838" t="str">
        <f aca="false">IF(CALIBRACION!H29="","",((INCERTIDUMBRE!$F$12)-(INCERTIDUMBRE!$F$13))*CALIBRACION!R29*1000000)</f>
        <v/>
      </c>
      <c r="H23" s="839" t="str">
        <f aca="false">IF(CALIBRACION!$H29="","",1)</f>
        <v/>
      </c>
      <c r="I23" s="840" t="str">
        <f aca="false">IF(CALIBRACION!$H29="","",CALIBRACION!X29)</f>
        <v/>
      </c>
      <c r="J23" s="840" t="str">
        <f aca="false">IF(CALIBRACION!$H29="","",-(CALIBRACION!X29+CALIBRACION!AA29))</f>
        <v/>
      </c>
      <c r="K23" s="840" t="str">
        <f aca="false">IF(CALIBRACION!$H29="","",INCERTIDUMBRE!$F$12-INCERTIDUMBRE!$F$13)</f>
        <v/>
      </c>
      <c r="L23" s="840" t="str">
        <f aca="false">IF(CALIBRACION!$H29="","",-INCERTIDUMBRE!$F$13)</f>
        <v/>
      </c>
      <c r="M23" s="839" t="str">
        <f aca="false">IF(CALIBRACION!$H29="","",CALIBRACION!R29*1000000)</f>
        <v/>
      </c>
      <c r="N23" s="839" t="str">
        <f aca="false">IF(CALIBRACION!$H29="","",-CALIBRACION!R29*1000000)</f>
        <v/>
      </c>
      <c r="O23" s="839" t="str">
        <f aca="false">IF(CALIBRACION!$H29="","",-CALIBRACION!R29*1000000)</f>
        <v/>
      </c>
    </row>
    <row r="24" customFormat="false" ht="15.75" hidden="false" customHeight="false" outlineLevel="0" collapsed="false">
      <c r="B24" s="834" t="str">
        <f aca="false">IF(CALIBRACION!$H30="","",1)</f>
        <v/>
      </c>
      <c r="C24" s="835" t="str">
        <f aca="false">IF(CALIBRACION!H30="","",1+(INCERTIDUMBRE!$F$12*CALIBRACION!X30)-(INCERTIDUMBRE!$F$13*CALIBRACION!X30)-(INCERTIDUMBRE!$F$13*CALIBRACION!AA30))</f>
        <v/>
      </c>
      <c r="D24" s="836" t="str">
        <f aca="false">IF(CALIBRACION!H30="","",(CALIBRACION!R30*CALIBRACION!X30)*1000000)</f>
        <v/>
      </c>
      <c r="E24" s="836" t="str">
        <f aca="false">IF(CALIBRACION!H30="","",-(CALIBRACION!X30+CALIBRACION!AA30)*CALIBRACION!R30*1000000)</f>
        <v/>
      </c>
      <c r="F24" s="837" t="str">
        <f aca="false">IF(CALIBRACION!H30="","",-(INCERTIDUMBRE!$G$13*CALIBRACION!R30)*1000000)</f>
        <v/>
      </c>
      <c r="G24" s="838" t="str">
        <f aca="false">IF(CALIBRACION!H30="","",((INCERTIDUMBRE!$F$12)-(INCERTIDUMBRE!$F$13))*CALIBRACION!R30*1000000)</f>
        <v/>
      </c>
      <c r="H24" s="839" t="str">
        <f aca="false">IF(CALIBRACION!$H30="","",1)</f>
        <v/>
      </c>
      <c r="I24" s="840" t="str">
        <f aca="false">IF(CALIBRACION!$H30="","",CALIBRACION!X30)</f>
        <v/>
      </c>
      <c r="J24" s="840" t="str">
        <f aca="false">IF(CALIBRACION!$H30="","",-(CALIBRACION!X30+CALIBRACION!AA30))</f>
        <v/>
      </c>
      <c r="K24" s="840" t="str">
        <f aca="false">IF(CALIBRACION!$H30="","",INCERTIDUMBRE!$F$12-INCERTIDUMBRE!$F$13)</f>
        <v/>
      </c>
      <c r="L24" s="840" t="str">
        <f aca="false">IF(CALIBRACION!$H30="","",-INCERTIDUMBRE!$F$13)</f>
        <v/>
      </c>
      <c r="M24" s="839" t="str">
        <f aca="false">IF(CALIBRACION!$H30="","",CALIBRACION!R30*1000000)</f>
        <v/>
      </c>
      <c r="N24" s="839" t="str">
        <f aca="false">IF(CALIBRACION!$H30="","",-CALIBRACION!R30*1000000)</f>
        <v/>
      </c>
      <c r="O24" s="839" t="str">
        <f aca="false">IF(CALIBRACION!$H30="","",-CALIBRACION!R30*1000000)</f>
        <v/>
      </c>
    </row>
    <row r="25" customFormat="false" ht="15.75" hidden="false" customHeight="false" outlineLevel="0" collapsed="false">
      <c r="B25" s="834" t="str">
        <f aca="false">IF(CALIBRACION!$H31="","",1)</f>
        <v/>
      </c>
      <c r="C25" s="835" t="str">
        <f aca="false">IF(CALIBRACION!H31="","",1+(INCERTIDUMBRE!$F$12*CALIBRACION!X31)-(INCERTIDUMBRE!$F$13*CALIBRACION!X31)-(INCERTIDUMBRE!$F$13*CALIBRACION!AA31))</f>
        <v/>
      </c>
      <c r="D25" s="836" t="str">
        <f aca="false">IF(CALIBRACION!H31="","",(CALIBRACION!R31*CALIBRACION!X31)*1000000)</f>
        <v/>
      </c>
      <c r="E25" s="836" t="str">
        <f aca="false">IF(CALIBRACION!H31="","",-(CALIBRACION!X31+CALIBRACION!AA31)*CALIBRACION!R31*1000000)</f>
        <v/>
      </c>
      <c r="F25" s="837" t="str">
        <f aca="false">IF(CALIBRACION!H31="","",-(INCERTIDUMBRE!$G$13*CALIBRACION!R31)*1000000)</f>
        <v/>
      </c>
      <c r="G25" s="838" t="str">
        <f aca="false">IF(CALIBRACION!H31="","",((INCERTIDUMBRE!$F$12)-(INCERTIDUMBRE!$F$13))*CALIBRACION!R31*1000000)</f>
        <v/>
      </c>
      <c r="H25" s="839" t="str">
        <f aca="false">IF(CALIBRACION!$H31="","",1)</f>
        <v/>
      </c>
      <c r="I25" s="840" t="str">
        <f aca="false">IF(CALIBRACION!$H31="","",CALIBRACION!X31)</f>
        <v/>
      </c>
      <c r="J25" s="840" t="str">
        <f aca="false">IF(CALIBRACION!$H31="","",-(CALIBRACION!X31+CALIBRACION!AA31))</f>
        <v/>
      </c>
      <c r="K25" s="840" t="str">
        <f aca="false">IF(CALIBRACION!$H31="","",INCERTIDUMBRE!$F$12-INCERTIDUMBRE!$F$13)</f>
        <v/>
      </c>
      <c r="L25" s="840" t="str">
        <f aca="false">IF(CALIBRACION!$H31="","",-INCERTIDUMBRE!$F$13)</f>
        <v/>
      </c>
      <c r="M25" s="839" t="str">
        <f aca="false">IF(CALIBRACION!$H31="","",CALIBRACION!R31*1000000)</f>
        <v/>
      </c>
      <c r="N25" s="839" t="str">
        <f aca="false">IF(CALIBRACION!$H31="","",-CALIBRACION!R31*1000000)</f>
        <v/>
      </c>
      <c r="O25" s="839" t="str">
        <f aca="false">IF(CALIBRACION!$H31="","",-CALIBRACION!R31*1000000)</f>
        <v/>
      </c>
    </row>
    <row r="26" customFormat="false" ht="15.75" hidden="false" customHeight="false" outlineLevel="0" collapsed="false">
      <c r="B26" s="834" t="str">
        <f aca="false">IF(CALIBRACION!$H32="","",1)</f>
        <v/>
      </c>
      <c r="C26" s="835" t="str">
        <f aca="false">IF(CALIBRACION!H32="","",1+(INCERTIDUMBRE!$F$12*CALIBRACION!X32)-(INCERTIDUMBRE!$F$13*CALIBRACION!X32)-(INCERTIDUMBRE!$F$13*CALIBRACION!AA32))</f>
        <v/>
      </c>
      <c r="D26" s="836" t="str">
        <f aca="false">IF(CALIBRACION!H32="","",(CALIBRACION!R32*CALIBRACION!X32)*1000000)</f>
        <v/>
      </c>
      <c r="E26" s="836" t="str">
        <f aca="false">IF(CALIBRACION!H32="","",-(CALIBRACION!X32+CALIBRACION!AA32)*CALIBRACION!R32*1000000)</f>
        <v/>
      </c>
      <c r="F26" s="837" t="str">
        <f aca="false">IF(CALIBRACION!H32="","",-(INCERTIDUMBRE!$G$13*CALIBRACION!R32)*1000000)</f>
        <v/>
      </c>
      <c r="G26" s="838" t="str">
        <f aca="false">IF(CALIBRACION!H32="","",((INCERTIDUMBRE!$F$12)-(INCERTIDUMBRE!$F$13))*CALIBRACION!R32*1000000)</f>
        <v/>
      </c>
      <c r="H26" s="839" t="str">
        <f aca="false">IF(CALIBRACION!$H32="","",1)</f>
        <v/>
      </c>
      <c r="I26" s="840" t="str">
        <f aca="false">IF(CALIBRACION!$H32="","",CALIBRACION!X32)</f>
        <v/>
      </c>
      <c r="J26" s="840" t="str">
        <f aca="false">IF(CALIBRACION!$H32="","",-(CALIBRACION!X32+CALIBRACION!AA32))</f>
        <v/>
      </c>
      <c r="K26" s="840" t="str">
        <f aca="false">IF(CALIBRACION!$H32="","",INCERTIDUMBRE!$F$12-INCERTIDUMBRE!$F$13)</f>
        <v/>
      </c>
      <c r="L26" s="840" t="str">
        <f aca="false">IF(CALIBRACION!$H32="","",-INCERTIDUMBRE!$F$13)</f>
        <v/>
      </c>
      <c r="M26" s="839" t="str">
        <f aca="false">IF(CALIBRACION!$H32="","",CALIBRACION!R32*1000000)</f>
        <v/>
      </c>
      <c r="N26" s="839" t="str">
        <f aca="false">IF(CALIBRACION!$H32="","",-CALIBRACION!R32*1000000)</f>
        <v/>
      </c>
      <c r="O26" s="839" t="str">
        <f aca="false">IF(CALIBRACION!$H32="","",-CALIBRACION!R32*1000000)</f>
        <v/>
      </c>
    </row>
    <row r="27" customFormat="false" ht="15.75" hidden="false" customHeight="false" outlineLevel="0" collapsed="false">
      <c r="B27" s="834" t="str">
        <f aca="false">IF(CALIBRACION!$H33="","",1)</f>
        <v/>
      </c>
      <c r="C27" s="835" t="str">
        <f aca="false">IF(CALIBRACION!H33="","",1+(INCERTIDUMBRE!$F$12*CALIBRACION!X33)-(INCERTIDUMBRE!$F$13*CALIBRACION!X33)-(INCERTIDUMBRE!$F$13*CALIBRACION!AA33))</f>
        <v/>
      </c>
      <c r="D27" s="836" t="str">
        <f aca="false">IF(CALIBRACION!H33="","",(CALIBRACION!R33*CALIBRACION!X33)*1000000)</f>
        <v/>
      </c>
      <c r="E27" s="836" t="str">
        <f aca="false">IF(CALIBRACION!H33="","",-(CALIBRACION!X33+CALIBRACION!AA33)*CALIBRACION!R33*1000000)</f>
        <v/>
      </c>
      <c r="F27" s="837" t="str">
        <f aca="false">IF(CALIBRACION!H33="","",-(INCERTIDUMBRE!$G$13*CALIBRACION!R33)*1000000)</f>
        <v/>
      </c>
      <c r="G27" s="838" t="str">
        <f aca="false">IF(CALIBRACION!H33="","",((INCERTIDUMBRE!$F$12)-(INCERTIDUMBRE!$F$13))*CALIBRACION!R33*1000000)</f>
        <v/>
      </c>
      <c r="H27" s="839" t="str">
        <f aca="false">IF(CALIBRACION!$H33="","",1)</f>
        <v/>
      </c>
      <c r="I27" s="840" t="str">
        <f aca="false">IF(CALIBRACION!$H33="","",CALIBRACION!X33)</f>
        <v/>
      </c>
      <c r="J27" s="840" t="str">
        <f aca="false">IF(CALIBRACION!$H33="","",-(CALIBRACION!X33+CALIBRACION!AA33))</f>
        <v/>
      </c>
      <c r="K27" s="840" t="str">
        <f aca="false">IF(CALIBRACION!$H33="","",INCERTIDUMBRE!$F$12-INCERTIDUMBRE!$F$13)</f>
        <v/>
      </c>
      <c r="L27" s="840" t="str">
        <f aca="false">IF(CALIBRACION!$H33="","",-INCERTIDUMBRE!$F$13)</f>
        <v/>
      </c>
      <c r="M27" s="839" t="str">
        <f aca="false">IF(CALIBRACION!$H33="","",CALIBRACION!R33*1000000)</f>
        <v/>
      </c>
      <c r="N27" s="839" t="str">
        <f aca="false">IF(CALIBRACION!$H33="","",-CALIBRACION!R33*1000000)</f>
        <v/>
      </c>
      <c r="O27" s="839" t="str">
        <f aca="false">IF(CALIBRACION!$H33="","",-CALIBRACION!R33*1000000)</f>
        <v/>
      </c>
    </row>
    <row r="28" customFormat="false" ht="15.75" hidden="false" customHeight="false" outlineLevel="0" collapsed="false">
      <c r="B28" s="834" t="str">
        <f aca="false">IF(CALIBRACION!$H34="","",1)</f>
        <v/>
      </c>
      <c r="C28" s="835" t="str">
        <f aca="false">IF(CALIBRACION!H34="","",1+(INCERTIDUMBRE!$F$12*CALIBRACION!X34)-(INCERTIDUMBRE!$F$13*CALIBRACION!X34)-(INCERTIDUMBRE!$F$13*CALIBRACION!AA34))</f>
        <v/>
      </c>
      <c r="D28" s="836" t="str">
        <f aca="false">IF(CALIBRACION!H34="","",(CALIBRACION!R34*CALIBRACION!X34)*1000000)</f>
        <v/>
      </c>
      <c r="E28" s="836" t="str">
        <f aca="false">IF(CALIBRACION!H34="","",-(CALIBRACION!X34+CALIBRACION!AA34)*CALIBRACION!R34*1000000)</f>
        <v/>
      </c>
      <c r="F28" s="837" t="str">
        <f aca="false">IF(CALIBRACION!H34="","",-(INCERTIDUMBRE!$G$13*CALIBRACION!R34)*1000000)</f>
        <v/>
      </c>
      <c r="G28" s="838" t="str">
        <f aca="false">IF(CALIBRACION!H34="","",((INCERTIDUMBRE!$F$12)-(INCERTIDUMBRE!$F$13))*CALIBRACION!R34*1000000)</f>
        <v/>
      </c>
      <c r="H28" s="839" t="str">
        <f aca="false">IF(CALIBRACION!$H34="","",1)</f>
        <v/>
      </c>
      <c r="I28" s="840" t="str">
        <f aca="false">IF(CALIBRACION!$H34="","",CALIBRACION!X34)</f>
        <v/>
      </c>
      <c r="J28" s="840" t="str">
        <f aca="false">IF(CALIBRACION!$H34="","",-(CALIBRACION!X34+CALIBRACION!AA34))</f>
        <v/>
      </c>
      <c r="K28" s="840" t="str">
        <f aca="false">IF(CALIBRACION!$H34="","",INCERTIDUMBRE!$F$12-INCERTIDUMBRE!$F$13)</f>
        <v/>
      </c>
      <c r="L28" s="840" t="str">
        <f aca="false">IF(CALIBRACION!$H34="","",-INCERTIDUMBRE!$F$13)</f>
        <v/>
      </c>
      <c r="M28" s="839" t="str">
        <f aca="false">IF(CALIBRACION!$H34="","",CALIBRACION!R34*1000000)</f>
        <v/>
      </c>
      <c r="N28" s="839" t="str">
        <f aca="false">IF(CALIBRACION!$H34="","",-CALIBRACION!R34*1000000)</f>
        <v/>
      </c>
      <c r="O28" s="839" t="str">
        <f aca="false">IF(CALIBRACION!$H34="","",-CALIBRACION!R34*1000000)</f>
        <v/>
      </c>
    </row>
    <row r="29" customFormat="false" ht="15.75" hidden="false" customHeight="false" outlineLevel="0" collapsed="false">
      <c r="B29" s="834" t="str">
        <f aca="false">IF(CALIBRACION!$H35="","",1)</f>
        <v/>
      </c>
      <c r="C29" s="835" t="str">
        <f aca="false">IF(CALIBRACION!H35="","",1+(INCERTIDUMBRE!$F$12*CALIBRACION!X35)-(INCERTIDUMBRE!$F$13*CALIBRACION!X35)-(INCERTIDUMBRE!$F$13*CALIBRACION!AA35))</f>
        <v/>
      </c>
      <c r="D29" s="836" t="str">
        <f aca="false">IF(CALIBRACION!H35="","",(CALIBRACION!X35*CALIBRACION!R35)*1000000)</f>
        <v/>
      </c>
      <c r="E29" s="836" t="str">
        <f aca="false">IF(CALIBRACION!H35="","",-(CALIBRACION!X35+CALIBRACION!AA35)*CALIBRACION!R35*1000000)</f>
        <v/>
      </c>
      <c r="F29" s="837" t="str">
        <f aca="false">IF(CALIBRACION!H35="","",-(INCERTIDUMBRE!$G$13*CALIBRACION!R35)*1000000)</f>
        <v/>
      </c>
      <c r="G29" s="838" t="str">
        <f aca="false">IF(CALIBRACION!H35="","",((INCERTIDUMBRE!$F$12)-(INCERTIDUMBRE!$F$13))*CALIBRACION!R35*1000000)</f>
        <v/>
      </c>
      <c r="H29" s="839" t="str">
        <f aca="false">IF(CALIBRACION!$H35="","",1)</f>
        <v/>
      </c>
      <c r="I29" s="840" t="str">
        <f aca="false">IF(CALIBRACION!$H35="","",CALIBRACION!X35)</f>
        <v/>
      </c>
      <c r="J29" s="840" t="str">
        <f aca="false">IF(CALIBRACION!$H35="","",-(CALIBRACION!X35+CALIBRACION!AA35))</f>
        <v/>
      </c>
      <c r="K29" s="840" t="str">
        <f aca="false">IF(CALIBRACION!$H35="","",INCERTIDUMBRE!$F$12-INCERTIDUMBRE!$F$13)</f>
        <v/>
      </c>
      <c r="L29" s="840" t="str">
        <f aca="false">IF(CALIBRACION!$H35="","",-INCERTIDUMBRE!$F$13)</f>
        <v/>
      </c>
      <c r="M29" s="839" t="str">
        <f aca="false">IF(CALIBRACION!$H35="","",CALIBRACION!R35*1000000)</f>
        <v/>
      </c>
      <c r="N29" s="839" t="str">
        <f aca="false">IF(CALIBRACION!$H35="","",-CALIBRACION!R35*1000000)</f>
        <v/>
      </c>
      <c r="O29" s="839" t="str">
        <f aca="false">IF(CALIBRACION!$H35="","",-CALIBRACION!R35*1000000)</f>
        <v/>
      </c>
    </row>
    <row r="30" customFormat="false" ht="15.75" hidden="false" customHeight="false" outlineLevel="0" collapsed="false">
      <c r="B30" s="834" t="str">
        <f aca="false">IF(CALIBRACION!$H36="","",1)</f>
        <v/>
      </c>
      <c r="C30" s="835" t="str">
        <f aca="false">IF(CALIBRACION!H36="","",1+(INCERTIDUMBRE!$F$12*CALIBRACION!X36)-(INCERTIDUMBRE!$F$13*CALIBRACION!X36)-(INCERTIDUMBRE!$F$13*CALIBRACION!AA36))</f>
        <v/>
      </c>
      <c r="D30" s="836" t="str">
        <f aca="false">IF(CALIBRACION!H36="","",(CALIBRACION!X36*CALIBRACION!R36)*1000000)</f>
        <v/>
      </c>
      <c r="E30" s="836" t="str">
        <f aca="false">IF(CALIBRACION!H36="","",-(CALIBRACION!X36+CALIBRACION!AA36)*CALIBRACION!R36*1000000)</f>
        <v/>
      </c>
      <c r="F30" s="837" t="str">
        <f aca="false">IF(CALIBRACION!H36="","",-(INCERTIDUMBRE!$G$13*CALIBRACION!R36)*1000000)</f>
        <v/>
      </c>
      <c r="G30" s="838" t="str">
        <f aca="false">IF(CALIBRACION!H36="","",((INCERTIDUMBRE!$F$12)-(INCERTIDUMBRE!$F$13))*CALIBRACION!R36*1000000)</f>
        <v/>
      </c>
      <c r="H30" s="839" t="str">
        <f aca="false">IF(CALIBRACION!$H36="","",1)</f>
        <v/>
      </c>
      <c r="I30" s="840" t="str">
        <f aca="false">IF(CALIBRACION!$H36="","",CALIBRACION!X36)</f>
        <v/>
      </c>
      <c r="J30" s="840" t="str">
        <f aca="false">IF(CALIBRACION!$H36="","",-(CALIBRACION!X36+CALIBRACION!AA36))</f>
        <v/>
      </c>
      <c r="K30" s="840" t="str">
        <f aca="false">IF(CALIBRACION!$H36="","",INCERTIDUMBRE!$F$12-INCERTIDUMBRE!$F$13)</f>
        <v/>
      </c>
      <c r="L30" s="840" t="str">
        <f aca="false">IF(CALIBRACION!$H36="","",-INCERTIDUMBRE!$F$13)</f>
        <v/>
      </c>
      <c r="M30" s="839" t="str">
        <f aca="false">IF(CALIBRACION!$H36="","",CALIBRACION!R36*1000000)</f>
        <v/>
      </c>
      <c r="N30" s="839" t="str">
        <f aca="false">IF(CALIBRACION!$H36="","",-CALIBRACION!R36*1000000)</f>
        <v/>
      </c>
      <c r="O30" s="839" t="str">
        <f aca="false">IF(CALIBRACION!$H36="","",-CALIBRACION!R36*1000000)</f>
        <v/>
      </c>
    </row>
    <row r="31" customFormat="false" ht="15.75" hidden="false" customHeight="false" outlineLevel="0" collapsed="false">
      <c r="B31" s="834" t="str">
        <f aca="false">IF(CALIBRACION!$H37="","",1)</f>
        <v/>
      </c>
      <c r="C31" s="835" t="str">
        <f aca="false">IF(CALIBRACION!H37="","",1+(INCERTIDUMBRE!$F$12*CALIBRACION!X37)-(INCERTIDUMBRE!$F$13*CALIBRACION!X37)-(INCERTIDUMBRE!$F$13*CALIBRACION!AA37))</f>
        <v/>
      </c>
      <c r="D31" s="836" t="str">
        <f aca="false">IF(CALIBRACION!H37="","",(CALIBRACION!X37*CALIBRACION!R37)*1000000)</f>
        <v/>
      </c>
      <c r="E31" s="836" t="str">
        <f aca="false">IF(CALIBRACION!H37="","",-(CALIBRACION!X37+CALIBRACION!AA37)*CALIBRACION!R37*1000000)</f>
        <v/>
      </c>
      <c r="F31" s="837" t="str">
        <f aca="false">IF(CALIBRACION!H37="","",-(INCERTIDUMBRE!$G$13*CALIBRACION!R37)*1000000)</f>
        <v/>
      </c>
      <c r="G31" s="838" t="str">
        <f aca="false">IF(CALIBRACION!H37="","",((INCERTIDUMBRE!$F$12)-(INCERTIDUMBRE!$F$13))*CALIBRACION!R37*1000000)</f>
        <v/>
      </c>
      <c r="H31" s="839" t="str">
        <f aca="false">IF(CALIBRACION!$H37="","",1)</f>
        <v/>
      </c>
      <c r="I31" s="840" t="str">
        <f aca="false">IF(CALIBRACION!$H37="","",CALIBRACION!X37)</f>
        <v/>
      </c>
      <c r="J31" s="840" t="str">
        <f aca="false">IF(CALIBRACION!$H37="","",-(CALIBRACION!X37+CALIBRACION!AA37))</f>
        <v/>
      </c>
      <c r="K31" s="840" t="str">
        <f aca="false">IF(CALIBRACION!$H37="","",INCERTIDUMBRE!$F$12-INCERTIDUMBRE!$F$13)</f>
        <v/>
      </c>
      <c r="L31" s="840" t="str">
        <f aca="false">IF(CALIBRACION!$H37="","",-INCERTIDUMBRE!$F$13)</f>
        <v/>
      </c>
      <c r="M31" s="839" t="str">
        <f aca="false">IF(CALIBRACION!$H37="","",CALIBRACION!R37*1000000)</f>
        <v/>
      </c>
      <c r="N31" s="839" t="str">
        <f aca="false">IF(CALIBRACION!$H37="","",-CALIBRACION!R37*1000000)</f>
        <v/>
      </c>
      <c r="O31" s="839" t="str">
        <f aca="false">IF(CALIBRACION!$H37="","",-CALIBRACION!R37*1000000)</f>
        <v/>
      </c>
    </row>
    <row r="32" customFormat="false" ht="15.75" hidden="false" customHeight="false" outlineLevel="0" collapsed="false">
      <c r="B32" s="834" t="str">
        <f aca="false">IF(CALIBRACION!$H38="","",1)</f>
        <v/>
      </c>
      <c r="C32" s="835" t="str">
        <f aca="false">IF(CALIBRACION!H38="","",1+(INCERTIDUMBRE!$F$12*CALIBRACION!X38)-(INCERTIDUMBRE!$F$13*CALIBRACION!X38)-(INCERTIDUMBRE!$F$13*CALIBRACION!AA38))</f>
        <v/>
      </c>
      <c r="D32" s="836" t="str">
        <f aca="false">IF(CALIBRACION!H38="","",(CALIBRACION!X38*CALIBRACION!R38)*1000000)</f>
        <v/>
      </c>
      <c r="E32" s="836" t="str">
        <f aca="false">IF(CALIBRACION!H38="","",-(CALIBRACION!X38+CALIBRACION!AA38)*CALIBRACION!R38*1000000)</f>
        <v/>
      </c>
      <c r="F32" s="837" t="str">
        <f aca="false">IF(CALIBRACION!H38="","",-(INCERTIDUMBRE!$G$13*CALIBRACION!R38)*1000000)</f>
        <v/>
      </c>
      <c r="G32" s="838" t="str">
        <f aca="false">IF(CALIBRACION!H38="","",((INCERTIDUMBRE!$F$12)-(INCERTIDUMBRE!$F$13))*CALIBRACION!R38*1000000)</f>
        <v/>
      </c>
      <c r="H32" s="839" t="str">
        <f aca="false">IF(CALIBRACION!$H38="","",1)</f>
        <v/>
      </c>
      <c r="I32" s="840" t="str">
        <f aca="false">IF(CALIBRACION!$H38="","",CALIBRACION!X38)</f>
        <v/>
      </c>
      <c r="J32" s="840" t="str">
        <f aca="false">IF(CALIBRACION!$H38="","",-(CALIBRACION!X38+CALIBRACION!AA38))</f>
        <v/>
      </c>
      <c r="K32" s="840" t="str">
        <f aca="false">IF(CALIBRACION!$H38="","",INCERTIDUMBRE!$F$12-INCERTIDUMBRE!$F$13)</f>
        <v/>
      </c>
      <c r="L32" s="840" t="str">
        <f aca="false">IF(CALIBRACION!$H38="","",-INCERTIDUMBRE!$F$13)</f>
        <v/>
      </c>
      <c r="M32" s="839" t="str">
        <f aca="false">IF(CALIBRACION!$H38="","",CALIBRACION!R38*1000000)</f>
        <v/>
      </c>
      <c r="N32" s="839" t="str">
        <f aca="false">IF(CALIBRACION!$H38="","",-CALIBRACION!R38*1000000)</f>
        <v/>
      </c>
      <c r="O32" s="839" t="str">
        <f aca="false">IF(CALIBRACION!$H38="","",-CALIBRACION!R38*1000000)</f>
        <v/>
      </c>
    </row>
    <row r="33" customFormat="false" ht="15.75" hidden="false" customHeight="false" outlineLevel="0" collapsed="false">
      <c r="B33" s="834" t="str">
        <f aca="false">IF(CALIBRACION!$H39="","",1)</f>
        <v/>
      </c>
      <c r="C33" s="835" t="str">
        <f aca="false">IF(CALIBRACION!H39="","",1+(INCERTIDUMBRE!$F$12*CALIBRACION!X39)-(INCERTIDUMBRE!$F$13*CALIBRACION!X39)-(INCERTIDUMBRE!$F$13*CALIBRACION!AA39))</f>
        <v/>
      </c>
      <c r="D33" s="836" t="str">
        <f aca="false">IF(CALIBRACION!H39="","",(CALIBRACION!X39*CALIBRACION!R39)*1000000)</f>
        <v/>
      </c>
      <c r="E33" s="836" t="str">
        <f aca="false">IF(CALIBRACION!H39="","",-(CALIBRACION!X39+CALIBRACION!AA39)*CALIBRACION!R39*1000000)</f>
        <v/>
      </c>
      <c r="F33" s="837" t="str">
        <f aca="false">IF(CALIBRACION!H39="","",-(INCERTIDUMBRE!$G$13*CALIBRACION!R39)*1000000)</f>
        <v/>
      </c>
      <c r="G33" s="838" t="str">
        <f aca="false">IF(CALIBRACION!H39="","",((INCERTIDUMBRE!$F$12)-(INCERTIDUMBRE!$F$13))*CALIBRACION!R39*1000000)</f>
        <v/>
      </c>
      <c r="H33" s="839" t="str">
        <f aca="false">IF(CALIBRACION!$H39="","",1)</f>
        <v/>
      </c>
      <c r="I33" s="840" t="str">
        <f aca="false">IF(CALIBRACION!$H39="","",CALIBRACION!X39)</f>
        <v/>
      </c>
      <c r="J33" s="840" t="str">
        <f aca="false">IF(CALIBRACION!$H39="","",-(CALIBRACION!X39+CALIBRACION!AA39))</f>
        <v/>
      </c>
      <c r="K33" s="840" t="str">
        <f aca="false">IF(CALIBRACION!$H39="","",INCERTIDUMBRE!$F$12-INCERTIDUMBRE!$F$13)</f>
        <v/>
      </c>
      <c r="L33" s="840" t="str">
        <f aca="false">IF(CALIBRACION!$H39="","",-INCERTIDUMBRE!$F$13)</f>
        <v/>
      </c>
      <c r="M33" s="839" t="str">
        <f aca="false">IF(CALIBRACION!$H39="","",CALIBRACION!R39*1000000)</f>
        <v/>
      </c>
      <c r="N33" s="839" t="str">
        <f aca="false">IF(CALIBRACION!$H39="","",-CALIBRACION!R39*1000000)</f>
        <v/>
      </c>
      <c r="O33" s="839" t="str">
        <f aca="false">IF(CALIBRACION!$H39="","",-CALIBRACION!R39*1000000)</f>
        <v/>
      </c>
    </row>
    <row r="34" customFormat="false" ht="15.75" hidden="false" customHeight="false" outlineLevel="0" collapsed="false">
      <c r="B34" s="834" t="str">
        <f aca="false">IF(CALIBRACION!$H40="","",1)</f>
        <v/>
      </c>
      <c r="C34" s="835" t="str">
        <f aca="false">IF(CALIBRACION!H40="","",1+(INCERTIDUMBRE!$F$12*CALIBRACION!X40)-(INCERTIDUMBRE!$F$13*CALIBRACION!X40)-(INCERTIDUMBRE!$F$13*CALIBRACION!AA40))</f>
        <v/>
      </c>
      <c r="D34" s="836" t="str">
        <f aca="false">IF(CALIBRACION!H40="","",(CALIBRACION!X40*CALIBRACION!R40)*1000000)</f>
        <v/>
      </c>
      <c r="E34" s="836" t="str">
        <f aca="false">IF(CALIBRACION!H40="","",-(CALIBRACION!X40+CALIBRACION!AA40)*CALIBRACION!R40*1000000)</f>
        <v/>
      </c>
      <c r="F34" s="837" t="str">
        <f aca="false">IF(CALIBRACION!H40="","",-(INCERTIDUMBRE!$G$13*CALIBRACION!R40)*1000000)</f>
        <v/>
      </c>
      <c r="G34" s="838" t="str">
        <f aca="false">IF(CALIBRACION!H40="","",((INCERTIDUMBRE!$F$12)-(INCERTIDUMBRE!$F$13))*CALIBRACION!R40*1000000)</f>
        <v/>
      </c>
      <c r="H34" s="839" t="str">
        <f aca="false">IF(CALIBRACION!$H40="","",1)</f>
        <v/>
      </c>
      <c r="I34" s="840" t="str">
        <f aca="false">IF(CALIBRACION!$H40="","",CALIBRACION!X40)</f>
        <v/>
      </c>
      <c r="J34" s="840" t="str">
        <f aca="false">IF(CALIBRACION!$H40="","",-(CALIBRACION!X40+CALIBRACION!AA40))</f>
        <v/>
      </c>
      <c r="K34" s="840" t="str">
        <f aca="false">IF(CALIBRACION!$H40="","",INCERTIDUMBRE!$F$12-INCERTIDUMBRE!$F$13)</f>
        <v/>
      </c>
      <c r="L34" s="840" t="str">
        <f aca="false">IF(CALIBRACION!$H40="","",-INCERTIDUMBRE!$F$13)</f>
        <v/>
      </c>
      <c r="M34" s="839" t="str">
        <f aca="false">IF(CALIBRACION!$H40="","",CALIBRACION!R40*1000000)</f>
        <v/>
      </c>
      <c r="N34" s="839" t="str">
        <f aca="false">IF(CALIBRACION!$H40="","",-CALIBRACION!R40*1000000)</f>
        <v/>
      </c>
      <c r="O34" s="839" t="str">
        <f aca="false">IF(CALIBRACION!$H40="","",-CALIBRACION!R40*1000000)</f>
        <v/>
      </c>
    </row>
    <row r="35" customFormat="false" ht="15.75" hidden="false" customHeight="false" outlineLevel="0" collapsed="false">
      <c r="B35" s="834" t="str">
        <f aca="false">IF(CALIBRACION!$H41="","",1)</f>
        <v/>
      </c>
      <c r="C35" s="835" t="str">
        <f aca="false">IF(CALIBRACION!H41="","",1+(INCERTIDUMBRE!$F$12*CALIBRACION!X41)-(INCERTIDUMBRE!$F$13*CALIBRACION!X41)-(INCERTIDUMBRE!$F$13*CALIBRACION!AA41))</f>
        <v/>
      </c>
      <c r="D35" s="836" t="str">
        <f aca="false">IF(CALIBRACION!H41="","",(CALIBRACION!X41*CALIBRACION!R41)*1000000)</f>
        <v/>
      </c>
      <c r="E35" s="836" t="str">
        <f aca="false">IF(CALIBRACION!H41="","",-(CALIBRACION!X41+CALIBRACION!AA41)*CALIBRACION!R41*1000000)</f>
        <v/>
      </c>
      <c r="F35" s="837" t="str">
        <f aca="false">IF(CALIBRACION!H41="","",-(INCERTIDUMBRE!$G$13*CALIBRACION!R41)*1000000)</f>
        <v/>
      </c>
      <c r="G35" s="838" t="str">
        <f aca="false">IF(CALIBRACION!H41="","",((INCERTIDUMBRE!$F$12)-(INCERTIDUMBRE!$F$13))*CALIBRACION!R41*1000000)</f>
        <v/>
      </c>
      <c r="H35" s="839" t="str">
        <f aca="false">IF(CALIBRACION!$H41="","",1)</f>
        <v/>
      </c>
      <c r="I35" s="840" t="str">
        <f aca="false">IF(CALIBRACION!$H41="","",CALIBRACION!X41)</f>
        <v/>
      </c>
      <c r="J35" s="840" t="str">
        <f aca="false">IF(CALIBRACION!$H41="","",-(CALIBRACION!X41+CALIBRACION!AA41))</f>
        <v/>
      </c>
      <c r="K35" s="840" t="str">
        <f aca="false">IF(CALIBRACION!$H41="","",INCERTIDUMBRE!$F$12-INCERTIDUMBRE!$F$13)</f>
        <v/>
      </c>
      <c r="L35" s="840" t="str">
        <f aca="false">IF(CALIBRACION!$H41="","",-INCERTIDUMBRE!$F$13)</f>
        <v/>
      </c>
      <c r="M35" s="839" t="str">
        <f aca="false">IF(CALIBRACION!$H41="","",CALIBRACION!R41*1000000)</f>
        <v/>
      </c>
      <c r="N35" s="839" t="str">
        <f aca="false">IF(CALIBRACION!$H41="","",-CALIBRACION!R41*1000000)</f>
        <v/>
      </c>
      <c r="O35" s="839" t="str">
        <f aca="false">IF(CALIBRACION!$H41="","",-CALIBRACION!R41*1000000)</f>
        <v/>
      </c>
    </row>
    <row r="36" customFormat="false" ht="15.75" hidden="false" customHeight="false" outlineLevel="0" collapsed="false">
      <c r="B36" s="834" t="str">
        <f aca="false">IF(CALIBRACION!$H42="","",1)</f>
        <v/>
      </c>
      <c r="C36" s="835" t="str">
        <f aca="false">IF(CALIBRACION!H42="","",1+(INCERTIDUMBRE!$F$12*CALIBRACION!X42)-(INCERTIDUMBRE!$F$13*CALIBRACION!X42)-(INCERTIDUMBRE!$F$13*CALIBRACION!AA42))</f>
        <v/>
      </c>
      <c r="D36" s="836" t="str">
        <f aca="false">IF(CALIBRACION!H42="","",(CALIBRACION!X42*CALIBRACION!R42)*1000000)</f>
        <v/>
      </c>
      <c r="E36" s="836" t="str">
        <f aca="false">IF(CALIBRACION!H42="","",-(CALIBRACION!X42+CALIBRACION!AA42)*CALIBRACION!R42*1000000)</f>
        <v/>
      </c>
      <c r="F36" s="837" t="str">
        <f aca="false">IF(CALIBRACION!H42="","",-(INCERTIDUMBRE!$G$13*CALIBRACION!R42)*1000000)</f>
        <v/>
      </c>
      <c r="G36" s="838" t="str">
        <f aca="false">IF(CALIBRACION!H42="","",((INCERTIDUMBRE!$F$12)-(INCERTIDUMBRE!$F$13))*CALIBRACION!R42*1000000)</f>
        <v/>
      </c>
      <c r="H36" s="839" t="str">
        <f aca="false">IF(CALIBRACION!$H42="","",1)</f>
        <v/>
      </c>
      <c r="I36" s="840" t="str">
        <f aca="false">IF(CALIBRACION!$H42="","",CALIBRACION!X42)</f>
        <v/>
      </c>
      <c r="J36" s="840" t="str">
        <f aca="false">IF(CALIBRACION!$H42="","",-(CALIBRACION!X42+CALIBRACION!AA42))</f>
        <v/>
      </c>
      <c r="K36" s="840" t="str">
        <f aca="false">IF(CALIBRACION!$H42="","",INCERTIDUMBRE!$F$12-INCERTIDUMBRE!$F$13)</f>
        <v/>
      </c>
      <c r="L36" s="840" t="str">
        <f aca="false">IF(CALIBRACION!$H42="","",-INCERTIDUMBRE!$F$13)</f>
        <v/>
      </c>
      <c r="M36" s="839" t="str">
        <f aca="false">IF(CALIBRACION!$H42="","",CALIBRACION!R42*1000000)</f>
        <v/>
      </c>
      <c r="N36" s="839" t="str">
        <f aca="false">IF(CALIBRACION!$H42="","",-CALIBRACION!R42*1000000)</f>
        <v/>
      </c>
      <c r="O36" s="839" t="str">
        <f aca="false">IF(CALIBRACION!$H42="","",-CALIBRACION!R42*1000000)</f>
        <v/>
      </c>
    </row>
    <row r="37" customFormat="false" ht="15.75" hidden="false" customHeight="false" outlineLevel="0" collapsed="false">
      <c r="B37" s="834" t="str">
        <f aca="false">IF(CALIBRACION!$H43="","",1)</f>
        <v/>
      </c>
      <c r="C37" s="835" t="str">
        <f aca="false">IF(CALIBRACION!H43="","",1+(INCERTIDUMBRE!$F$12*CALIBRACION!X43)-(INCERTIDUMBRE!$F$13*CALIBRACION!X43)-(INCERTIDUMBRE!$F$13*CALIBRACION!AA43))</f>
        <v/>
      </c>
      <c r="D37" s="836" t="str">
        <f aca="false">IF(CALIBRACION!H43="","",(CALIBRACION!X43*CALIBRACION!R43)*1000000)</f>
        <v/>
      </c>
      <c r="E37" s="836" t="str">
        <f aca="false">IF(CALIBRACION!H43="","",-(CALIBRACION!X43+CALIBRACION!AA43)*CALIBRACION!R43*1000000)</f>
        <v/>
      </c>
      <c r="F37" s="837" t="str">
        <f aca="false">IF(CALIBRACION!H43="","",-(INCERTIDUMBRE!$G$13*CALIBRACION!R43)*1000000)</f>
        <v/>
      </c>
      <c r="G37" s="838" t="str">
        <f aca="false">IF(CALIBRACION!H43="","",((INCERTIDUMBRE!$F$12)-(INCERTIDUMBRE!$F$13))*CALIBRACION!R43*1000000)</f>
        <v/>
      </c>
      <c r="H37" s="839" t="str">
        <f aca="false">IF(CALIBRACION!$H43="","",1)</f>
        <v/>
      </c>
      <c r="I37" s="840" t="str">
        <f aca="false">IF(CALIBRACION!$H43="","",CALIBRACION!X43)</f>
        <v/>
      </c>
      <c r="J37" s="840" t="str">
        <f aca="false">IF(CALIBRACION!$H43="","",-(CALIBRACION!X43+CALIBRACION!AA43))</f>
        <v/>
      </c>
      <c r="K37" s="840" t="str">
        <f aca="false">IF(CALIBRACION!$H43="","",INCERTIDUMBRE!$F$12-INCERTIDUMBRE!$F$13)</f>
        <v/>
      </c>
      <c r="L37" s="840" t="str">
        <f aca="false">IF(CALIBRACION!$H43="","",-INCERTIDUMBRE!$F$13)</f>
        <v/>
      </c>
      <c r="M37" s="839" t="str">
        <f aca="false">IF(CALIBRACION!$H43="","",CALIBRACION!R43*1000000)</f>
        <v/>
      </c>
      <c r="N37" s="839" t="str">
        <f aca="false">IF(CALIBRACION!$H43="","",-CALIBRACION!R43*1000000)</f>
        <v/>
      </c>
      <c r="O37" s="839" t="str">
        <f aca="false">IF(CALIBRACION!$H43="","",-CALIBRACION!R43*1000000)</f>
        <v/>
      </c>
    </row>
    <row r="38" customFormat="false" ht="15.75" hidden="false" customHeight="false" outlineLevel="0" collapsed="false">
      <c r="B38" s="834" t="str">
        <f aca="false">IF(CALIBRACION!$H44="","",1)</f>
        <v/>
      </c>
      <c r="C38" s="835" t="str">
        <f aca="false">IF(CALIBRACION!H44="","",1+(INCERTIDUMBRE!$F$12*CALIBRACION!X44)-(INCERTIDUMBRE!$F$13*CALIBRACION!X44)-(INCERTIDUMBRE!$F$13*CALIBRACION!AA44))</f>
        <v/>
      </c>
      <c r="D38" s="836" t="str">
        <f aca="false">IF(CALIBRACION!H44="","",(CALIBRACION!X44*CALIBRACION!R44)*1000000)</f>
        <v/>
      </c>
      <c r="E38" s="836" t="str">
        <f aca="false">IF(CALIBRACION!H44="","",-(CALIBRACION!X44+CALIBRACION!AA44)*CALIBRACION!R44*1000000)</f>
        <v/>
      </c>
      <c r="F38" s="837" t="str">
        <f aca="false">IF(CALIBRACION!H44="","",-(INCERTIDUMBRE!$G$13*CALIBRACION!R44)*1000000)</f>
        <v/>
      </c>
      <c r="G38" s="838" t="str">
        <f aca="false">IF(CALIBRACION!H44="","",((INCERTIDUMBRE!$F$12)-(INCERTIDUMBRE!$F$13))*CALIBRACION!R44*1000000)</f>
        <v/>
      </c>
      <c r="H38" s="839" t="str">
        <f aca="false">IF(CALIBRACION!$H44="","",1)</f>
        <v/>
      </c>
      <c r="I38" s="840" t="str">
        <f aca="false">IF(CALIBRACION!$H44="","",CALIBRACION!X44)</f>
        <v/>
      </c>
      <c r="J38" s="840" t="str">
        <f aca="false">IF(CALIBRACION!$H44="","",-(CALIBRACION!X44+CALIBRACION!AA44))</f>
        <v/>
      </c>
      <c r="K38" s="840" t="str">
        <f aca="false">IF(CALIBRACION!$H44="","",INCERTIDUMBRE!$F$12-INCERTIDUMBRE!$F$13)</f>
        <v/>
      </c>
      <c r="L38" s="840" t="str">
        <f aca="false">IF(CALIBRACION!$H44="","",-INCERTIDUMBRE!$F$13)</f>
        <v/>
      </c>
      <c r="M38" s="839" t="str">
        <f aca="false">IF(CALIBRACION!$H44="","",CALIBRACION!R44*1000000)</f>
        <v/>
      </c>
      <c r="N38" s="839" t="str">
        <f aca="false">IF(CALIBRACION!$H44="","",-CALIBRACION!R44*1000000)</f>
        <v/>
      </c>
      <c r="O38" s="839" t="str">
        <f aca="false">IF(CALIBRACION!$H44="","",-CALIBRACION!R44*1000000)</f>
        <v/>
      </c>
    </row>
    <row r="39" customFormat="false" ht="15.75" hidden="false" customHeight="false" outlineLevel="0" collapsed="false">
      <c r="B39" s="834" t="str">
        <f aca="false">IF(CALIBRACION!$H45="","",1)</f>
        <v/>
      </c>
      <c r="C39" s="835" t="str">
        <f aca="false">IF(CALIBRACION!H45="","",1+(INCERTIDUMBRE!$F$12*CALIBRACION!X45)-(INCERTIDUMBRE!$F$13*CALIBRACION!X45)-(INCERTIDUMBRE!$F$13*CALIBRACION!AA45))</f>
        <v/>
      </c>
      <c r="D39" s="836" t="str">
        <f aca="false">IF(CALIBRACION!H45="","",(CALIBRACION!X45*CALIBRACION!R45)*1000000)</f>
        <v/>
      </c>
      <c r="E39" s="836" t="str">
        <f aca="false">IF(CALIBRACION!H45="","",-(CALIBRACION!X45+CALIBRACION!AA45)*CALIBRACION!R45*1000000)</f>
        <v/>
      </c>
      <c r="F39" s="837" t="str">
        <f aca="false">IF(CALIBRACION!H45="","",-(INCERTIDUMBRE!$G$13*CALIBRACION!R45)*1000000)</f>
        <v/>
      </c>
      <c r="G39" s="838" t="str">
        <f aca="false">IF(CALIBRACION!H45="","",((INCERTIDUMBRE!$F$12)-(INCERTIDUMBRE!$F$13))*CALIBRACION!R45*1000000)</f>
        <v/>
      </c>
      <c r="H39" s="839" t="str">
        <f aca="false">IF(CALIBRACION!$H45="","",1)</f>
        <v/>
      </c>
      <c r="I39" s="840" t="str">
        <f aca="false">IF(CALIBRACION!$H45="","",CALIBRACION!X45)</f>
        <v/>
      </c>
      <c r="J39" s="840" t="str">
        <f aca="false">IF(CALIBRACION!$H45="","",-(CALIBRACION!X45+CALIBRACION!AA45))</f>
        <v/>
      </c>
      <c r="K39" s="840" t="str">
        <f aca="false">IF(CALIBRACION!$H45="","",INCERTIDUMBRE!$F$12-INCERTIDUMBRE!$F$13)</f>
        <v/>
      </c>
      <c r="L39" s="840" t="str">
        <f aca="false">IF(CALIBRACION!$H45="","",-INCERTIDUMBRE!$F$13)</f>
        <v/>
      </c>
      <c r="M39" s="839" t="str">
        <f aca="false">IF(CALIBRACION!$H45="","",CALIBRACION!R45*1000000)</f>
        <v/>
      </c>
      <c r="N39" s="839" t="str">
        <f aca="false">IF(CALIBRACION!$H45="","",-CALIBRACION!R45*1000000)</f>
        <v/>
      </c>
      <c r="O39" s="839" t="str">
        <f aca="false">IF(CALIBRACION!$H45="","",-CALIBRACION!R45*1000000)</f>
        <v/>
      </c>
    </row>
    <row r="40" customFormat="false" ht="15.75" hidden="false" customHeight="false" outlineLevel="0" collapsed="false">
      <c r="B40" s="834" t="str">
        <f aca="false">IF(CALIBRACION!$H46="","",1)</f>
        <v/>
      </c>
      <c r="C40" s="835" t="str">
        <f aca="false">IF(CALIBRACION!H46="","",1+(INCERTIDUMBRE!$F$12*CALIBRACION!X46)-(INCERTIDUMBRE!$F$13*CALIBRACION!X46)-(INCERTIDUMBRE!$F$13*CALIBRACION!AA46))</f>
        <v/>
      </c>
      <c r="D40" s="836" t="str">
        <f aca="false">IF(CALIBRACION!H46="","",(CALIBRACION!X46*CALIBRACION!R46)*1000000)</f>
        <v/>
      </c>
      <c r="E40" s="836" t="str">
        <f aca="false">IF(CALIBRACION!H46="","",-(CALIBRACION!X46+CALIBRACION!AA46)*CALIBRACION!R46*1000000)</f>
        <v/>
      </c>
      <c r="F40" s="837" t="str">
        <f aca="false">IF(CALIBRACION!H46="","",-(INCERTIDUMBRE!$G$13*CALIBRACION!R46)*1000000)</f>
        <v/>
      </c>
      <c r="G40" s="838" t="str">
        <f aca="false">IF(CALIBRACION!H46="","",((INCERTIDUMBRE!$F$12)-(INCERTIDUMBRE!$F$13))*CALIBRACION!R46*1000000)</f>
        <v/>
      </c>
      <c r="H40" s="839" t="str">
        <f aca="false">IF(CALIBRACION!$H46="","",1)</f>
        <v/>
      </c>
      <c r="I40" s="840" t="str">
        <f aca="false">IF(CALIBRACION!$H46="","",CALIBRACION!X46)</f>
        <v/>
      </c>
      <c r="J40" s="840" t="str">
        <f aca="false">IF(CALIBRACION!$H46="","",-(CALIBRACION!X46+CALIBRACION!AA46))</f>
        <v/>
      </c>
      <c r="K40" s="840" t="str">
        <f aca="false">IF(CALIBRACION!$H46="","",INCERTIDUMBRE!$F$12-INCERTIDUMBRE!$F$13)</f>
        <v/>
      </c>
      <c r="L40" s="840" t="str">
        <f aca="false">IF(CALIBRACION!$H46="","",-INCERTIDUMBRE!$F$13)</f>
        <v/>
      </c>
      <c r="M40" s="839" t="str">
        <f aca="false">IF(CALIBRACION!$H46="","",CALIBRACION!R46*1000000)</f>
        <v/>
      </c>
      <c r="N40" s="839" t="str">
        <f aca="false">IF(CALIBRACION!$H46="","",-CALIBRACION!R46*1000000)</f>
        <v/>
      </c>
      <c r="O40" s="839" t="str">
        <f aca="false">IF(CALIBRACION!$H46="","",-CALIBRACION!R46*1000000)</f>
        <v/>
      </c>
    </row>
    <row r="41" customFormat="false" ht="15.75" hidden="false" customHeight="false" outlineLevel="0" collapsed="false">
      <c r="B41" s="834" t="str">
        <f aca="false">IF(CALIBRACION!$H47="","",1)</f>
        <v/>
      </c>
      <c r="C41" s="835" t="str">
        <f aca="false">IF(CALIBRACION!H47="","",1+(INCERTIDUMBRE!$F$12*CALIBRACION!X47)-(INCERTIDUMBRE!$F$13*CALIBRACION!X47)-(INCERTIDUMBRE!$F$13*CALIBRACION!AA47))</f>
        <v/>
      </c>
      <c r="D41" s="836" t="str">
        <f aca="false">IF(CALIBRACION!H47="","",(CALIBRACION!X47*CALIBRACION!R47)*1000000)</f>
        <v/>
      </c>
      <c r="E41" s="836" t="str">
        <f aca="false">IF(CALIBRACION!H47="","",-(CALIBRACION!X47+CALIBRACION!AA47)*CALIBRACION!R47*1000000)</f>
        <v/>
      </c>
      <c r="F41" s="837" t="str">
        <f aca="false">IF(CALIBRACION!H47="","",-(INCERTIDUMBRE!$G$13*CALIBRACION!R47)*1000000)</f>
        <v/>
      </c>
      <c r="G41" s="838" t="str">
        <f aca="false">IF(CALIBRACION!H47="","",((INCERTIDUMBRE!$F$12)-(INCERTIDUMBRE!$F$13))*CALIBRACION!R47*1000000)</f>
        <v/>
      </c>
      <c r="H41" s="839" t="str">
        <f aca="false">IF(CALIBRACION!$H47="","",1)</f>
        <v/>
      </c>
      <c r="I41" s="840" t="str">
        <f aca="false">IF(CALIBRACION!$H47="","",CALIBRACION!X47)</f>
        <v/>
      </c>
      <c r="J41" s="840" t="str">
        <f aca="false">IF(CALIBRACION!$H47="","",-(CALIBRACION!X47+CALIBRACION!AA47))</f>
        <v/>
      </c>
      <c r="K41" s="840" t="str">
        <f aca="false">IF(CALIBRACION!$H47="","",INCERTIDUMBRE!$F$12-INCERTIDUMBRE!$F$13)</f>
        <v/>
      </c>
      <c r="L41" s="840" t="str">
        <f aca="false">IF(CALIBRACION!$H47="","",-INCERTIDUMBRE!$F$13)</f>
        <v/>
      </c>
      <c r="M41" s="839" t="str">
        <f aca="false">IF(CALIBRACION!$H47="","",CALIBRACION!R47*1000000)</f>
        <v/>
      </c>
      <c r="N41" s="839" t="str">
        <f aca="false">IF(CALIBRACION!$H47="","",-CALIBRACION!R47*1000000)</f>
        <v/>
      </c>
      <c r="O41" s="839" t="str">
        <f aca="false">IF(CALIBRACION!$H47="","",-CALIBRACION!R47*1000000)</f>
        <v/>
      </c>
    </row>
    <row r="42" customFormat="false" ht="15.75" hidden="false" customHeight="false" outlineLevel="0" collapsed="false">
      <c r="B42" s="834" t="str">
        <f aca="false">IF(CALIBRACION!$H48="","",1)</f>
        <v/>
      </c>
      <c r="C42" s="835" t="str">
        <f aca="false">IF(CALIBRACION!H48="","",1+(INCERTIDUMBRE!$F$12*CALIBRACION!X48)-(INCERTIDUMBRE!$F$13*CALIBRACION!X48)-(INCERTIDUMBRE!$F$13*CALIBRACION!AA48))</f>
        <v/>
      </c>
      <c r="D42" s="836" t="str">
        <f aca="false">IF(CALIBRACION!H48="","",(CALIBRACION!X48*CALIBRACION!R48)*1000000)</f>
        <v/>
      </c>
      <c r="E42" s="836" t="str">
        <f aca="false">IF(CALIBRACION!H48="","",-(CALIBRACION!X48+CALIBRACION!AA48)*CALIBRACION!R48*1000000)</f>
        <v/>
      </c>
      <c r="F42" s="837" t="str">
        <f aca="false">IF(CALIBRACION!H48="","",-(INCERTIDUMBRE!$G$13*CALIBRACION!R48)*1000000)</f>
        <v/>
      </c>
      <c r="G42" s="838" t="str">
        <f aca="false">IF(CALIBRACION!H48="","",((INCERTIDUMBRE!$F$12)-(INCERTIDUMBRE!$F$13))*CALIBRACION!R48*1000000)</f>
        <v/>
      </c>
      <c r="H42" s="839" t="str">
        <f aca="false">IF(CALIBRACION!$H48="","",1)</f>
        <v/>
      </c>
      <c r="I42" s="840" t="str">
        <f aca="false">IF(CALIBRACION!$H48="","",CALIBRACION!X48)</f>
        <v/>
      </c>
      <c r="J42" s="840" t="str">
        <f aca="false">IF(CALIBRACION!$H48="","",-(CALIBRACION!X48+CALIBRACION!AA48))</f>
        <v/>
      </c>
      <c r="K42" s="840" t="str">
        <f aca="false">IF(CALIBRACION!$H48="","",INCERTIDUMBRE!$F$12-INCERTIDUMBRE!$F$13)</f>
        <v/>
      </c>
      <c r="L42" s="840" t="str">
        <f aca="false">IF(CALIBRACION!$H48="","",-INCERTIDUMBRE!$F$13)</f>
        <v/>
      </c>
      <c r="M42" s="839" t="str">
        <f aca="false">IF(CALIBRACION!$H48="","",CALIBRACION!R48*1000000)</f>
        <v/>
      </c>
      <c r="N42" s="839" t="str">
        <f aca="false">IF(CALIBRACION!$H48="","",-CALIBRACION!R48*1000000)</f>
        <v/>
      </c>
      <c r="O42" s="839" t="str">
        <f aca="false">IF(CALIBRACION!$H48="","",-CALIBRACION!R48*1000000)</f>
        <v/>
      </c>
    </row>
    <row r="43" customFormat="false" ht="15.75" hidden="false" customHeight="false" outlineLevel="0" collapsed="false">
      <c r="B43" s="834" t="str">
        <f aca="false">IF(CALIBRACION!$H49="","",1)</f>
        <v/>
      </c>
      <c r="C43" s="835" t="str">
        <f aca="false">IF(CALIBRACION!H49="","",1+(INCERTIDUMBRE!$F$12*CALIBRACION!X49)-(INCERTIDUMBRE!$F$13*CALIBRACION!X49)-(INCERTIDUMBRE!$F$13*CALIBRACION!AA49))</f>
        <v/>
      </c>
      <c r="D43" s="836" t="str">
        <f aca="false">IF(CALIBRACION!H49="","",(CALIBRACION!X49*CALIBRACION!R49)*1000000)</f>
        <v/>
      </c>
      <c r="E43" s="836" t="str">
        <f aca="false">IF(CALIBRACION!H49="","",-(CALIBRACION!X49+CALIBRACION!AA49)*CALIBRACION!R49*1000000)</f>
        <v/>
      </c>
      <c r="F43" s="837" t="str">
        <f aca="false">IF(CALIBRACION!H49="","",-(INCERTIDUMBRE!$G$13*CALIBRACION!R49)*1000000)</f>
        <v/>
      </c>
      <c r="G43" s="838" t="str">
        <f aca="false">IF(CALIBRACION!H49="","",((INCERTIDUMBRE!$F$12)-(INCERTIDUMBRE!$F$13))*CALIBRACION!R49*1000000)</f>
        <v/>
      </c>
      <c r="H43" s="839" t="str">
        <f aca="false">IF(CALIBRACION!$H49="","",1)</f>
        <v/>
      </c>
      <c r="I43" s="840" t="str">
        <f aca="false">IF(CALIBRACION!$H49="","",CALIBRACION!X49)</f>
        <v/>
      </c>
      <c r="J43" s="840" t="str">
        <f aca="false">IF(CALIBRACION!$H49="","",-(CALIBRACION!X49+CALIBRACION!AA49))</f>
        <v/>
      </c>
      <c r="K43" s="840" t="str">
        <f aca="false">IF(CALIBRACION!$H49="","",INCERTIDUMBRE!$F$12-INCERTIDUMBRE!$F$13)</f>
        <v/>
      </c>
      <c r="L43" s="840" t="str">
        <f aca="false">IF(CALIBRACION!$H49="","",-INCERTIDUMBRE!$F$13)</f>
        <v/>
      </c>
      <c r="M43" s="839" t="str">
        <f aca="false">IF(CALIBRACION!$H49="","",CALIBRACION!R49*1000000)</f>
        <v/>
      </c>
      <c r="N43" s="839" t="str">
        <f aca="false">IF(CALIBRACION!$H49="","",-CALIBRACION!R49*1000000)</f>
        <v/>
      </c>
      <c r="O43" s="839" t="str">
        <f aca="false">IF(CALIBRACION!$H49="","",-CALIBRACION!R49*1000000)</f>
        <v/>
      </c>
    </row>
    <row r="44" customFormat="false" ht="15.75" hidden="false" customHeight="false" outlineLevel="0" collapsed="false">
      <c r="B44" s="834" t="str">
        <f aca="false">IF(CALIBRACION!$H50="","",1)</f>
        <v/>
      </c>
      <c r="C44" s="835" t="str">
        <f aca="false">IF(CALIBRACION!H50="","",1+(INCERTIDUMBRE!$F$12*CALIBRACION!X50)-(INCERTIDUMBRE!$F$13*CALIBRACION!X50)-(INCERTIDUMBRE!$F$13*CALIBRACION!AA50))</f>
        <v/>
      </c>
      <c r="D44" s="836" t="str">
        <f aca="false">IF(CALIBRACION!H50="","",(CALIBRACION!R50*CALIBRACION!X50)*1000000)</f>
        <v/>
      </c>
      <c r="E44" s="836" t="str">
        <f aca="false">IF(CALIBRACION!H50="","",-(CALIBRACION!X50+CALIBRACION!AA50)*CALIBRACION!R50*1000000)</f>
        <v/>
      </c>
      <c r="F44" s="837" t="str">
        <f aca="false">IF(CALIBRACION!H50="","",-(INCERTIDUMBRE!$G$13*CALIBRACION!R50)*1000000)</f>
        <v/>
      </c>
      <c r="G44" s="838" t="str">
        <f aca="false">IF(CALIBRACION!H50="","",((INCERTIDUMBRE!$F$12)-(INCERTIDUMBRE!$F$13))*CALIBRACION!R50*1000000)</f>
        <v/>
      </c>
      <c r="H44" s="839" t="str">
        <f aca="false">IF(CALIBRACION!$H50="","",1)</f>
        <v/>
      </c>
      <c r="I44" s="840" t="str">
        <f aca="false">IF(CALIBRACION!$H50="","",CALIBRACION!X50)</f>
        <v/>
      </c>
      <c r="J44" s="840" t="str">
        <f aca="false">IF(CALIBRACION!$H50="","",-(CALIBRACION!X50+CALIBRACION!AA50))</f>
        <v/>
      </c>
      <c r="K44" s="840" t="str">
        <f aca="false">IF(CALIBRACION!$H50="","",INCERTIDUMBRE!$F$12-INCERTIDUMBRE!$F$13)</f>
        <v/>
      </c>
      <c r="L44" s="840" t="str">
        <f aca="false">IF(CALIBRACION!$H50="","",-INCERTIDUMBRE!$F$13)</f>
        <v/>
      </c>
      <c r="M44" s="839" t="str">
        <f aca="false">IF(CALIBRACION!$H50="","",CALIBRACION!R50*1000000)</f>
        <v/>
      </c>
      <c r="N44" s="839" t="str">
        <f aca="false">IF(CALIBRACION!$H50="","",-CALIBRACION!R50*1000000)</f>
        <v/>
      </c>
      <c r="O44" s="839" t="str">
        <f aca="false">IF(CALIBRACION!$H50="","",-CALIBRACION!R50*1000000)</f>
        <v/>
      </c>
    </row>
    <row r="45" customFormat="false" ht="15.75" hidden="false" customHeight="false" outlineLevel="0" collapsed="false">
      <c r="B45" s="834" t="str">
        <f aca="false">IF(CALIBRACION!$H51="","",1)</f>
        <v/>
      </c>
      <c r="C45" s="835" t="str">
        <f aca="false">IF(CALIBRACION!H51="","",1+(INCERTIDUMBRE!$F$12*CALIBRACION!X51)-(INCERTIDUMBRE!$F$13*CALIBRACION!X51)-(INCERTIDUMBRE!$F$13*CALIBRACION!AA51))</f>
        <v/>
      </c>
      <c r="D45" s="836" t="str">
        <f aca="false">IF(CALIBRACION!H51="","",(CALIBRACION!R51*CALIBRACION!X51)*1000000)</f>
        <v/>
      </c>
      <c r="E45" s="836" t="str">
        <f aca="false">IF(CALIBRACION!H51="","",-(CALIBRACION!X51+CALIBRACION!AA51)*CALIBRACION!R51*1000000)</f>
        <v/>
      </c>
      <c r="F45" s="837" t="str">
        <f aca="false">IF(CALIBRACION!H51="","",-(INCERTIDUMBRE!$G$13*CALIBRACION!R51)*1000000)</f>
        <v/>
      </c>
      <c r="G45" s="838" t="str">
        <f aca="false">IF(CALIBRACION!H51="","",((INCERTIDUMBRE!$F$12)-(INCERTIDUMBRE!$F$13))*CALIBRACION!R51*1000000)</f>
        <v/>
      </c>
      <c r="H45" s="839" t="str">
        <f aca="false">IF(CALIBRACION!$H51="","",1)</f>
        <v/>
      </c>
      <c r="I45" s="840" t="str">
        <f aca="false">IF(CALIBRACION!$H51="","",CALIBRACION!X51)</f>
        <v/>
      </c>
      <c r="J45" s="840" t="str">
        <f aca="false">IF(CALIBRACION!$H51="","",-(CALIBRACION!X51+CALIBRACION!AA51))</f>
        <v/>
      </c>
      <c r="K45" s="840" t="str">
        <f aca="false">IF(CALIBRACION!$H51="","",INCERTIDUMBRE!$F$12-INCERTIDUMBRE!$F$13)</f>
        <v/>
      </c>
      <c r="L45" s="840" t="str">
        <f aca="false">IF(CALIBRACION!$H51="","",-INCERTIDUMBRE!$F$13)</f>
        <v/>
      </c>
      <c r="M45" s="839" t="str">
        <f aca="false">IF(CALIBRACION!$H51="","",CALIBRACION!R51*1000000)</f>
        <v/>
      </c>
      <c r="N45" s="839" t="str">
        <f aca="false">IF(CALIBRACION!$H51="","",-CALIBRACION!R51*1000000)</f>
        <v/>
      </c>
      <c r="O45" s="839" t="str">
        <f aca="false">IF(CALIBRACION!$H51="","",-CALIBRACION!R51*1000000)</f>
        <v/>
      </c>
    </row>
    <row r="46" customFormat="false" ht="15.75" hidden="false" customHeight="false" outlineLevel="0" collapsed="false">
      <c r="B46" s="834" t="str">
        <f aca="false">IF(CALIBRACION!$H52="","",1)</f>
        <v/>
      </c>
      <c r="C46" s="835" t="str">
        <f aca="false">IF(CALIBRACION!H52="","",1+(INCERTIDUMBRE!$F$12*CALIBRACION!X52)-(INCERTIDUMBRE!$F$13*CALIBRACION!X52)-(INCERTIDUMBRE!$F$13*CALIBRACION!AA52))</f>
        <v/>
      </c>
      <c r="D46" s="836" t="str">
        <f aca="false">IF(CALIBRACION!H52="","",(CALIBRACION!R52*CALIBRACION!X52)*1000000)</f>
        <v/>
      </c>
      <c r="E46" s="836" t="str">
        <f aca="false">IF(CALIBRACION!H52="","",-(CALIBRACION!X52+CALIBRACION!AA52)*CALIBRACION!R52*1000000)</f>
        <v/>
      </c>
      <c r="F46" s="837" t="str">
        <f aca="false">IF(CALIBRACION!H52="","",-(INCERTIDUMBRE!$G$13*CALIBRACION!R52)*1000000)</f>
        <v/>
      </c>
      <c r="G46" s="838" t="str">
        <f aca="false">IF(CALIBRACION!H52="","",((INCERTIDUMBRE!$F$12)-(INCERTIDUMBRE!$F$13))*CALIBRACION!R52*1000000)</f>
        <v/>
      </c>
      <c r="H46" s="839" t="str">
        <f aca="false">IF(CALIBRACION!$H52="","",1)</f>
        <v/>
      </c>
      <c r="I46" s="840" t="str">
        <f aca="false">IF(CALIBRACION!$H52="","",CALIBRACION!X52)</f>
        <v/>
      </c>
      <c r="J46" s="840" t="str">
        <f aca="false">IF(CALIBRACION!$H52="","",-(CALIBRACION!X52+CALIBRACION!AA52))</f>
        <v/>
      </c>
      <c r="K46" s="840" t="str">
        <f aca="false">IF(CALIBRACION!$H52="","",INCERTIDUMBRE!$F$12-INCERTIDUMBRE!$F$13)</f>
        <v/>
      </c>
      <c r="L46" s="840" t="str">
        <f aca="false">IF(CALIBRACION!$H52="","",-INCERTIDUMBRE!$F$13)</f>
        <v/>
      </c>
      <c r="M46" s="839" t="str">
        <f aca="false">IF(CALIBRACION!$H52="","",CALIBRACION!R52*1000000)</f>
        <v/>
      </c>
      <c r="N46" s="839" t="str">
        <f aca="false">IF(CALIBRACION!$H52="","",-CALIBRACION!R52*1000000)</f>
        <v/>
      </c>
      <c r="O46" s="839" t="str">
        <f aca="false">IF(CALIBRACION!$H52="","",-CALIBRACION!R52*1000000)</f>
        <v/>
      </c>
    </row>
    <row r="47" customFormat="false" ht="15.75" hidden="false" customHeight="false" outlineLevel="0" collapsed="false">
      <c r="B47" s="834" t="str">
        <f aca="false">IF(CALIBRACION!$H53="","",1)</f>
        <v/>
      </c>
      <c r="C47" s="835" t="str">
        <f aca="false">IF(CALIBRACION!H53="","",1+(INCERTIDUMBRE!$F$12*CALIBRACION!X53)-(INCERTIDUMBRE!$F$13*CALIBRACION!X53)-(INCERTIDUMBRE!$F$13*CALIBRACION!AA53))</f>
        <v/>
      </c>
      <c r="D47" s="836" t="str">
        <f aca="false">IF(CALIBRACION!H53="","",(CALIBRACION!R53*CALIBRACION!X53)*1000000)</f>
        <v/>
      </c>
      <c r="E47" s="836" t="str">
        <f aca="false">IF(CALIBRACION!H53="","",-(CALIBRACION!X53+CALIBRACION!AA53)*CALIBRACION!R53*1000000)</f>
        <v/>
      </c>
      <c r="F47" s="837" t="str">
        <f aca="false">IF(CALIBRACION!H53="","",-(INCERTIDUMBRE!$G$13*CALIBRACION!R53)*1000000)</f>
        <v/>
      </c>
      <c r="G47" s="838" t="str">
        <f aca="false">IF(CALIBRACION!H53="","",((INCERTIDUMBRE!$F$12)-(INCERTIDUMBRE!$F$13))*CALIBRACION!R53*1000000)</f>
        <v/>
      </c>
      <c r="H47" s="839" t="str">
        <f aca="false">IF(CALIBRACION!$H53="","",1)</f>
        <v/>
      </c>
      <c r="I47" s="840" t="str">
        <f aca="false">IF(CALIBRACION!$H53="","",CALIBRACION!X53)</f>
        <v/>
      </c>
      <c r="J47" s="840" t="str">
        <f aca="false">IF(CALIBRACION!$H53="","",-(CALIBRACION!X53+CALIBRACION!AA53))</f>
        <v/>
      </c>
      <c r="K47" s="840" t="str">
        <f aca="false">IF(CALIBRACION!$H53="","",INCERTIDUMBRE!$F$12-INCERTIDUMBRE!$F$13)</f>
        <v/>
      </c>
      <c r="L47" s="840" t="str">
        <f aca="false">IF(CALIBRACION!$H53="","",-INCERTIDUMBRE!$F$13)</f>
        <v/>
      </c>
      <c r="M47" s="839" t="str">
        <f aca="false">IF(CALIBRACION!$H53="","",CALIBRACION!R53*1000000)</f>
        <v/>
      </c>
      <c r="N47" s="839" t="str">
        <f aca="false">IF(CALIBRACION!$H53="","",-CALIBRACION!R53*1000000)</f>
        <v/>
      </c>
      <c r="O47" s="839" t="str">
        <f aca="false">IF(CALIBRACION!$H53="","",-CALIBRACION!R53*1000000)</f>
        <v/>
      </c>
    </row>
    <row r="48" customFormat="false" ht="15.75" hidden="false" customHeight="false" outlineLevel="0" collapsed="false">
      <c r="B48" s="834" t="str">
        <f aca="false">IF(CALIBRACION!$H54="","",1)</f>
        <v/>
      </c>
      <c r="C48" s="835" t="str">
        <f aca="false">IF(CALIBRACION!H54="","",1+(INCERTIDUMBRE!$F$12*CALIBRACION!X54)-(INCERTIDUMBRE!$F$13*CALIBRACION!X54)-(INCERTIDUMBRE!$F$13*CALIBRACION!AA54))</f>
        <v/>
      </c>
      <c r="D48" s="836" t="str">
        <f aca="false">IF(CALIBRACION!H54="","",(CALIBRACION!R54*CALIBRACION!X54)*1000000)</f>
        <v/>
      </c>
      <c r="E48" s="836" t="str">
        <f aca="false">IF(CALIBRACION!H54="","",-(CALIBRACION!X54+CALIBRACION!AA54)*CALIBRACION!R54*1000000)</f>
        <v/>
      </c>
      <c r="F48" s="837" t="str">
        <f aca="false">IF(CALIBRACION!H54="","",-(INCERTIDUMBRE!$G$13*CALIBRACION!R54)*1000000)</f>
        <v/>
      </c>
      <c r="G48" s="838" t="str">
        <f aca="false">IF(CALIBRACION!H54="","",((INCERTIDUMBRE!$F$12)-(INCERTIDUMBRE!$F$13))*CALIBRACION!R54*1000000)</f>
        <v/>
      </c>
      <c r="H48" s="839" t="str">
        <f aca="false">IF(CALIBRACION!$H54="","",1)</f>
        <v/>
      </c>
      <c r="I48" s="840" t="str">
        <f aca="false">IF(CALIBRACION!$H54="","",CALIBRACION!X54)</f>
        <v/>
      </c>
      <c r="J48" s="840" t="str">
        <f aca="false">IF(CALIBRACION!$H54="","",-(CALIBRACION!X54+CALIBRACION!AA54))</f>
        <v/>
      </c>
      <c r="K48" s="840" t="str">
        <f aca="false">IF(CALIBRACION!$H54="","",INCERTIDUMBRE!$F$12-INCERTIDUMBRE!$F$13)</f>
        <v/>
      </c>
      <c r="L48" s="840" t="str">
        <f aca="false">IF(CALIBRACION!$H54="","",-INCERTIDUMBRE!$F$13)</f>
        <v/>
      </c>
      <c r="M48" s="839" t="str">
        <f aca="false">IF(CALIBRACION!$H54="","",CALIBRACION!R54*1000000)</f>
        <v/>
      </c>
      <c r="N48" s="839" t="str">
        <f aca="false">IF(CALIBRACION!$H54="","",-CALIBRACION!R54*1000000)</f>
        <v/>
      </c>
      <c r="O48" s="839" t="str">
        <f aca="false">IF(CALIBRACION!$H54="","",-CALIBRACION!R54*1000000)</f>
        <v/>
      </c>
    </row>
    <row r="49" customFormat="false" ht="15.75" hidden="false" customHeight="false" outlineLevel="0" collapsed="false">
      <c r="B49" s="834" t="str">
        <f aca="false">IF(CALIBRACION!$H55="","",1)</f>
        <v/>
      </c>
      <c r="C49" s="835" t="str">
        <f aca="false">IF(CALIBRACION!H55="","",1+(INCERTIDUMBRE!$F$12*CALIBRACION!X55)-(INCERTIDUMBRE!$F$13*CALIBRACION!X55)-(INCERTIDUMBRE!$F$13*CALIBRACION!AA55))</f>
        <v/>
      </c>
      <c r="D49" s="836" t="str">
        <f aca="false">IF(CALIBRACION!H55="","",(CALIBRACION!R55*CALIBRACION!X55)*1000000)</f>
        <v/>
      </c>
      <c r="E49" s="836" t="str">
        <f aca="false">IF(CALIBRACION!H55="","",-(CALIBRACION!X55+CALIBRACION!AA55)*CALIBRACION!R55*1000000)</f>
        <v/>
      </c>
      <c r="F49" s="837" t="str">
        <f aca="false">IF(CALIBRACION!H55="","",-(INCERTIDUMBRE!$G$13*CALIBRACION!R55)*1000000)</f>
        <v/>
      </c>
      <c r="G49" s="838" t="str">
        <f aca="false">IF(CALIBRACION!H55="","",((INCERTIDUMBRE!$F$12)-(INCERTIDUMBRE!$F$13))*CALIBRACION!R55*1000000)</f>
        <v/>
      </c>
      <c r="H49" s="839" t="str">
        <f aca="false">IF(CALIBRACION!$H55="","",1)</f>
        <v/>
      </c>
      <c r="I49" s="840" t="str">
        <f aca="false">IF(CALIBRACION!$H55="","",CALIBRACION!X55)</f>
        <v/>
      </c>
      <c r="J49" s="840" t="str">
        <f aca="false">IF(CALIBRACION!$H55="","",-(CALIBRACION!X55+CALIBRACION!AA55))</f>
        <v/>
      </c>
      <c r="K49" s="840" t="str">
        <f aca="false">IF(CALIBRACION!$H55="","",INCERTIDUMBRE!$F$12-INCERTIDUMBRE!$F$13)</f>
        <v/>
      </c>
      <c r="L49" s="840" t="str">
        <f aca="false">IF(CALIBRACION!$H55="","",-INCERTIDUMBRE!$F$13)</f>
        <v/>
      </c>
      <c r="M49" s="839" t="str">
        <f aca="false">IF(CALIBRACION!$H55="","",CALIBRACION!R55*1000000)</f>
        <v/>
      </c>
      <c r="N49" s="839" t="str">
        <f aca="false">IF(CALIBRACION!$H55="","",-CALIBRACION!R55*1000000)</f>
        <v/>
      </c>
      <c r="O49" s="839" t="str">
        <f aca="false">IF(CALIBRACION!$H55="","",-CALIBRACION!R55*1000000)</f>
        <v/>
      </c>
    </row>
    <row r="50" customFormat="false" ht="15.75" hidden="false" customHeight="false" outlineLevel="0" collapsed="false">
      <c r="B50" s="834" t="str">
        <f aca="false">IF(CALIBRACION!$H56="","",1)</f>
        <v/>
      </c>
      <c r="C50" s="835" t="str">
        <f aca="false">IF(CALIBRACION!H56="","",1+(INCERTIDUMBRE!$F$12*CALIBRACION!X56)-(INCERTIDUMBRE!$F$13*CALIBRACION!X56)-(INCERTIDUMBRE!$F$13*CALIBRACION!AA56))</f>
        <v/>
      </c>
      <c r="D50" s="836" t="str">
        <f aca="false">IF(CALIBRACION!H56="","",(CALIBRACION!R56*CALIBRACION!X56)*1000000)</f>
        <v/>
      </c>
      <c r="E50" s="836" t="str">
        <f aca="false">IF(CALIBRACION!H56="","",-(CALIBRACION!X56+CALIBRACION!AA56)*CALIBRACION!R56*1000000)</f>
        <v/>
      </c>
      <c r="F50" s="837" t="str">
        <f aca="false">IF(CALIBRACION!H56="","",-(INCERTIDUMBRE!$G$13*CALIBRACION!R56)*1000000)</f>
        <v/>
      </c>
      <c r="G50" s="838" t="str">
        <f aca="false">IF(CALIBRACION!H56="","",((INCERTIDUMBRE!$F$12)-(INCERTIDUMBRE!$F$13))*CALIBRACION!R56*1000000)</f>
        <v/>
      </c>
      <c r="H50" s="839" t="str">
        <f aca="false">IF(CALIBRACION!$H56="","",1)</f>
        <v/>
      </c>
      <c r="I50" s="840" t="str">
        <f aca="false">IF(CALIBRACION!$H56="","",CALIBRACION!X56)</f>
        <v/>
      </c>
      <c r="J50" s="840" t="str">
        <f aca="false">IF(CALIBRACION!$H56="","",-(CALIBRACION!X56+CALIBRACION!AA56))</f>
        <v/>
      </c>
      <c r="K50" s="840" t="str">
        <f aca="false">IF(CALIBRACION!$H56="","",INCERTIDUMBRE!$F$12-INCERTIDUMBRE!$F$13)</f>
        <v/>
      </c>
      <c r="L50" s="840" t="str">
        <f aca="false">IF(CALIBRACION!$H56="","",-INCERTIDUMBRE!$F$13)</f>
        <v/>
      </c>
      <c r="M50" s="839" t="str">
        <f aca="false">IF(CALIBRACION!$H56="","",CALIBRACION!R56*1000000)</f>
        <v/>
      </c>
      <c r="N50" s="839" t="str">
        <f aca="false">IF(CALIBRACION!$H56="","",-CALIBRACION!R56*1000000)</f>
        <v/>
      </c>
      <c r="O50" s="839" t="str">
        <f aca="false">IF(CALIBRACION!$H56="","",-CALIBRACION!R56*1000000)</f>
        <v/>
      </c>
    </row>
    <row r="51" customFormat="false" ht="15.75" hidden="false" customHeight="false" outlineLevel="0" collapsed="false">
      <c r="B51" s="834" t="str">
        <f aca="false">IF(CALIBRACION!$H57="","",1)</f>
        <v/>
      </c>
      <c r="C51" s="835" t="str">
        <f aca="false">IF(CALIBRACION!H57="","",1+(INCERTIDUMBRE!$F$12*CALIBRACION!X57)-(INCERTIDUMBRE!$F$13*CALIBRACION!X57)-(INCERTIDUMBRE!$F$13*CALIBRACION!AA57))</f>
        <v/>
      </c>
      <c r="D51" s="836" t="str">
        <f aca="false">IF(CALIBRACION!H57="","",(CALIBRACION!R57*CALIBRACION!X57)*1000000)</f>
        <v/>
      </c>
      <c r="E51" s="836" t="str">
        <f aca="false">IF(CALIBRACION!H57="","",-(CALIBRACION!X57+CALIBRACION!AA57)*CALIBRACION!R57*1000000)</f>
        <v/>
      </c>
      <c r="F51" s="837" t="str">
        <f aca="false">IF(CALIBRACION!H57="","",-(INCERTIDUMBRE!$G$13*CALIBRACION!R57)*1000000)</f>
        <v/>
      </c>
      <c r="G51" s="838" t="str">
        <f aca="false">IF(CALIBRACION!H57="","",((INCERTIDUMBRE!$F$12)-(INCERTIDUMBRE!$F$13))*CALIBRACION!R57*1000000)</f>
        <v/>
      </c>
      <c r="H51" s="839" t="str">
        <f aca="false">IF(CALIBRACION!$H57="","",1)</f>
        <v/>
      </c>
      <c r="I51" s="840" t="str">
        <f aca="false">IF(CALIBRACION!$H57="","",CALIBRACION!X57)</f>
        <v/>
      </c>
      <c r="J51" s="840" t="str">
        <f aca="false">IF(CALIBRACION!$H57="","",-(CALIBRACION!X57+CALIBRACION!AA57))</f>
        <v/>
      </c>
      <c r="K51" s="840" t="str">
        <f aca="false">IF(CALIBRACION!$H57="","",INCERTIDUMBRE!$F$12-INCERTIDUMBRE!$F$13)</f>
        <v/>
      </c>
      <c r="L51" s="840" t="str">
        <f aca="false">IF(CALIBRACION!$H57="","",-INCERTIDUMBRE!$F$13)</f>
        <v/>
      </c>
      <c r="M51" s="839" t="str">
        <f aca="false">IF(CALIBRACION!$H57="","",CALIBRACION!R57*1000000)</f>
        <v/>
      </c>
      <c r="N51" s="839" t="str">
        <f aca="false">IF(CALIBRACION!$H57="","",-CALIBRACION!R57*1000000)</f>
        <v/>
      </c>
      <c r="O51" s="839" t="str">
        <f aca="false">IF(CALIBRACION!$H57="","",-CALIBRACION!R57*1000000)</f>
        <v/>
      </c>
    </row>
    <row r="52" customFormat="false" ht="15.75" hidden="false" customHeight="false" outlineLevel="0" collapsed="false">
      <c r="B52" s="834" t="str">
        <f aca="false">IF(CALIBRACION!$H58="","",1)</f>
        <v/>
      </c>
      <c r="C52" s="835" t="str">
        <f aca="false">IF(CALIBRACION!H58="","",1+(INCERTIDUMBRE!$F$12*CALIBRACION!X58)-(INCERTIDUMBRE!$F$13*CALIBRACION!X58)-(INCERTIDUMBRE!$F$13*CALIBRACION!AA58))</f>
        <v/>
      </c>
      <c r="D52" s="836" t="str">
        <f aca="false">IF(CALIBRACION!H58="","",(CALIBRACION!R58*CALIBRACION!X58)*1000000)</f>
        <v/>
      </c>
      <c r="E52" s="836" t="str">
        <f aca="false">IF(CALIBRACION!H58="","",-(CALIBRACION!X58+CALIBRACION!AA58)*CALIBRACION!R58*1000000)</f>
        <v/>
      </c>
      <c r="F52" s="837" t="str">
        <f aca="false">IF(CALIBRACION!H58="","",-(INCERTIDUMBRE!$G$13*CALIBRACION!R58)*1000000)</f>
        <v/>
      </c>
      <c r="G52" s="838" t="str">
        <f aca="false">IF(CALIBRACION!H58="","",((INCERTIDUMBRE!$F$12)-(INCERTIDUMBRE!$F$13))*CALIBRACION!R58*1000000)</f>
        <v/>
      </c>
      <c r="H52" s="839" t="str">
        <f aca="false">IF(CALIBRACION!$H58="","",1)</f>
        <v/>
      </c>
      <c r="I52" s="840" t="str">
        <f aca="false">IF(CALIBRACION!$H58="","",CALIBRACION!X58)</f>
        <v/>
      </c>
      <c r="J52" s="840" t="str">
        <f aca="false">IF(CALIBRACION!$H58="","",-(CALIBRACION!X58+CALIBRACION!AA58))</f>
        <v/>
      </c>
      <c r="K52" s="840" t="str">
        <f aca="false">IF(CALIBRACION!$H58="","",INCERTIDUMBRE!$F$12-INCERTIDUMBRE!$F$13)</f>
        <v/>
      </c>
      <c r="L52" s="840" t="str">
        <f aca="false">IF(CALIBRACION!$H58="","",-INCERTIDUMBRE!$F$13)</f>
        <v/>
      </c>
      <c r="M52" s="839" t="str">
        <f aca="false">IF(CALIBRACION!$H58="","",CALIBRACION!R58*1000000)</f>
        <v/>
      </c>
      <c r="N52" s="839" t="str">
        <f aca="false">IF(CALIBRACION!$H58="","",-CALIBRACION!R58*1000000)</f>
        <v/>
      </c>
      <c r="O52" s="839" t="str">
        <f aca="false">IF(CALIBRACION!$H58="","",-CALIBRACION!R58*1000000)</f>
        <v/>
      </c>
    </row>
    <row r="53" customFormat="false" ht="15.75" hidden="false" customHeight="false" outlineLevel="0" collapsed="false">
      <c r="B53" s="834" t="str">
        <f aca="false">IF(CALIBRACION!$H59="","",1)</f>
        <v/>
      </c>
      <c r="C53" s="835" t="str">
        <f aca="false">IF(CALIBRACION!H59="","",1+(INCERTIDUMBRE!$F$12*CALIBRACION!X59)-(INCERTIDUMBRE!$F$13*CALIBRACION!X59)-(INCERTIDUMBRE!$F$13*CALIBRACION!AA59))</f>
        <v/>
      </c>
      <c r="D53" s="836" t="str">
        <f aca="false">IF(CALIBRACION!H59="","",(CALIBRACION!R59*CALIBRACION!X59)*1000000)</f>
        <v/>
      </c>
      <c r="E53" s="836" t="str">
        <f aca="false">IF(CALIBRACION!H59="","",-(CALIBRACION!X59+CALIBRACION!AA59)*CALIBRACION!R59*1000000)</f>
        <v/>
      </c>
      <c r="F53" s="837" t="str">
        <f aca="false">IF(CALIBRACION!H59="","",-(INCERTIDUMBRE!$G$13*CALIBRACION!R59)*1000000)</f>
        <v/>
      </c>
      <c r="G53" s="838" t="str">
        <f aca="false">IF(CALIBRACION!H59="","",((INCERTIDUMBRE!$F$12)-(INCERTIDUMBRE!$F$13))*CALIBRACION!R59*1000000)</f>
        <v/>
      </c>
      <c r="H53" s="839" t="str">
        <f aca="false">IF(CALIBRACION!$H59="","",1)</f>
        <v/>
      </c>
      <c r="I53" s="840" t="str">
        <f aca="false">IF(CALIBRACION!$H59="","",CALIBRACION!X59)</f>
        <v/>
      </c>
      <c r="J53" s="840" t="str">
        <f aca="false">IF(CALIBRACION!$H59="","",-(CALIBRACION!X59+CALIBRACION!AA59))</f>
        <v/>
      </c>
      <c r="K53" s="840" t="str">
        <f aca="false">IF(CALIBRACION!$H59="","",INCERTIDUMBRE!$F$12-INCERTIDUMBRE!$F$13)</f>
        <v/>
      </c>
      <c r="L53" s="840" t="str">
        <f aca="false">IF(CALIBRACION!$H59="","",-INCERTIDUMBRE!$F$13)</f>
        <v/>
      </c>
      <c r="M53" s="839" t="str">
        <f aca="false">IF(CALIBRACION!$H59="","",CALIBRACION!R59*1000000)</f>
        <v/>
      </c>
      <c r="N53" s="839" t="str">
        <f aca="false">IF(CALIBRACION!$H59="","",-CALIBRACION!R59*1000000)</f>
        <v/>
      </c>
      <c r="O53" s="839" t="str">
        <f aca="false">IF(CALIBRACION!$H59="","",-CALIBRACION!R59*1000000)</f>
        <v/>
      </c>
    </row>
    <row r="54" customFormat="false" ht="15.75" hidden="false" customHeight="false" outlineLevel="0" collapsed="false">
      <c r="B54" s="834" t="str">
        <f aca="false">IF(CALIBRACION!$H60="","",1)</f>
        <v/>
      </c>
      <c r="C54" s="835" t="str">
        <f aca="false">IF(CALIBRACION!H60="","",1+(INCERTIDUMBRE!$F$12*CALIBRACION!X60)-(INCERTIDUMBRE!$F$13*CALIBRACION!X60)-(INCERTIDUMBRE!$F$13*CALIBRACION!AA60))</f>
        <v/>
      </c>
      <c r="D54" s="836" t="str">
        <f aca="false">IF(CALIBRACION!H60="","",(CALIBRACION!R60*CALIBRACION!X60)*1000000)</f>
        <v/>
      </c>
      <c r="E54" s="836" t="str">
        <f aca="false">IF(CALIBRACION!H60="","",-(CALIBRACION!X60+CALIBRACION!AA60)*CALIBRACION!R60*1000000)</f>
        <v/>
      </c>
      <c r="F54" s="837" t="str">
        <f aca="false">IF(CALIBRACION!H60="","",-(INCERTIDUMBRE!$G$13*CALIBRACION!R60)*1000000)</f>
        <v/>
      </c>
      <c r="G54" s="838" t="str">
        <f aca="false">IF(CALIBRACION!H60="","",((INCERTIDUMBRE!$F$12)-(INCERTIDUMBRE!$F$13))*CALIBRACION!R60*1000000)</f>
        <v/>
      </c>
      <c r="H54" s="839" t="str">
        <f aca="false">IF(CALIBRACION!$H60="","",1)</f>
        <v/>
      </c>
      <c r="I54" s="840" t="str">
        <f aca="false">IF(CALIBRACION!$H60="","",CALIBRACION!X60)</f>
        <v/>
      </c>
      <c r="J54" s="840" t="str">
        <f aca="false">IF(CALIBRACION!$H60="","",-(CALIBRACION!X60+CALIBRACION!AA60))</f>
        <v/>
      </c>
      <c r="K54" s="840" t="str">
        <f aca="false">IF(CALIBRACION!$H60="","",INCERTIDUMBRE!$F$12-INCERTIDUMBRE!$F$13)</f>
        <v/>
      </c>
      <c r="L54" s="840" t="str">
        <f aca="false">IF(CALIBRACION!$H60="","",-INCERTIDUMBRE!$F$13)</f>
        <v/>
      </c>
      <c r="M54" s="839" t="str">
        <f aca="false">IF(CALIBRACION!$H60="","",CALIBRACION!R60*1000000)</f>
        <v/>
      </c>
      <c r="N54" s="839" t="str">
        <f aca="false">IF(CALIBRACION!$H60="","",-CALIBRACION!R60*1000000)</f>
        <v/>
      </c>
      <c r="O54" s="839" t="str">
        <f aca="false">IF(CALIBRACION!$H60="","",-CALIBRACION!R60*1000000)</f>
        <v/>
      </c>
    </row>
    <row r="55" customFormat="false" ht="15.75" hidden="false" customHeight="false" outlineLevel="0" collapsed="false">
      <c r="B55" s="834" t="str">
        <f aca="false">IF(CALIBRACION!$H61="","",1)</f>
        <v/>
      </c>
      <c r="C55" s="835" t="str">
        <f aca="false">IF(CALIBRACION!H61="","",1+(INCERTIDUMBRE!$F$12*CALIBRACION!X61)-(INCERTIDUMBRE!$F$13*CALIBRACION!X61)-(INCERTIDUMBRE!$F$13*CALIBRACION!AA61))</f>
        <v/>
      </c>
      <c r="D55" s="836" t="str">
        <f aca="false">IF(CALIBRACION!H61="","",(CALIBRACION!R61*CALIBRACION!X61)*1000000)</f>
        <v/>
      </c>
      <c r="E55" s="836" t="str">
        <f aca="false">IF(CALIBRACION!H61="","",-(CALIBRACION!X61+CALIBRACION!AA61)*CALIBRACION!R61*1000000)</f>
        <v/>
      </c>
      <c r="F55" s="837" t="str">
        <f aca="false">IF(CALIBRACION!H61="","",-(INCERTIDUMBRE!$G$13*CALIBRACION!R61)*1000000)</f>
        <v/>
      </c>
      <c r="G55" s="838" t="str">
        <f aca="false">IF(CALIBRACION!H61="","",((INCERTIDUMBRE!$F$12)-(INCERTIDUMBRE!$F$13))*CALIBRACION!R61*1000000)</f>
        <v/>
      </c>
      <c r="H55" s="839" t="str">
        <f aca="false">IF(CALIBRACION!$H61="","",1)</f>
        <v/>
      </c>
      <c r="I55" s="840" t="str">
        <f aca="false">IF(CALIBRACION!$H61="","",CALIBRACION!X61)</f>
        <v/>
      </c>
      <c r="J55" s="840" t="str">
        <f aca="false">IF(CALIBRACION!$H61="","",-(CALIBRACION!X61+CALIBRACION!AA61))</f>
        <v/>
      </c>
      <c r="K55" s="840" t="str">
        <f aca="false">IF(CALIBRACION!$H61="","",INCERTIDUMBRE!$F$12-INCERTIDUMBRE!$F$13)</f>
        <v/>
      </c>
      <c r="L55" s="840" t="str">
        <f aca="false">IF(CALIBRACION!$H61="","",-INCERTIDUMBRE!$F$13)</f>
        <v/>
      </c>
      <c r="M55" s="839" t="str">
        <f aca="false">IF(CALIBRACION!$H61="","",CALIBRACION!R61*1000000)</f>
        <v/>
      </c>
      <c r="N55" s="839" t="str">
        <f aca="false">IF(CALIBRACION!$H61="","",-CALIBRACION!R61*1000000)</f>
        <v/>
      </c>
      <c r="O55" s="839" t="str">
        <f aca="false">IF(CALIBRACION!$H61="","",-CALIBRACION!R61*1000000)</f>
        <v/>
      </c>
    </row>
    <row r="56" customFormat="false" ht="15.75" hidden="false" customHeight="false" outlineLevel="0" collapsed="false">
      <c r="B56" s="834" t="str">
        <f aca="false">IF(CALIBRACION!$H62="","",1)</f>
        <v/>
      </c>
      <c r="C56" s="835" t="str">
        <f aca="false">IF(CALIBRACION!H62="","",1+(INCERTIDUMBRE!$F$12*CALIBRACION!X62)-(INCERTIDUMBRE!$F$13*CALIBRACION!X62)-(INCERTIDUMBRE!$F$13*CALIBRACION!AA62))</f>
        <v/>
      </c>
      <c r="D56" s="836" t="str">
        <f aca="false">IF(CALIBRACION!H62="","",(CALIBRACION!R62*CALIBRACION!X62)*1000000)</f>
        <v/>
      </c>
      <c r="E56" s="836" t="str">
        <f aca="false">IF(CALIBRACION!H62="","",-(CALIBRACION!X62+CALIBRACION!AA62)*CALIBRACION!R62*1000000)</f>
        <v/>
      </c>
      <c r="F56" s="837" t="str">
        <f aca="false">IF(CALIBRACION!H62="","",-(INCERTIDUMBRE!$G$13*CALIBRACION!R62)*1000000)</f>
        <v/>
      </c>
      <c r="G56" s="838" t="str">
        <f aca="false">IF(CALIBRACION!H62="","",((INCERTIDUMBRE!$F$12)-(INCERTIDUMBRE!$F$13))*CALIBRACION!R62*1000000)</f>
        <v/>
      </c>
      <c r="H56" s="839" t="str">
        <f aca="false">IF(CALIBRACION!$H62="","",1)</f>
        <v/>
      </c>
      <c r="I56" s="840" t="str">
        <f aca="false">IF(CALIBRACION!$H62="","",CALIBRACION!X62)</f>
        <v/>
      </c>
      <c r="J56" s="840" t="str">
        <f aca="false">IF(CALIBRACION!$H62="","",-(CALIBRACION!X62+CALIBRACION!AA62))</f>
        <v/>
      </c>
      <c r="K56" s="840" t="str">
        <f aca="false">IF(CALIBRACION!$H62="","",INCERTIDUMBRE!$F$12-INCERTIDUMBRE!$F$13)</f>
        <v/>
      </c>
      <c r="L56" s="840" t="str">
        <f aca="false">IF(CALIBRACION!$H62="","",-INCERTIDUMBRE!$F$13)</f>
        <v/>
      </c>
      <c r="M56" s="839" t="str">
        <f aca="false">IF(CALIBRACION!$H62="","",CALIBRACION!R62*1000000)</f>
        <v/>
      </c>
      <c r="N56" s="839" t="str">
        <f aca="false">IF(CALIBRACION!$H62="","",-CALIBRACION!R62*1000000)</f>
        <v/>
      </c>
      <c r="O56" s="839" t="str">
        <f aca="false">IF(CALIBRACION!$H62="","",-CALIBRACION!R62*1000000)</f>
        <v/>
      </c>
    </row>
    <row r="57" customFormat="false" ht="15.75" hidden="false" customHeight="false" outlineLevel="0" collapsed="false">
      <c r="B57" s="834" t="str">
        <f aca="false">IF(CALIBRACION!$H63="","",1)</f>
        <v/>
      </c>
      <c r="C57" s="835" t="str">
        <f aca="false">IF(CALIBRACION!H63="","",1+(INCERTIDUMBRE!$F$12*CALIBRACION!X63)-(INCERTIDUMBRE!$F$13*CALIBRACION!X63)-(INCERTIDUMBRE!$F$13*CALIBRACION!AA63))</f>
        <v/>
      </c>
      <c r="D57" s="836" t="str">
        <f aca="false">IF(CALIBRACION!H63="","",(CALIBRACION!R63*CALIBRACION!X63)*1000000)</f>
        <v/>
      </c>
      <c r="E57" s="836" t="str">
        <f aca="false">IF(CALIBRACION!H63="","",-(CALIBRACION!X63+CALIBRACION!AA63)*CALIBRACION!R63*1000000)</f>
        <v/>
      </c>
      <c r="F57" s="837" t="str">
        <f aca="false">IF(CALIBRACION!H63="","",-(INCERTIDUMBRE!$G$13*CALIBRACION!R63)*1000000)</f>
        <v/>
      </c>
      <c r="G57" s="838" t="str">
        <f aca="false">IF(CALIBRACION!H63="","",((INCERTIDUMBRE!$F$12)-(INCERTIDUMBRE!$F$13))*CALIBRACION!R63*1000000)</f>
        <v/>
      </c>
      <c r="H57" s="839" t="str">
        <f aca="false">IF(CALIBRACION!$H63="","",1)</f>
        <v/>
      </c>
      <c r="I57" s="840" t="str">
        <f aca="false">IF(CALIBRACION!$H63="","",CALIBRACION!X63)</f>
        <v/>
      </c>
      <c r="J57" s="840" t="str">
        <f aca="false">IF(CALIBRACION!$H63="","",-(CALIBRACION!X63+CALIBRACION!AA63))</f>
        <v/>
      </c>
      <c r="K57" s="840" t="str">
        <f aca="false">IF(CALIBRACION!$H63="","",INCERTIDUMBRE!$F$12-INCERTIDUMBRE!$F$13)</f>
        <v/>
      </c>
      <c r="L57" s="840" t="str">
        <f aca="false">IF(CALIBRACION!$H63="","",-INCERTIDUMBRE!$F$13)</f>
        <v/>
      </c>
      <c r="M57" s="839" t="str">
        <f aca="false">IF(CALIBRACION!$H63="","",CALIBRACION!R63*1000000)</f>
        <v/>
      </c>
      <c r="N57" s="839" t="str">
        <f aca="false">IF(CALIBRACION!$H63="","",-CALIBRACION!R63*1000000)</f>
        <v/>
      </c>
      <c r="O57" s="839" t="str">
        <f aca="false">IF(CALIBRACION!$H63="","",-CALIBRACION!R63*1000000)</f>
        <v/>
      </c>
    </row>
    <row r="58" customFormat="false" ht="15.75" hidden="false" customHeight="false" outlineLevel="0" collapsed="false">
      <c r="B58" s="834" t="str">
        <f aca="false">IF(CALIBRACION!$H64="","",1)</f>
        <v/>
      </c>
      <c r="C58" s="835" t="str">
        <f aca="false">IF(CALIBRACION!H64="","",1+(INCERTIDUMBRE!$F$12*CALIBRACION!X64)-(INCERTIDUMBRE!$F$13*CALIBRACION!X64)-(INCERTIDUMBRE!$F$13*CALIBRACION!AA64))</f>
        <v/>
      </c>
      <c r="D58" s="836" t="str">
        <f aca="false">IF(CALIBRACION!H64="","",(CALIBRACION!R64*CALIBRACION!X64)*1000000)</f>
        <v/>
      </c>
      <c r="E58" s="836" t="str">
        <f aca="false">IF(CALIBRACION!H64="","",-(CALIBRACION!X64+CALIBRACION!AA64)*CALIBRACION!R64*1000000)</f>
        <v/>
      </c>
      <c r="F58" s="837" t="str">
        <f aca="false">IF(CALIBRACION!H64="","",-(INCERTIDUMBRE!$G$13*CALIBRACION!R64)*1000000)</f>
        <v/>
      </c>
      <c r="G58" s="838" t="str">
        <f aca="false">IF(CALIBRACION!H64="","",((INCERTIDUMBRE!$F$12)-(INCERTIDUMBRE!$F$13))*CALIBRACION!R64*1000000)</f>
        <v/>
      </c>
      <c r="H58" s="839" t="str">
        <f aca="false">IF(CALIBRACION!$H64="","",1)</f>
        <v/>
      </c>
      <c r="I58" s="840" t="str">
        <f aca="false">IF(CALIBRACION!$H64="","",CALIBRACION!X64)</f>
        <v/>
      </c>
      <c r="J58" s="840" t="str">
        <f aca="false">IF(CALIBRACION!$H64="","",-(CALIBRACION!X64+CALIBRACION!AA64))</f>
        <v/>
      </c>
      <c r="K58" s="840" t="str">
        <f aca="false">IF(CALIBRACION!$H64="","",INCERTIDUMBRE!$F$12-INCERTIDUMBRE!$F$13)</f>
        <v/>
      </c>
      <c r="L58" s="840" t="str">
        <f aca="false">IF(CALIBRACION!$H64="","",-INCERTIDUMBRE!$F$13)</f>
        <v/>
      </c>
      <c r="M58" s="839" t="str">
        <f aca="false">IF(CALIBRACION!$H64="","",CALIBRACION!R64*1000000)</f>
        <v/>
      </c>
      <c r="N58" s="839" t="str">
        <f aca="false">IF(CALIBRACION!$H64="","",-CALIBRACION!R64*1000000)</f>
        <v/>
      </c>
      <c r="O58" s="839" t="str">
        <f aca="false">IF(CALIBRACION!$H64="","",-CALIBRACION!R64*1000000)</f>
        <v/>
      </c>
    </row>
    <row r="59" customFormat="false" ht="15.75" hidden="false" customHeight="false" outlineLevel="0" collapsed="false">
      <c r="B59" s="834" t="str">
        <f aca="false">IF(CALIBRACION!$H65="","",1)</f>
        <v/>
      </c>
      <c r="C59" s="835" t="str">
        <f aca="false">IF(CALIBRACION!H65="","",1+(INCERTIDUMBRE!$F$12*CALIBRACION!X65)-(INCERTIDUMBRE!$F$13*CALIBRACION!X65)-(INCERTIDUMBRE!$F$13*CALIBRACION!AA65))</f>
        <v/>
      </c>
      <c r="D59" s="836" t="str">
        <f aca="false">IF(CALIBRACION!H65="","",(CALIBRACION!R65*CALIBRACION!X65)*1000000)</f>
        <v/>
      </c>
      <c r="E59" s="836" t="str">
        <f aca="false">IF(CALIBRACION!H65="","",-(CALIBRACION!X65+CALIBRACION!AA65)*CALIBRACION!R65*1000000)</f>
        <v/>
      </c>
      <c r="F59" s="837" t="str">
        <f aca="false">IF(CALIBRACION!H65="","",-(INCERTIDUMBRE!$G$13*CALIBRACION!R65)*1000000)</f>
        <v/>
      </c>
      <c r="G59" s="838" t="str">
        <f aca="false">IF(CALIBRACION!H65="","",((INCERTIDUMBRE!$F$12)-(INCERTIDUMBRE!$F$13))*CALIBRACION!R65*1000000)</f>
        <v/>
      </c>
      <c r="H59" s="839" t="str">
        <f aca="false">IF(CALIBRACION!$H65="","",1)</f>
        <v/>
      </c>
      <c r="I59" s="840" t="str">
        <f aca="false">IF(CALIBRACION!$H65="","",CALIBRACION!X65)</f>
        <v/>
      </c>
      <c r="J59" s="840" t="str">
        <f aca="false">IF(CALIBRACION!$H65="","",-(CALIBRACION!X65+CALIBRACION!AA65))</f>
        <v/>
      </c>
      <c r="K59" s="840" t="str">
        <f aca="false">IF(CALIBRACION!$H65="","",INCERTIDUMBRE!$F$12-INCERTIDUMBRE!$F$13)</f>
        <v/>
      </c>
      <c r="L59" s="840" t="str">
        <f aca="false">IF(CALIBRACION!$H65="","",-INCERTIDUMBRE!$F$13)</f>
        <v/>
      </c>
      <c r="M59" s="839" t="str">
        <f aca="false">IF(CALIBRACION!$H65="","",CALIBRACION!R65*1000000)</f>
        <v/>
      </c>
      <c r="N59" s="839" t="str">
        <f aca="false">IF(CALIBRACION!$H65="","",-CALIBRACION!R65*1000000)</f>
        <v/>
      </c>
      <c r="O59" s="839" t="str">
        <f aca="false">IF(CALIBRACION!$H65="","",-CALIBRACION!R65*1000000)</f>
        <v/>
      </c>
    </row>
    <row r="60" customFormat="false" ht="15.75" hidden="false" customHeight="false" outlineLevel="0" collapsed="false">
      <c r="B60" s="834" t="str">
        <f aca="false">IF(CALIBRACION!$H66="","",1)</f>
        <v/>
      </c>
      <c r="C60" s="835" t="str">
        <f aca="false">IF(CALIBRACION!H66="","",1+(INCERTIDUMBRE!$F$12*CALIBRACION!X66)-(INCERTIDUMBRE!$F$13*CALIBRACION!X66)-(INCERTIDUMBRE!$F$13*CALIBRACION!AA66))</f>
        <v/>
      </c>
      <c r="D60" s="836" t="str">
        <f aca="false">IF(CALIBRACION!H66="","",(CALIBRACION!R66*CALIBRACION!X66)*1000000)</f>
        <v/>
      </c>
      <c r="E60" s="836" t="str">
        <f aca="false">IF(CALIBRACION!H66="","",-(CALIBRACION!X66+CALIBRACION!AA66)*CALIBRACION!R66*1000000)</f>
        <v/>
      </c>
      <c r="F60" s="837" t="str">
        <f aca="false">IF(CALIBRACION!H66="","",-(INCERTIDUMBRE!$G$13*CALIBRACION!R66)*1000000)</f>
        <v/>
      </c>
      <c r="G60" s="838" t="str">
        <f aca="false">IF(CALIBRACION!H66="","",((INCERTIDUMBRE!$F$12)-(INCERTIDUMBRE!$F$13))*CALIBRACION!R66*1000000)</f>
        <v/>
      </c>
      <c r="H60" s="839" t="str">
        <f aca="false">IF(CALIBRACION!$H66="","",1)</f>
        <v/>
      </c>
      <c r="I60" s="840" t="str">
        <f aca="false">IF(CALIBRACION!$H66="","",CALIBRACION!X66)</f>
        <v/>
      </c>
      <c r="J60" s="840" t="str">
        <f aca="false">IF(CALIBRACION!$H66="","",-(CALIBRACION!X66+CALIBRACION!AA66))</f>
        <v/>
      </c>
      <c r="K60" s="840" t="str">
        <f aca="false">IF(CALIBRACION!$H66="","",INCERTIDUMBRE!$F$12-INCERTIDUMBRE!$F$13)</f>
        <v/>
      </c>
      <c r="L60" s="840" t="str">
        <f aca="false">IF(CALIBRACION!$H66="","",-INCERTIDUMBRE!$F$13)</f>
        <v/>
      </c>
      <c r="M60" s="839" t="str">
        <f aca="false">IF(CALIBRACION!$H66="","",CALIBRACION!R66*1000000)</f>
        <v/>
      </c>
      <c r="N60" s="839" t="str">
        <f aca="false">IF(CALIBRACION!$H66="","",-CALIBRACION!R66*1000000)</f>
        <v/>
      </c>
      <c r="O60" s="839" t="str">
        <f aca="false">IF(CALIBRACION!$H66="","",-CALIBRACION!R66*1000000)</f>
        <v/>
      </c>
    </row>
    <row r="61" customFormat="false" ht="15.75" hidden="false" customHeight="false" outlineLevel="0" collapsed="false">
      <c r="B61" s="834" t="str">
        <f aca="false">IF(CALIBRACION!$H67="","",1)</f>
        <v/>
      </c>
      <c r="C61" s="835" t="str">
        <f aca="false">IF(CALIBRACION!H67="","",1+(INCERTIDUMBRE!$F$12*CALIBRACION!X67)-(INCERTIDUMBRE!$F$13*CALIBRACION!X67)-(INCERTIDUMBRE!$F$13*CALIBRACION!AA67))</f>
        <v/>
      </c>
      <c r="D61" s="836" t="str">
        <f aca="false">IF(CALIBRACION!H67="","",(CALIBRACION!R67*CALIBRACION!X67)*1000000)</f>
        <v/>
      </c>
      <c r="E61" s="836" t="str">
        <f aca="false">IF(CALIBRACION!H67="","",-(CALIBRACION!X67+CALIBRACION!AA67)*CALIBRACION!R67*1000000)</f>
        <v/>
      </c>
      <c r="F61" s="837" t="str">
        <f aca="false">IF(CALIBRACION!H67="","",-(INCERTIDUMBRE!$G$13*CALIBRACION!R67)*1000000)</f>
        <v/>
      </c>
      <c r="G61" s="838" t="str">
        <f aca="false">IF(CALIBRACION!H67="","",((INCERTIDUMBRE!$F$12)-(INCERTIDUMBRE!$F$13))*CALIBRACION!R67*1000000)</f>
        <v/>
      </c>
      <c r="H61" s="839" t="str">
        <f aca="false">IF(CALIBRACION!$H67="","",1)</f>
        <v/>
      </c>
      <c r="I61" s="840" t="str">
        <f aca="false">IF(CALIBRACION!$H67="","",CALIBRACION!X67)</f>
        <v/>
      </c>
      <c r="J61" s="840" t="str">
        <f aca="false">IF(CALIBRACION!$H67="","",-(CALIBRACION!X67+CALIBRACION!AA67))</f>
        <v/>
      </c>
      <c r="K61" s="840" t="str">
        <f aca="false">IF(CALIBRACION!$H67="","",INCERTIDUMBRE!$F$12-INCERTIDUMBRE!$F$13)</f>
        <v/>
      </c>
      <c r="L61" s="840" t="str">
        <f aca="false">IF(CALIBRACION!$H67="","",-INCERTIDUMBRE!$F$13)</f>
        <v/>
      </c>
      <c r="M61" s="839" t="str">
        <f aca="false">IF(CALIBRACION!$H67="","",CALIBRACION!R67*1000000)</f>
        <v/>
      </c>
      <c r="N61" s="839" t="str">
        <f aca="false">IF(CALIBRACION!$H67="","",-CALIBRACION!R67*1000000)</f>
        <v/>
      </c>
      <c r="O61" s="839" t="str">
        <f aca="false">IF(CALIBRACION!$H67="","",-CALIBRACION!R67*1000000)</f>
        <v/>
      </c>
    </row>
    <row r="62" customFormat="false" ht="15.75" hidden="false" customHeight="false" outlineLevel="0" collapsed="false">
      <c r="B62" s="834" t="str">
        <f aca="false">IF(CALIBRACION!$H68="","",1)</f>
        <v/>
      </c>
      <c r="C62" s="835" t="str">
        <f aca="false">IF(CALIBRACION!H68="","",1+(INCERTIDUMBRE!$F$12*CALIBRACION!X68)-(INCERTIDUMBRE!$F$13*CALIBRACION!X68)-(INCERTIDUMBRE!$F$13*CALIBRACION!AA68))</f>
        <v/>
      </c>
      <c r="D62" s="836" t="str">
        <f aca="false">IF(CALIBRACION!H68="","",(CALIBRACION!R68*CALIBRACION!X68)*1000000)</f>
        <v/>
      </c>
      <c r="E62" s="836" t="str">
        <f aca="false">IF(CALIBRACION!H68="","",-(CALIBRACION!X68+CALIBRACION!AA68)*CALIBRACION!R68*1000000)</f>
        <v/>
      </c>
      <c r="F62" s="837" t="str">
        <f aca="false">IF(CALIBRACION!H68="","",-(INCERTIDUMBRE!$G$13*CALIBRACION!R68)*1000000)</f>
        <v/>
      </c>
      <c r="G62" s="838" t="str">
        <f aca="false">IF(CALIBRACION!H68="","",((INCERTIDUMBRE!$F$12)-(INCERTIDUMBRE!$F$13))*CALIBRACION!R68*1000000)</f>
        <v/>
      </c>
      <c r="H62" s="839" t="str">
        <f aca="false">IF(CALIBRACION!$H68="","",1)</f>
        <v/>
      </c>
      <c r="I62" s="840" t="str">
        <f aca="false">IF(CALIBRACION!$H68="","",CALIBRACION!X68)</f>
        <v/>
      </c>
      <c r="J62" s="840" t="str">
        <f aca="false">IF(CALIBRACION!$H68="","",-(CALIBRACION!X68+CALIBRACION!AA68))</f>
        <v/>
      </c>
      <c r="K62" s="840" t="str">
        <f aca="false">IF(CALIBRACION!$H68="","",INCERTIDUMBRE!$F$12-INCERTIDUMBRE!$F$13)</f>
        <v/>
      </c>
      <c r="L62" s="840" t="str">
        <f aca="false">IF(CALIBRACION!$H68="","",-INCERTIDUMBRE!$F$13)</f>
        <v/>
      </c>
      <c r="M62" s="839" t="str">
        <f aca="false">IF(CALIBRACION!$H68="","",CALIBRACION!R68*1000000)</f>
        <v/>
      </c>
      <c r="N62" s="839" t="str">
        <f aca="false">IF(CALIBRACION!$H68="","",-CALIBRACION!R68*1000000)</f>
        <v/>
      </c>
      <c r="O62" s="839" t="str">
        <f aca="false">IF(CALIBRACION!$H68="","",-CALIBRACION!R68*1000000)</f>
        <v/>
      </c>
    </row>
    <row r="63" customFormat="false" ht="15.75" hidden="false" customHeight="false" outlineLevel="0" collapsed="false">
      <c r="B63" s="834" t="str">
        <f aca="false">IF(CALIBRACION!$H69="","",1)</f>
        <v/>
      </c>
      <c r="C63" s="835" t="str">
        <f aca="false">IF(CALIBRACION!H69="","",1+(INCERTIDUMBRE!$F$12*CALIBRACION!X69)-(INCERTIDUMBRE!$F$13*CALIBRACION!X69)-(INCERTIDUMBRE!$F$13*CALIBRACION!AA69))</f>
        <v/>
      </c>
      <c r="D63" s="836" t="str">
        <f aca="false">IF(CALIBRACION!H69="","",(CALIBRACION!R69*CALIBRACION!X69)*1000000)</f>
        <v/>
      </c>
      <c r="E63" s="836" t="str">
        <f aca="false">IF(CALIBRACION!H69="","",-(CALIBRACION!X69+CALIBRACION!AA69)*CALIBRACION!R69*1000000)</f>
        <v/>
      </c>
      <c r="F63" s="837" t="str">
        <f aca="false">IF(CALIBRACION!H69="","",-(INCERTIDUMBRE!$G$13*CALIBRACION!R69)*1000000)</f>
        <v/>
      </c>
      <c r="G63" s="838" t="str">
        <f aca="false">IF(CALIBRACION!H69="","",((INCERTIDUMBRE!$F$12)-(INCERTIDUMBRE!$F$13))*CALIBRACION!R69*1000000)</f>
        <v/>
      </c>
      <c r="H63" s="839" t="str">
        <f aca="false">IF(CALIBRACION!$H69="","",1)</f>
        <v/>
      </c>
      <c r="I63" s="840" t="str">
        <f aca="false">IF(CALIBRACION!$H69="","",CALIBRACION!X69)</f>
        <v/>
      </c>
      <c r="J63" s="840" t="str">
        <f aca="false">IF(CALIBRACION!$H69="","",-(CALIBRACION!X69+CALIBRACION!AA69))</f>
        <v/>
      </c>
      <c r="K63" s="840" t="str">
        <f aca="false">IF(CALIBRACION!$H69="","",INCERTIDUMBRE!$F$12-INCERTIDUMBRE!$F$13)</f>
        <v/>
      </c>
      <c r="L63" s="840" t="str">
        <f aca="false">IF(CALIBRACION!$H69="","",-INCERTIDUMBRE!$F$13)</f>
        <v/>
      </c>
      <c r="M63" s="839" t="str">
        <f aca="false">IF(CALIBRACION!$H69="","",CALIBRACION!R69*1000000)</f>
        <v/>
      </c>
      <c r="N63" s="839" t="str">
        <f aca="false">IF(CALIBRACION!$H69="","",-CALIBRACION!R69*1000000)</f>
        <v/>
      </c>
      <c r="O63" s="839" t="str">
        <f aca="false">IF(CALIBRACION!$H69="","",-CALIBRACION!R69*1000000)</f>
        <v/>
      </c>
    </row>
    <row r="64" customFormat="false" ht="15.75" hidden="false" customHeight="false" outlineLevel="0" collapsed="false">
      <c r="B64" s="834" t="str">
        <f aca="false">IF(CALIBRACION!$H70="","",1)</f>
        <v/>
      </c>
      <c r="C64" s="835" t="str">
        <f aca="false">IF(CALIBRACION!H70="","",1+(INCERTIDUMBRE!$F$12*CALIBRACION!X70)-(INCERTIDUMBRE!$F$13*CALIBRACION!X70)-(INCERTIDUMBRE!$F$13*CALIBRACION!AA70))</f>
        <v/>
      </c>
      <c r="D64" s="836" t="str">
        <f aca="false">IF(CALIBRACION!H70="","",(CALIBRACION!R70*CALIBRACION!X70)*1000000)</f>
        <v/>
      </c>
      <c r="E64" s="836" t="str">
        <f aca="false">IF(CALIBRACION!H70="","",-(CALIBRACION!X70+CALIBRACION!AA70)*CALIBRACION!R70*1000000)</f>
        <v/>
      </c>
      <c r="F64" s="837" t="str">
        <f aca="false">IF(CALIBRACION!H70="","",-(INCERTIDUMBRE!$G$13*CALIBRACION!R70)*1000000)</f>
        <v/>
      </c>
      <c r="G64" s="838" t="str">
        <f aca="false">IF(CALIBRACION!H70="","",((INCERTIDUMBRE!$F$12)-(INCERTIDUMBRE!$F$13))*CALIBRACION!R70*1000000)</f>
        <v/>
      </c>
      <c r="H64" s="839" t="str">
        <f aca="false">IF(CALIBRACION!$H70="","",1)</f>
        <v/>
      </c>
      <c r="I64" s="840" t="str">
        <f aca="false">IF(CALIBRACION!$H70="","",CALIBRACION!X70)</f>
        <v/>
      </c>
      <c r="J64" s="840" t="str">
        <f aca="false">IF(CALIBRACION!$H70="","",-(CALIBRACION!X70+CALIBRACION!AA70))</f>
        <v/>
      </c>
      <c r="K64" s="840" t="str">
        <f aca="false">IF(CALIBRACION!$H70="","",INCERTIDUMBRE!$F$12-INCERTIDUMBRE!$F$13)</f>
        <v/>
      </c>
      <c r="L64" s="840" t="str">
        <f aca="false">IF(CALIBRACION!$H70="","",-INCERTIDUMBRE!$F$13)</f>
        <v/>
      </c>
      <c r="M64" s="839" t="str">
        <f aca="false">IF(CALIBRACION!$H70="","",CALIBRACION!R70*1000000)</f>
        <v/>
      </c>
      <c r="N64" s="839" t="str">
        <f aca="false">IF(CALIBRACION!$H70="","",-CALIBRACION!R70*1000000)</f>
        <v/>
      </c>
      <c r="O64" s="839" t="str">
        <f aca="false">IF(CALIBRACION!$H70="","",-CALIBRACION!R70*1000000)</f>
        <v/>
      </c>
    </row>
    <row r="65" customFormat="false" ht="15.75" hidden="false" customHeight="false" outlineLevel="0" collapsed="false">
      <c r="B65" s="834" t="str">
        <f aca="false">IF(CALIBRACION!$H71="","",1)</f>
        <v/>
      </c>
      <c r="C65" s="835" t="str">
        <f aca="false">IF(CALIBRACION!H71="","",1+(INCERTIDUMBRE!$F$12*CALIBRACION!X71)-(INCERTIDUMBRE!$F$13*CALIBRACION!X71)-(INCERTIDUMBRE!$F$13*CALIBRACION!AA71))</f>
        <v/>
      </c>
      <c r="D65" s="836" t="str">
        <f aca="false">IF(CALIBRACION!H71="","",(CALIBRACION!R71*CALIBRACION!X71)*1000000)</f>
        <v/>
      </c>
      <c r="E65" s="836" t="str">
        <f aca="false">IF(CALIBRACION!H71="","",-(CALIBRACION!X71+CALIBRACION!AA71)*CALIBRACION!R71*1000000)</f>
        <v/>
      </c>
      <c r="F65" s="837" t="str">
        <f aca="false">IF(CALIBRACION!H71="","",-(INCERTIDUMBRE!$G$13*CALIBRACION!R71)*1000000)</f>
        <v/>
      </c>
      <c r="G65" s="838" t="str">
        <f aca="false">IF(CALIBRACION!H71="","",((INCERTIDUMBRE!$F$12)-(INCERTIDUMBRE!$F$13))*CALIBRACION!R71*1000000)</f>
        <v/>
      </c>
      <c r="H65" s="839" t="str">
        <f aca="false">IF(CALIBRACION!$H71="","",1)</f>
        <v/>
      </c>
      <c r="I65" s="840" t="str">
        <f aca="false">IF(CALIBRACION!$H71="","",CALIBRACION!X71)</f>
        <v/>
      </c>
      <c r="J65" s="840" t="str">
        <f aca="false">IF(CALIBRACION!$H71="","",-(CALIBRACION!X71+CALIBRACION!AA71))</f>
        <v/>
      </c>
      <c r="K65" s="840" t="str">
        <f aca="false">IF(CALIBRACION!$H71="","",INCERTIDUMBRE!$F$12-INCERTIDUMBRE!$F$13)</f>
        <v/>
      </c>
      <c r="L65" s="840" t="str">
        <f aca="false">IF(CALIBRACION!$H71="","",-INCERTIDUMBRE!$F$13)</f>
        <v/>
      </c>
      <c r="M65" s="839" t="str">
        <f aca="false">IF(CALIBRACION!$H71="","",CALIBRACION!R71*1000000)</f>
        <v/>
      </c>
      <c r="N65" s="839" t="str">
        <f aca="false">IF(CALIBRACION!$H71="","",-CALIBRACION!R71*1000000)</f>
        <v/>
      </c>
      <c r="O65" s="839" t="str">
        <f aca="false">IF(CALIBRACION!$H71="","",-CALIBRACION!R71*1000000)</f>
        <v/>
      </c>
    </row>
    <row r="66" customFormat="false" ht="15.75" hidden="false" customHeight="false" outlineLevel="0" collapsed="false">
      <c r="B66" s="834" t="str">
        <f aca="false">IF(CALIBRACION!$H72="","",1)</f>
        <v/>
      </c>
      <c r="C66" s="835" t="str">
        <f aca="false">IF(CALIBRACION!H72="","",1+(INCERTIDUMBRE!$F$12*CALIBRACION!X72)-(INCERTIDUMBRE!$F$13*CALIBRACION!X72)-(INCERTIDUMBRE!$F$13*CALIBRACION!AA72))</f>
        <v/>
      </c>
      <c r="D66" s="836" t="str">
        <f aca="false">IF(CALIBRACION!H72="","",(CALIBRACION!R72*CALIBRACION!X72)*1000000)</f>
        <v/>
      </c>
      <c r="E66" s="836" t="str">
        <f aca="false">IF(CALIBRACION!H72="","",-(CALIBRACION!X72+CALIBRACION!AA72)*CALIBRACION!R72*1000000)</f>
        <v/>
      </c>
      <c r="F66" s="837" t="str">
        <f aca="false">IF(CALIBRACION!H72="","",-(INCERTIDUMBRE!$G$13*CALIBRACION!R72)*1000000)</f>
        <v/>
      </c>
      <c r="G66" s="838" t="str">
        <f aca="false">IF(CALIBRACION!H72="","",((INCERTIDUMBRE!$F$12)-(INCERTIDUMBRE!$F$13))*CALIBRACION!R72*1000000)</f>
        <v/>
      </c>
      <c r="H66" s="839" t="str">
        <f aca="false">IF(CALIBRACION!$H72="","",1)</f>
        <v/>
      </c>
      <c r="I66" s="840" t="str">
        <f aca="false">IF(CALIBRACION!$H72="","",CALIBRACION!X72)</f>
        <v/>
      </c>
      <c r="J66" s="840" t="str">
        <f aca="false">IF(CALIBRACION!$H72="","",-(CALIBRACION!X72+CALIBRACION!AA72))</f>
        <v/>
      </c>
      <c r="K66" s="840" t="str">
        <f aca="false">IF(CALIBRACION!$H72="","",INCERTIDUMBRE!$F$12-INCERTIDUMBRE!$F$13)</f>
        <v/>
      </c>
      <c r="L66" s="840" t="str">
        <f aca="false">IF(CALIBRACION!$H72="","",-INCERTIDUMBRE!$F$13)</f>
        <v/>
      </c>
      <c r="M66" s="839" t="str">
        <f aca="false">IF(CALIBRACION!$H72="","",CALIBRACION!R72*1000000)</f>
        <v/>
      </c>
      <c r="N66" s="839" t="str">
        <f aca="false">IF(CALIBRACION!$H72="","",-CALIBRACION!R72*1000000)</f>
        <v/>
      </c>
      <c r="O66" s="839" t="str">
        <f aca="false">IF(CALIBRACION!$H72="","",-CALIBRACION!R72*1000000)</f>
        <v/>
      </c>
    </row>
    <row r="67" customFormat="false" ht="15.75" hidden="false" customHeight="false" outlineLevel="0" collapsed="false">
      <c r="B67" s="834" t="str">
        <f aca="false">IF(CALIBRACION!$H73="","",1)</f>
        <v/>
      </c>
      <c r="C67" s="835" t="str">
        <f aca="false">IF(CALIBRACION!H73="","",1+(INCERTIDUMBRE!$F$12*CALIBRACION!X73)-(INCERTIDUMBRE!$F$13*CALIBRACION!X73)-(INCERTIDUMBRE!$F$13*CALIBRACION!AA73))</f>
        <v/>
      </c>
      <c r="D67" s="836" t="str">
        <f aca="false">IF(CALIBRACION!H73="","",(CALIBRACION!R73*CALIBRACION!X73)*1000000)</f>
        <v/>
      </c>
      <c r="E67" s="836" t="str">
        <f aca="false">IF(CALIBRACION!H73="","",-(CALIBRACION!X73+CALIBRACION!AA73)*CALIBRACION!R73*1000000)</f>
        <v/>
      </c>
      <c r="F67" s="837" t="str">
        <f aca="false">IF(CALIBRACION!H73="","",-(INCERTIDUMBRE!$G$13*CALIBRACION!R73)*1000000)</f>
        <v/>
      </c>
      <c r="G67" s="838" t="str">
        <f aca="false">IF(CALIBRACION!H73="","",((INCERTIDUMBRE!$F$12)-(INCERTIDUMBRE!$F$13))*CALIBRACION!R73*1000000)</f>
        <v/>
      </c>
      <c r="H67" s="839" t="str">
        <f aca="false">IF(CALIBRACION!$H73="","",1)</f>
        <v/>
      </c>
      <c r="I67" s="840" t="str">
        <f aca="false">IF(CALIBRACION!$H73="","",CALIBRACION!X73)</f>
        <v/>
      </c>
      <c r="J67" s="840" t="str">
        <f aca="false">IF(CALIBRACION!$H73="","",-(CALIBRACION!X73+CALIBRACION!AA73))</f>
        <v/>
      </c>
      <c r="K67" s="840" t="str">
        <f aca="false">IF(CALIBRACION!$H73="","",INCERTIDUMBRE!$F$12-INCERTIDUMBRE!$F$13)</f>
        <v/>
      </c>
      <c r="L67" s="840" t="str">
        <f aca="false">IF(CALIBRACION!$H73="","",-INCERTIDUMBRE!$F$13)</f>
        <v/>
      </c>
      <c r="M67" s="839" t="str">
        <f aca="false">IF(CALIBRACION!$H73="","",CALIBRACION!R73*1000000)</f>
        <v/>
      </c>
      <c r="N67" s="839" t="str">
        <f aca="false">IF(CALIBRACION!$H73="","",-CALIBRACION!R73*1000000)</f>
        <v/>
      </c>
      <c r="O67" s="839" t="str">
        <f aca="false">IF(CALIBRACION!$H73="","",-CALIBRACION!R73*1000000)</f>
        <v/>
      </c>
    </row>
    <row r="68" customFormat="false" ht="15.75" hidden="false" customHeight="false" outlineLevel="0" collapsed="false">
      <c r="B68" s="834" t="str">
        <f aca="false">IF(CALIBRACION!$H74="","",1)</f>
        <v/>
      </c>
      <c r="C68" s="835" t="str">
        <f aca="false">IF(CALIBRACION!H74="","",1+(INCERTIDUMBRE!$F$12*CALIBRACION!X74)-(INCERTIDUMBRE!$F$13*CALIBRACION!X74)-(INCERTIDUMBRE!$F$13*CALIBRACION!AA74))</f>
        <v/>
      </c>
      <c r="D68" s="836" t="str">
        <f aca="false">IF(CALIBRACION!H74="","",(CALIBRACION!R74*CALIBRACION!X74)*1000000)</f>
        <v/>
      </c>
      <c r="E68" s="836" t="str">
        <f aca="false">IF(CALIBRACION!H74="","",-(CALIBRACION!X74+CALIBRACION!AA74)*CALIBRACION!R74*1000000)</f>
        <v/>
      </c>
      <c r="F68" s="837" t="str">
        <f aca="false">IF(CALIBRACION!H74="","",-(INCERTIDUMBRE!$G$13*CALIBRACION!R74)*1000000)</f>
        <v/>
      </c>
      <c r="G68" s="838" t="str">
        <f aca="false">IF(CALIBRACION!H74="","",((INCERTIDUMBRE!$F$12)-(INCERTIDUMBRE!$F$13))*CALIBRACION!R74*1000000)</f>
        <v/>
      </c>
      <c r="H68" s="839" t="str">
        <f aca="false">IF(CALIBRACION!$H74="","",1)</f>
        <v/>
      </c>
      <c r="I68" s="840" t="str">
        <f aca="false">IF(CALIBRACION!$H74="","",CALIBRACION!X74)</f>
        <v/>
      </c>
      <c r="J68" s="840" t="str">
        <f aca="false">IF(CALIBRACION!$H74="","",-(CALIBRACION!X74+CALIBRACION!AA74))</f>
        <v/>
      </c>
      <c r="K68" s="840" t="str">
        <f aca="false">IF(CALIBRACION!$H74="","",INCERTIDUMBRE!$F$12-INCERTIDUMBRE!$F$13)</f>
        <v/>
      </c>
      <c r="L68" s="840" t="str">
        <f aca="false">IF(CALIBRACION!$H74="","",-INCERTIDUMBRE!$F$13)</f>
        <v/>
      </c>
      <c r="M68" s="839" t="str">
        <f aca="false">IF(CALIBRACION!$H74="","",CALIBRACION!R74*1000000)</f>
        <v/>
      </c>
      <c r="N68" s="839" t="str">
        <f aca="false">IF(CALIBRACION!$H74="","",-CALIBRACION!R74*1000000)</f>
        <v/>
      </c>
      <c r="O68" s="839" t="str">
        <f aca="false">IF(CALIBRACION!$H74="","",-CALIBRACION!R74*1000000)</f>
        <v/>
      </c>
    </row>
    <row r="69" customFormat="false" ht="15.75" hidden="false" customHeight="false" outlineLevel="0" collapsed="false">
      <c r="B69" s="834" t="str">
        <f aca="false">IF(CALIBRACION!$H75="","",1)</f>
        <v/>
      </c>
      <c r="C69" s="835" t="str">
        <f aca="false">IF(CALIBRACION!H75="","",1+(INCERTIDUMBRE!$F$12*CALIBRACION!X75)-(INCERTIDUMBRE!$F$13*CALIBRACION!X75)-(INCERTIDUMBRE!$F$13*CALIBRACION!AA75))</f>
        <v/>
      </c>
      <c r="D69" s="836" t="str">
        <f aca="false">IF(CALIBRACION!H75="","",(CALIBRACION!R75*CALIBRACION!X75)*1000000)</f>
        <v/>
      </c>
      <c r="E69" s="836" t="str">
        <f aca="false">IF(CALIBRACION!H75="","",-(CALIBRACION!X75+CALIBRACION!AA75)*CALIBRACION!R75*1000000)</f>
        <v/>
      </c>
      <c r="F69" s="837" t="str">
        <f aca="false">IF(CALIBRACION!H75="","",-(INCERTIDUMBRE!$G$13*CALIBRACION!R75)*1000000)</f>
        <v/>
      </c>
      <c r="G69" s="838" t="str">
        <f aca="false">IF(CALIBRACION!H75="","",((INCERTIDUMBRE!$F$12)-(INCERTIDUMBRE!$F$13))*CALIBRACION!R75*1000000)</f>
        <v/>
      </c>
      <c r="H69" s="839" t="str">
        <f aca="false">IF(CALIBRACION!$H75="","",1)</f>
        <v/>
      </c>
      <c r="I69" s="840" t="str">
        <f aca="false">IF(CALIBRACION!$H75="","",CALIBRACION!X75)</f>
        <v/>
      </c>
      <c r="J69" s="840" t="str">
        <f aca="false">IF(CALIBRACION!$H75="","",-(CALIBRACION!X75+CALIBRACION!AA75))</f>
        <v/>
      </c>
      <c r="K69" s="840" t="str">
        <f aca="false">IF(CALIBRACION!$H75="","",INCERTIDUMBRE!$F$12-INCERTIDUMBRE!$F$13)</f>
        <v/>
      </c>
      <c r="L69" s="840" t="str">
        <f aca="false">IF(CALIBRACION!$H75="","",-INCERTIDUMBRE!$F$13)</f>
        <v/>
      </c>
      <c r="M69" s="839" t="str">
        <f aca="false">IF(CALIBRACION!$H75="","",CALIBRACION!R75*1000000)</f>
        <v/>
      </c>
      <c r="N69" s="839" t="str">
        <f aca="false">IF(CALIBRACION!$H75="","",-CALIBRACION!R75*1000000)</f>
        <v/>
      </c>
      <c r="O69" s="839" t="str">
        <f aca="false">IF(CALIBRACION!$H75="","",-CALIBRACION!R75*1000000)</f>
        <v/>
      </c>
    </row>
    <row r="70" customFormat="false" ht="15.75" hidden="false" customHeight="false" outlineLevel="0" collapsed="false">
      <c r="B70" s="834" t="str">
        <f aca="false">IF(CALIBRACION!$H76="","",1)</f>
        <v/>
      </c>
      <c r="C70" s="835" t="str">
        <f aca="false">IF(CALIBRACION!H76="","",1+(INCERTIDUMBRE!$F$12*CALIBRACION!X76)-(INCERTIDUMBRE!$F$13*CALIBRACION!X76)-(INCERTIDUMBRE!$F$13*CALIBRACION!AA76))</f>
        <v/>
      </c>
      <c r="D70" s="836" t="str">
        <f aca="false">IF(CALIBRACION!H76="","",(CALIBRACION!R76*CALIBRACION!X76)*1000000)</f>
        <v/>
      </c>
      <c r="E70" s="836" t="str">
        <f aca="false">IF(CALIBRACION!H76="","",-(CALIBRACION!X76+CALIBRACION!AA76)*CALIBRACION!R76*1000000)</f>
        <v/>
      </c>
      <c r="F70" s="837" t="str">
        <f aca="false">IF(CALIBRACION!H76="","",-(INCERTIDUMBRE!$G$13*CALIBRACION!R76)*1000000)</f>
        <v/>
      </c>
      <c r="G70" s="838" t="str">
        <f aca="false">IF(CALIBRACION!H76="","",((INCERTIDUMBRE!$F$12)-(INCERTIDUMBRE!$F$13))*CALIBRACION!R76*1000000)</f>
        <v/>
      </c>
      <c r="H70" s="839" t="str">
        <f aca="false">IF(CALIBRACION!$H76="","",1)</f>
        <v/>
      </c>
      <c r="I70" s="840" t="str">
        <f aca="false">IF(CALIBRACION!$H76="","",CALIBRACION!X76)</f>
        <v/>
      </c>
      <c r="J70" s="840" t="str">
        <f aca="false">IF(CALIBRACION!$H76="","",-(CALIBRACION!X76+CALIBRACION!AA76))</f>
        <v/>
      </c>
      <c r="K70" s="840" t="str">
        <f aca="false">IF(CALIBRACION!$H76="","",INCERTIDUMBRE!$F$12-INCERTIDUMBRE!$F$13)</f>
        <v/>
      </c>
      <c r="L70" s="840" t="str">
        <f aca="false">IF(CALIBRACION!$H76="","",-INCERTIDUMBRE!$F$13)</f>
        <v/>
      </c>
      <c r="M70" s="839" t="str">
        <f aca="false">IF(CALIBRACION!$H76="","",CALIBRACION!R76*1000000)</f>
        <v/>
      </c>
      <c r="N70" s="839" t="str">
        <f aca="false">IF(CALIBRACION!$H76="","",-CALIBRACION!R76*1000000)</f>
        <v/>
      </c>
      <c r="O70" s="839" t="str">
        <f aca="false">IF(CALIBRACION!$H76="","",-CALIBRACION!R76*1000000)</f>
        <v/>
      </c>
    </row>
    <row r="71" customFormat="false" ht="15.75" hidden="false" customHeight="false" outlineLevel="0" collapsed="false">
      <c r="B71" s="834" t="str">
        <f aca="false">IF(CALIBRACION!$H77="","",1)</f>
        <v/>
      </c>
      <c r="C71" s="835" t="str">
        <f aca="false">IF(CALIBRACION!H77="","",1+(INCERTIDUMBRE!$F$12*CALIBRACION!X77)-(INCERTIDUMBRE!$F$13*CALIBRACION!X77)-(INCERTIDUMBRE!$F$13*CALIBRACION!AA77))</f>
        <v/>
      </c>
      <c r="D71" s="836" t="str">
        <f aca="false">IF(CALIBRACION!H77="","",(CALIBRACION!R77*CALIBRACION!X77)*1000000)</f>
        <v/>
      </c>
      <c r="E71" s="836" t="str">
        <f aca="false">IF(CALIBRACION!H77="","",-(CALIBRACION!X77+CALIBRACION!AA77)*CALIBRACION!R77*1000000)</f>
        <v/>
      </c>
      <c r="F71" s="837" t="str">
        <f aca="false">IF(CALIBRACION!H77="","",-(INCERTIDUMBRE!$G$13*CALIBRACION!R77)*1000000)</f>
        <v/>
      </c>
      <c r="G71" s="838" t="str">
        <f aca="false">IF(CALIBRACION!H77="","",((INCERTIDUMBRE!$F$12)-(INCERTIDUMBRE!$F$13))*CALIBRACION!R77*1000000)</f>
        <v/>
      </c>
      <c r="H71" s="839" t="str">
        <f aca="false">IF(CALIBRACION!$H77="","",1)</f>
        <v/>
      </c>
      <c r="I71" s="840" t="str">
        <f aca="false">IF(CALIBRACION!$H77="","",CALIBRACION!X77)</f>
        <v/>
      </c>
      <c r="J71" s="840" t="str">
        <f aca="false">IF(CALIBRACION!$H77="","",-(CALIBRACION!X77+CALIBRACION!AA77))</f>
        <v/>
      </c>
      <c r="K71" s="840" t="str">
        <f aca="false">IF(CALIBRACION!$H77="","",INCERTIDUMBRE!$F$12-INCERTIDUMBRE!$F$13)</f>
        <v/>
      </c>
      <c r="L71" s="840" t="str">
        <f aca="false">IF(CALIBRACION!$H77="","",-INCERTIDUMBRE!$F$13)</f>
        <v/>
      </c>
      <c r="M71" s="839" t="str">
        <f aca="false">IF(CALIBRACION!$H77="","",CALIBRACION!R77*1000000)</f>
        <v/>
      </c>
      <c r="N71" s="839" t="str">
        <f aca="false">IF(CALIBRACION!$H77="","",-CALIBRACION!R77*1000000)</f>
        <v/>
      </c>
      <c r="O71" s="839" t="str">
        <f aca="false">IF(CALIBRACION!$H77="","",-CALIBRACION!R77*1000000)</f>
        <v/>
      </c>
    </row>
    <row r="72" customFormat="false" ht="15.75" hidden="false" customHeight="false" outlineLevel="0" collapsed="false">
      <c r="B72" s="834" t="str">
        <f aca="false">IF(CALIBRACION!$H78="","",1)</f>
        <v/>
      </c>
      <c r="C72" s="835" t="str">
        <f aca="false">IF(CALIBRACION!H78="","",1+(INCERTIDUMBRE!$F$12*CALIBRACION!X78)-(INCERTIDUMBRE!$F$13*CALIBRACION!X78)-(INCERTIDUMBRE!$F$13*CALIBRACION!AA78))</f>
        <v/>
      </c>
      <c r="D72" s="836" t="str">
        <f aca="false">IF(CALIBRACION!H78="","",(CALIBRACION!R78*CALIBRACION!X78)*1000000)</f>
        <v/>
      </c>
      <c r="E72" s="836" t="str">
        <f aca="false">IF(CALIBRACION!H78="","",-(CALIBRACION!X78+CALIBRACION!AA78)*CALIBRACION!R78*1000000)</f>
        <v/>
      </c>
      <c r="F72" s="837" t="str">
        <f aca="false">IF(CALIBRACION!H78="","",-(INCERTIDUMBRE!$G$13*CALIBRACION!R78)*1000000)</f>
        <v/>
      </c>
      <c r="G72" s="838" t="str">
        <f aca="false">IF(CALIBRACION!H78="","",((INCERTIDUMBRE!$F$12)-(INCERTIDUMBRE!$F$13))*CALIBRACION!R78*1000000)</f>
        <v/>
      </c>
      <c r="H72" s="839" t="str">
        <f aca="false">IF(CALIBRACION!$H78="","",1)</f>
        <v/>
      </c>
      <c r="I72" s="840" t="str">
        <f aca="false">IF(CALIBRACION!$H78="","",CALIBRACION!X78)</f>
        <v/>
      </c>
      <c r="J72" s="840" t="str">
        <f aca="false">IF(CALIBRACION!$H78="","",-(CALIBRACION!X78+CALIBRACION!AA78))</f>
        <v/>
      </c>
      <c r="K72" s="840" t="str">
        <f aca="false">IF(CALIBRACION!$H78="","",INCERTIDUMBRE!$F$12-INCERTIDUMBRE!$F$13)</f>
        <v/>
      </c>
      <c r="L72" s="840" t="str">
        <f aca="false">IF(CALIBRACION!$H78="","",-INCERTIDUMBRE!$F$13)</f>
        <v/>
      </c>
      <c r="M72" s="839" t="str">
        <f aca="false">IF(CALIBRACION!$H78="","",CALIBRACION!R78*1000000)</f>
        <v/>
      </c>
      <c r="N72" s="839" t="str">
        <f aca="false">IF(CALIBRACION!$H78="","",-CALIBRACION!R78*1000000)</f>
        <v/>
      </c>
      <c r="O72" s="839" t="str">
        <f aca="false">IF(CALIBRACION!$H78="","",-CALIBRACION!R78*1000000)</f>
        <v/>
      </c>
    </row>
    <row r="73" customFormat="false" ht="15.75" hidden="false" customHeight="false" outlineLevel="0" collapsed="false">
      <c r="B73" s="834" t="str">
        <f aca="false">IF(CALIBRACION!$H79="","",1)</f>
        <v/>
      </c>
      <c r="C73" s="835" t="str">
        <f aca="false">IF(CALIBRACION!H79="","",1+(INCERTIDUMBRE!$F$12*CALIBRACION!X79)-(INCERTIDUMBRE!$F$13*CALIBRACION!X79)-(INCERTIDUMBRE!$F$13*CALIBRACION!AA79))</f>
        <v/>
      </c>
      <c r="D73" s="836" t="str">
        <f aca="false">IF(CALIBRACION!H79="","",(CALIBRACION!R79*CALIBRACION!X79)*1000000)</f>
        <v/>
      </c>
      <c r="E73" s="836" t="str">
        <f aca="false">IF(CALIBRACION!H79="","",-(CALIBRACION!X79+CALIBRACION!AA79)*CALIBRACION!R79*1000000)</f>
        <v/>
      </c>
      <c r="F73" s="837" t="str">
        <f aca="false">IF(CALIBRACION!H79="","",-(INCERTIDUMBRE!$G$13*CALIBRACION!R79)*1000000)</f>
        <v/>
      </c>
      <c r="G73" s="838" t="str">
        <f aca="false">IF(CALIBRACION!H79="","",((INCERTIDUMBRE!$F$12)-(INCERTIDUMBRE!$F$13))*CALIBRACION!R79*1000000)</f>
        <v/>
      </c>
      <c r="H73" s="839" t="str">
        <f aca="false">IF(CALIBRACION!$H79="","",1)</f>
        <v/>
      </c>
      <c r="I73" s="840" t="str">
        <f aca="false">IF(CALIBRACION!$H79="","",CALIBRACION!X79)</f>
        <v/>
      </c>
      <c r="J73" s="840" t="str">
        <f aca="false">IF(CALIBRACION!$H79="","",-(CALIBRACION!X79+CALIBRACION!AA79))</f>
        <v/>
      </c>
      <c r="K73" s="840" t="str">
        <f aca="false">IF(CALIBRACION!$H79="","",INCERTIDUMBRE!$F$12-INCERTIDUMBRE!$F$13)</f>
        <v/>
      </c>
      <c r="L73" s="840" t="str">
        <f aca="false">IF(CALIBRACION!$H79="","",-INCERTIDUMBRE!$F$13)</f>
        <v/>
      </c>
      <c r="M73" s="839" t="str">
        <f aca="false">IF(CALIBRACION!$H79="","",CALIBRACION!R79*1000000)</f>
        <v/>
      </c>
      <c r="N73" s="839" t="str">
        <f aca="false">IF(CALIBRACION!$H79="","",-CALIBRACION!R79*1000000)</f>
        <v/>
      </c>
      <c r="O73" s="839" t="str">
        <f aca="false">IF(CALIBRACION!$H79="","",-CALIBRACION!R79*1000000)</f>
        <v/>
      </c>
    </row>
    <row r="74" customFormat="false" ht="15.75" hidden="false" customHeight="false" outlineLevel="0" collapsed="false">
      <c r="B74" s="834" t="str">
        <f aca="false">IF(CALIBRACION!$H80="","",1)</f>
        <v/>
      </c>
      <c r="C74" s="835" t="str">
        <f aca="false">IF(CALIBRACION!H80="","",1+(INCERTIDUMBRE!$F$12*CALIBRACION!X80)-(INCERTIDUMBRE!$F$13*CALIBRACION!X80)-(INCERTIDUMBRE!$F$13*CALIBRACION!AA80))</f>
        <v/>
      </c>
      <c r="D74" s="836" t="str">
        <f aca="false">IF(CALIBRACION!H80="","",(CALIBRACION!R80*CALIBRACION!X80)*1000000)</f>
        <v/>
      </c>
      <c r="E74" s="836" t="str">
        <f aca="false">IF(CALIBRACION!H80="","",-(CALIBRACION!X80+CALIBRACION!AA80)*CALIBRACION!R80*1000000)</f>
        <v/>
      </c>
      <c r="F74" s="837" t="str">
        <f aca="false">IF(CALIBRACION!H80="","",-(INCERTIDUMBRE!$G$13*CALIBRACION!R80)*1000000)</f>
        <v/>
      </c>
      <c r="G74" s="838" t="str">
        <f aca="false">IF(CALIBRACION!H80="","",((INCERTIDUMBRE!$F$12)-(INCERTIDUMBRE!$F$13))*CALIBRACION!R80*1000000)</f>
        <v/>
      </c>
      <c r="H74" s="839" t="str">
        <f aca="false">IF(CALIBRACION!$H80="","",1)</f>
        <v/>
      </c>
      <c r="I74" s="840" t="str">
        <f aca="false">IF(CALIBRACION!$H80="","",CALIBRACION!X80)</f>
        <v/>
      </c>
      <c r="J74" s="840" t="str">
        <f aca="false">IF(CALIBRACION!$H80="","",-(CALIBRACION!X80+CALIBRACION!AA80))</f>
        <v/>
      </c>
      <c r="K74" s="840" t="str">
        <f aca="false">IF(CALIBRACION!$H80="","",INCERTIDUMBRE!$F$12-INCERTIDUMBRE!$F$13)</f>
        <v/>
      </c>
      <c r="L74" s="840" t="str">
        <f aca="false">IF(CALIBRACION!$H80="","",-INCERTIDUMBRE!$F$13)</f>
        <v/>
      </c>
      <c r="M74" s="839" t="str">
        <f aca="false">IF(CALIBRACION!$H80="","",CALIBRACION!R80*1000000)</f>
        <v/>
      </c>
      <c r="N74" s="839" t="str">
        <f aca="false">IF(CALIBRACION!$H80="","",-CALIBRACION!R80*1000000)</f>
        <v/>
      </c>
      <c r="O74" s="839" t="str">
        <f aca="false">IF(CALIBRACION!$H80="","",-CALIBRACION!R80*1000000)</f>
        <v/>
      </c>
    </row>
    <row r="75" customFormat="false" ht="15.75" hidden="false" customHeight="false" outlineLevel="0" collapsed="false">
      <c r="B75" s="834" t="str">
        <f aca="false">IF(CALIBRACION!$H81="","",1)</f>
        <v/>
      </c>
      <c r="C75" s="835" t="str">
        <f aca="false">IF(CALIBRACION!H81="","",1+(INCERTIDUMBRE!$F$12*CALIBRACION!X81)-(INCERTIDUMBRE!$F$13*CALIBRACION!X81)-(INCERTIDUMBRE!$F$13*CALIBRACION!AA81))</f>
        <v/>
      </c>
      <c r="D75" s="836" t="str">
        <f aca="false">IF(CALIBRACION!H81="","",(CALIBRACION!R81*CALIBRACION!X81)*1000000)</f>
        <v/>
      </c>
      <c r="E75" s="836" t="str">
        <f aca="false">IF(CALIBRACION!H81="","",-(CALIBRACION!X81+CALIBRACION!AA81)*CALIBRACION!R81*1000000)</f>
        <v/>
      </c>
      <c r="F75" s="837" t="str">
        <f aca="false">IF(CALIBRACION!H81="","",-(INCERTIDUMBRE!$G$13*CALIBRACION!R81)*1000000)</f>
        <v/>
      </c>
      <c r="G75" s="838" t="str">
        <f aca="false">IF(CALIBRACION!H81="","",((INCERTIDUMBRE!$F$12)-(INCERTIDUMBRE!$F$13))*CALIBRACION!R81*1000000)</f>
        <v/>
      </c>
      <c r="H75" s="839" t="str">
        <f aca="false">IF(CALIBRACION!$H81="","",1)</f>
        <v/>
      </c>
      <c r="I75" s="840" t="str">
        <f aca="false">IF(CALIBRACION!$H81="","",CALIBRACION!X81)</f>
        <v/>
      </c>
      <c r="J75" s="840" t="str">
        <f aca="false">IF(CALIBRACION!$H81="","",-(CALIBRACION!X81+CALIBRACION!AA81))</f>
        <v/>
      </c>
      <c r="K75" s="840" t="str">
        <f aca="false">IF(CALIBRACION!$H81="","",INCERTIDUMBRE!$F$12-INCERTIDUMBRE!$F$13)</f>
        <v/>
      </c>
      <c r="L75" s="840" t="str">
        <f aca="false">IF(CALIBRACION!$H81="","",-INCERTIDUMBRE!$F$13)</f>
        <v/>
      </c>
      <c r="M75" s="839" t="str">
        <f aca="false">IF(CALIBRACION!$H81="","",CALIBRACION!R81*1000000)</f>
        <v/>
      </c>
      <c r="N75" s="839" t="str">
        <f aca="false">IF(CALIBRACION!$H81="","",-CALIBRACION!R81*1000000)</f>
        <v/>
      </c>
      <c r="O75" s="839" t="str">
        <f aca="false">IF(CALIBRACION!$H81="","",-CALIBRACION!R81*1000000)</f>
        <v/>
      </c>
    </row>
    <row r="76" customFormat="false" ht="15.75" hidden="false" customHeight="false" outlineLevel="0" collapsed="false">
      <c r="B76" s="834" t="str">
        <f aca="false">IF(CALIBRACION!$H82="","",1)</f>
        <v/>
      </c>
      <c r="C76" s="835" t="str">
        <f aca="false">IF(CALIBRACION!H82="","",1+(INCERTIDUMBRE!$F$12*CALIBRACION!X82)-(INCERTIDUMBRE!$F$13*CALIBRACION!X82)-(INCERTIDUMBRE!$F$13*CALIBRACION!AA82))</f>
        <v/>
      </c>
      <c r="D76" s="836" t="str">
        <f aca="false">IF(CALIBRACION!H82="","",(CALIBRACION!R82*CALIBRACION!X82)*1000000)</f>
        <v/>
      </c>
      <c r="E76" s="836" t="str">
        <f aca="false">IF(CALIBRACION!H82="","",-(CALIBRACION!X82+CALIBRACION!AA82)*CALIBRACION!R82*1000000)</f>
        <v/>
      </c>
      <c r="F76" s="837" t="str">
        <f aca="false">IF(CALIBRACION!H82="","",-(INCERTIDUMBRE!$G$13*CALIBRACION!R82)*1000000)</f>
        <v/>
      </c>
      <c r="G76" s="838" t="str">
        <f aca="false">IF(CALIBRACION!H82="","",((INCERTIDUMBRE!$F$12)-(INCERTIDUMBRE!$F$13))*CALIBRACION!R82*1000000)</f>
        <v/>
      </c>
      <c r="H76" s="839" t="str">
        <f aca="false">IF(CALIBRACION!$H82="","",1)</f>
        <v/>
      </c>
      <c r="I76" s="840" t="str">
        <f aca="false">IF(CALIBRACION!$H82="","",CALIBRACION!X82)</f>
        <v/>
      </c>
      <c r="J76" s="840" t="str">
        <f aca="false">IF(CALIBRACION!$H82="","",-(CALIBRACION!X82+CALIBRACION!AA82))</f>
        <v/>
      </c>
      <c r="K76" s="840" t="str">
        <f aca="false">IF(CALIBRACION!$H82="","",INCERTIDUMBRE!$F$12-INCERTIDUMBRE!$F$13)</f>
        <v/>
      </c>
      <c r="L76" s="840" t="str">
        <f aca="false">IF(CALIBRACION!$H82="","",-INCERTIDUMBRE!$F$13)</f>
        <v/>
      </c>
      <c r="M76" s="839" t="str">
        <f aca="false">IF(CALIBRACION!$H82="","",CALIBRACION!R82*1000000)</f>
        <v/>
      </c>
      <c r="N76" s="839" t="str">
        <f aca="false">IF(CALIBRACION!$H82="","",-CALIBRACION!R82*1000000)</f>
        <v/>
      </c>
      <c r="O76" s="839" t="str">
        <f aca="false">IF(CALIBRACION!$H82="","",-CALIBRACION!R82*1000000)</f>
        <v/>
      </c>
    </row>
    <row r="77" customFormat="false" ht="15.75" hidden="false" customHeight="false" outlineLevel="0" collapsed="false">
      <c r="B77" s="834" t="str">
        <f aca="false">IF(CALIBRACION!$H83="","",1)</f>
        <v/>
      </c>
      <c r="C77" s="835" t="str">
        <f aca="false">IF(CALIBRACION!H83="","",1+(INCERTIDUMBRE!$F$12*CALIBRACION!X83)-(INCERTIDUMBRE!$F$13*CALIBRACION!X83)-(INCERTIDUMBRE!$F$13*CALIBRACION!AA83))</f>
        <v/>
      </c>
      <c r="D77" s="836" t="str">
        <f aca="false">IF(CALIBRACION!H83="","",(CALIBRACION!R83*CALIBRACION!X83)*1000000)</f>
        <v/>
      </c>
      <c r="E77" s="836" t="str">
        <f aca="false">IF(CALIBRACION!H83="","",-(CALIBRACION!X83+CALIBRACION!AA83)*CALIBRACION!R83*1000000)</f>
        <v/>
      </c>
      <c r="F77" s="837" t="str">
        <f aca="false">IF(CALIBRACION!H83="","",-(INCERTIDUMBRE!$G$13*CALIBRACION!R83)*1000000)</f>
        <v/>
      </c>
      <c r="G77" s="838" t="str">
        <f aca="false">IF(CALIBRACION!H83="","",((INCERTIDUMBRE!$F$12)-(INCERTIDUMBRE!$F$13))*CALIBRACION!R83*1000000)</f>
        <v/>
      </c>
      <c r="H77" s="839" t="str">
        <f aca="false">IF(CALIBRACION!$H83="","",1)</f>
        <v/>
      </c>
      <c r="I77" s="840" t="str">
        <f aca="false">IF(CALIBRACION!$H83="","",CALIBRACION!X83)</f>
        <v/>
      </c>
      <c r="J77" s="840" t="str">
        <f aca="false">IF(CALIBRACION!$H83="","",-(CALIBRACION!X83+CALIBRACION!AA83))</f>
        <v/>
      </c>
      <c r="K77" s="840" t="str">
        <f aca="false">IF(CALIBRACION!$H83="","",INCERTIDUMBRE!$F$12-INCERTIDUMBRE!$F$13)</f>
        <v/>
      </c>
      <c r="L77" s="840" t="str">
        <f aca="false">IF(CALIBRACION!$H83="","",-INCERTIDUMBRE!$F$13)</f>
        <v/>
      </c>
      <c r="M77" s="839" t="str">
        <f aca="false">IF(CALIBRACION!$H83="","",CALIBRACION!R83*1000000)</f>
        <v/>
      </c>
      <c r="N77" s="839" t="str">
        <f aca="false">IF(CALIBRACION!$H83="","",-CALIBRACION!R83*1000000)</f>
        <v/>
      </c>
      <c r="O77" s="839" t="str">
        <f aca="false">IF(CALIBRACION!$H83="","",-CALIBRACION!R83*1000000)</f>
        <v/>
      </c>
    </row>
    <row r="78" customFormat="false" ht="15.75" hidden="false" customHeight="false" outlineLevel="0" collapsed="false">
      <c r="B78" s="834" t="str">
        <f aca="false">IF(CALIBRACION!$H84="","",1)</f>
        <v/>
      </c>
      <c r="C78" s="835" t="str">
        <f aca="false">IF(CALIBRACION!H84="","",1+(INCERTIDUMBRE!$F$12*CALIBRACION!X84)-(INCERTIDUMBRE!$F$13*CALIBRACION!X84)-(INCERTIDUMBRE!$F$13*CALIBRACION!AA84))</f>
        <v/>
      </c>
      <c r="D78" s="836" t="str">
        <f aca="false">IF(CALIBRACION!H84="","",(CALIBRACION!R84*CALIBRACION!X84)*1000000)</f>
        <v/>
      </c>
      <c r="E78" s="836" t="str">
        <f aca="false">IF(CALIBRACION!H84="","",-(CALIBRACION!X84+CALIBRACION!AA84)*CALIBRACION!R84*1000000)</f>
        <v/>
      </c>
      <c r="F78" s="837" t="str">
        <f aca="false">IF(CALIBRACION!H84="","",-(INCERTIDUMBRE!$G$13*CALIBRACION!R84)*1000000)</f>
        <v/>
      </c>
      <c r="G78" s="838" t="str">
        <f aca="false">IF(CALIBRACION!H84="","",((INCERTIDUMBRE!$F$12)-(INCERTIDUMBRE!$F$13))*CALIBRACION!R84*1000000)</f>
        <v/>
      </c>
      <c r="H78" s="839" t="str">
        <f aca="false">IF(CALIBRACION!$H84="","",1)</f>
        <v/>
      </c>
      <c r="I78" s="840" t="str">
        <f aca="false">IF(CALIBRACION!$H84="","",CALIBRACION!X84)</f>
        <v/>
      </c>
      <c r="J78" s="840" t="str">
        <f aca="false">IF(CALIBRACION!$H84="","",-(CALIBRACION!X84+CALIBRACION!AA84))</f>
        <v/>
      </c>
      <c r="K78" s="840" t="str">
        <f aca="false">IF(CALIBRACION!$H84="","",INCERTIDUMBRE!$F$12-INCERTIDUMBRE!$F$13)</f>
        <v/>
      </c>
      <c r="L78" s="840" t="str">
        <f aca="false">IF(CALIBRACION!$H84="","",-INCERTIDUMBRE!$F$13)</f>
        <v/>
      </c>
      <c r="M78" s="839" t="str">
        <f aca="false">IF(CALIBRACION!$H84="","",CALIBRACION!R84*1000000)</f>
        <v/>
      </c>
      <c r="N78" s="839" t="str">
        <f aca="false">IF(CALIBRACION!$H84="","",-CALIBRACION!R84*1000000)</f>
        <v/>
      </c>
      <c r="O78" s="839" t="str">
        <f aca="false">IF(CALIBRACION!$H84="","",-CALIBRACION!R84*1000000)</f>
        <v/>
      </c>
    </row>
    <row r="79" customFormat="false" ht="15.75" hidden="false" customHeight="false" outlineLevel="0" collapsed="false">
      <c r="B79" s="834" t="str">
        <f aca="false">IF(CALIBRACION!$H85="","",1)</f>
        <v/>
      </c>
      <c r="C79" s="835" t="str">
        <f aca="false">IF(CALIBRACION!H85="","",1+(INCERTIDUMBRE!$F$12*CALIBRACION!X85)-(INCERTIDUMBRE!$F$13*CALIBRACION!X85)-(INCERTIDUMBRE!$F$13*CALIBRACION!AA85))</f>
        <v/>
      </c>
      <c r="D79" s="836" t="str">
        <f aca="false">IF(CALIBRACION!H85="","",(CALIBRACION!R85*CALIBRACION!X85)*1000000)</f>
        <v/>
      </c>
      <c r="E79" s="836" t="str">
        <f aca="false">IF(CALIBRACION!H85="","",-(CALIBRACION!X85+CALIBRACION!AA85)*CALIBRACION!R85*1000000)</f>
        <v/>
      </c>
      <c r="F79" s="837" t="str">
        <f aca="false">IF(CALIBRACION!H85="","",-(INCERTIDUMBRE!$G$13*CALIBRACION!R85)*1000000)</f>
        <v/>
      </c>
      <c r="G79" s="838" t="str">
        <f aca="false">IF(CALIBRACION!H85="","",((INCERTIDUMBRE!$F$12)-(INCERTIDUMBRE!$F$13))*CALIBRACION!R85*1000000)</f>
        <v/>
      </c>
      <c r="H79" s="839" t="str">
        <f aca="false">IF(CALIBRACION!$H85="","",1)</f>
        <v/>
      </c>
      <c r="I79" s="840" t="str">
        <f aca="false">IF(CALIBRACION!$H85="","",CALIBRACION!X85)</f>
        <v/>
      </c>
      <c r="J79" s="840" t="str">
        <f aca="false">IF(CALIBRACION!$H85="","",-(CALIBRACION!X85+CALIBRACION!AA85))</f>
        <v/>
      </c>
      <c r="K79" s="840" t="str">
        <f aca="false">IF(CALIBRACION!$H85="","",INCERTIDUMBRE!$F$12-INCERTIDUMBRE!$F$13)</f>
        <v/>
      </c>
      <c r="L79" s="840" t="str">
        <f aca="false">IF(CALIBRACION!$H85="","",-INCERTIDUMBRE!$F$13)</f>
        <v/>
      </c>
      <c r="M79" s="839" t="str">
        <f aca="false">IF(CALIBRACION!$H85="","",CALIBRACION!R85*1000000)</f>
        <v/>
      </c>
      <c r="N79" s="839" t="str">
        <f aca="false">IF(CALIBRACION!$H85="","",-CALIBRACION!R85*1000000)</f>
        <v/>
      </c>
      <c r="O79" s="839" t="str">
        <f aca="false">IF(CALIBRACION!$H85="","",-CALIBRACION!R85*1000000)</f>
        <v/>
      </c>
    </row>
    <row r="80" customFormat="false" ht="15.75" hidden="false" customHeight="false" outlineLevel="0" collapsed="false">
      <c r="B80" s="834" t="str">
        <f aca="false">IF(CALIBRACION!$H86="","",1)</f>
        <v/>
      </c>
      <c r="C80" s="835" t="str">
        <f aca="false">IF(CALIBRACION!H86="","",1+(INCERTIDUMBRE!$F$12*CALIBRACION!X86)-(INCERTIDUMBRE!$F$13*CALIBRACION!X86)-(INCERTIDUMBRE!$F$13*CALIBRACION!AA86))</f>
        <v/>
      </c>
      <c r="D80" s="836" t="str">
        <f aca="false">IF(CALIBRACION!H86="","",(CALIBRACION!R86*CALIBRACION!X86)*1000000)</f>
        <v/>
      </c>
      <c r="E80" s="836" t="str">
        <f aca="false">IF(CALIBRACION!H86="","",-(CALIBRACION!X86+CALIBRACION!AA86)*CALIBRACION!R86*1000000)</f>
        <v/>
      </c>
      <c r="F80" s="837" t="str">
        <f aca="false">IF(CALIBRACION!H86="","",-(INCERTIDUMBRE!$G$13*CALIBRACION!R86)*1000000)</f>
        <v/>
      </c>
      <c r="G80" s="838" t="str">
        <f aca="false">IF(CALIBRACION!H86="","",((INCERTIDUMBRE!$F$12)-(INCERTIDUMBRE!$F$13))*CALIBRACION!R86*1000000)</f>
        <v/>
      </c>
      <c r="H80" s="839" t="str">
        <f aca="false">IF(CALIBRACION!$H86="","",1)</f>
        <v/>
      </c>
      <c r="I80" s="840" t="str">
        <f aca="false">IF(CALIBRACION!$H86="","",CALIBRACION!X86)</f>
        <v/>
      </c>
      <c r="J80" s="840" t="str">
        <f aca="false">IF(CALIBRACION!$H86="","",-(CALIBRACION!X86+CALIBRACION!AA86))</f>
        <v/>
      </c>
      <c r="K80" s="840" t="str">
        <f aca="false">IF(CALIBRACION!$H86="","",INCERTIDUMBRE!$F$12-INCERTIDUMBRE!$F$13)</f>
        <v/>
      </c>
      <c r="L80" s="840" t="str">
        <f aca="false">IF(CALIBRACION!$H86="","",-INCERTIDUMBRE!$F$13)</f>
        <v/>
      </c>
      <c r="M80" s="839" t="str">
        <f aca="false">IF(CALIBRACION!$H86="","",CALIBRACION!R86*1000000)</f>
        <v/>
      </c>
      <c r="N80" s="839" t="str">
        <f aca="false">IF(CALIBRACION!$H86="","",-CALIBRACION!R86*1000000)</f>
        <v/>
      </c>
      <c r="O80" s="839" t="str">
        <f aca="false">IF(CALIBRACION!$H86="","",-CALIBRACION!R86*1000000)</f>
        <v/>
      </c>
    </row>
    <row r="81" customFormat="false" ht="15.75" hidden="false" customHeight="false" outlineLevel="0" collapsed="false">
      <c r="B81" s="834" t="str">
        <f aca="false">IF(CALIBRACION!$H87="","",1)</f>
        <v/>
      </c>
      <c r="C81" s="835" t="str">
        <f aca="false">IF(CALIBRACION!H87="","",1+(INCERTIDUMBRE!$F$12*CALIBRACION!X87)-(INCERTIDUMBRE!$F$13*CALIBRACION!X87)-(INCERTIDUMBRE!$F$13*CALIBRACION!AA87))</f>
        <v/>
      </c>
      <c r="D81" s="836" t="str">
        <f aca="false">IF(CALIBRACION!H87="","",(CALIBRACION!R87*CALIBRACION!X87)*1000000)</f>
        <v/>
      </c>
      <c r="E81" s="836" t="str">
        <f aca="false">IF(CALIBRACION!H87="","",-(CALIBRACION!X87+CALIBRACION!AA87)*CALIBRACION!R87*1000000)</f>
        <v/>
      </c>
      <c r="F81" s="837" t="str">
        <f aca="false">IF(CALIBRACION!H87="","",-(INCERTIDUMBRE!$G$13*CALIBRACION!R87)*1000000)</f>
        <v/>
      </c>
      <c r="G81" s="838" t="str">
        <f aca="false">IF(CALIBRACION!H87="","",((INCERTIDUMBRE!$F$12)-(INCERTIDUMBRE!$F$13))*CALIBRACION!R87*1000000)</f>
        <v/>
      </c>
      <c r="H81" s="839" t="str">
        <f aca="false">IF(CALIBRACION!$H87="","",1)</f>
        <v/>
      </c>
      <c r="I81" s="840" t="str">
        <f aca="false">IF(CALIBRACION!$H87="","",CALIBRACION!X87)</f>
        <v/>
      </c>
      <c r="J81" s="840" t="str">
        <f aca="false">IF(CALIBRACION!$H87="","",-(CALIBRACION!X87+CALIBRACION!AA87))</f>
        <v/>
      </c>
      <c r="K81" s="840" t="str">
        <f aca="false">IF(CALIBRACION!$H87="","",INCERTIDUMBRE!$F$12-INCERTIDUMBRE!$F$13)</f>
        <v/>
      </c>
      <c r="L81" s="840" t="str">
        <f aca="false">IF(CALIBRACION!$H87="","",-INCERTIDUMBRE!$F$13)</f>
        <v/>
      </c>
      <c r="M81" s="839" t="str">
        <f aca="false">IF(CALIBRACION!$H87="","",CALIBRACION!R87*1000000)</f>
        <v/>
      </c>
      <c r="N81" s="839" t="str">
        <f aca="false">IF(CALIBRACION!$H87="","",-CALIBRACION!R87*1000000)</f>
        <v/>
      </c>
      <c r="O81" s="839" t="str">
        <f aca="false">IF(CALIBRACION!$H87="","",-CALIBRACION!R87*1000000)</f>
        <v/>
      </c>
    </row>
    <row r="82" customFormat="false" ht="15.75" hidden="false" customHeight="false" outlineLevel="0" collapsed="false">
      <c r="B82" s="834" t="str">
        <f aca="false">IF(CALIBRACION!$H88="","",1)</f>
        <v/>
      </c>
      <c r="C82" s="835" t="str">
        <f aca="false">IF(CALIBRACION!H88="","",1+(INCERTIDUMBRE!$F$12*CALIBRACION!X88)-(INCERTIDUMBRE!$F$13*CALIBRACION!X88)-(INCERTIDUMBRE!$F$13*CALIBRACION!AA88))</f>
        <v/>
      </c>
      <c r="D82" s="836" t="str">
        <f aca="false">IF(CALIBRACION!H88="","",(CALIBRACION!R88*CALIBRACION!X88)*1000000)</f>
        <v/>
      </c>
      <c r="E82" s="836" t="str">
        <f aca="false">IF(CALIBRACION!H88="","",-(CALIBRACION!X88+CALIBRACION!AA88)*CALIBRACION!R88*1000000)</f>
        <v/>
      </c>
      <c r="F82" s="837" t="str">
        <f aca="false">IF(CALIBRACION!H88="","",-(INCERTIDUMBRE!$G$13*CALIBRACION!R88)*1000000)</f>
        <v/>
      </c>
      <c r="G82" s="838" t="str">
        <f aca="false">IF(CALIBRACION!H88="","",((INCERTIDUMBRE!$F$12)-(INCERTIDUMBRE!$F$13))*CALIBRACION!R88*1000000)</f>
        <v/>
      </c>
      <c r="H82" s="839" t="str">
        <f aca="false">IF(CALIBRACION!$H88="","",1)</f>
        <v/>
      </c>
      <c r="I82" s="840" t="str">
        <f aca="false">IF(CALIBRACION!$H88="","",CALIBRACION!X88)</f>
        <v/>
      </c>
      <c r="J82" s="840" t="str">
        <f aca="false">IF(CALIBRACION!$H88="","",-(CALIBRACION!X88+CALIBRACION!AA88))</f>
        <v/>
      </c>
      <c r="K82" s="840" t="str">
        <f aca="false">IF(CALIBRACION!$H88="","",INCERTIDUMBRE!$F$12-INCERTIDUMBRE!$F$13)</f>
        <v/>
      </c>
      <c r="L82" s="840" t="str">
        <f aca="false">IF(CALIBRACION!$H88="","",-INCERTIDUMBRE!$F$13)</f>
        <v/>
      </c>
      <c r="M82" s="839" t="str">
        <f aca="false">IF(CALIBRACION!$H88="","",CALIBRACION!R88*1000000)</f>
        <v/>
      </c>
      <c r="N82" s="839" t="str">
        <f aca="false">IF(CALIBRACION!$H88="","",-CALIBRACION!R88*1000000)</f>
        <v/>
      </c>
      <c r="O82" s="839" t="str">
        <f aca="false">IF(CALIBRACION!$H88="","",-CALIBRACION!R88*1000000)</f>
        <v/>
      </c>
    </row>
    <row r="83" customFormat="false" ht="15.75" hidden="false" customHeight="false" outlineLevel="0" collapsed="false">
      <c r="B83" s="834" t="str">
        <f aca="false">IF(CALIBRACION!$H89="","",1)</f>
        <v/>
      </c>
      <c r="C83" s="835" t="str">
        <f aca="false">IF(CALIBRACION!H89="","",1+(INCERTIDUMBRE!$F$12*CALIBRACION!X89)-(INCERTIDUMBRE!$F$13*CALIBRACION!X89)-(INCERTIDUMBRE!$F$13*CALIBRACION!AA89))</f>
        <v/>
      </c>
      <c r="D83" s="836" t="str">
        <f aca="false">IF(CALIBRACION!H89="","",(CALIBRACION!R89*CALIBRACION!X89)*1000000)</f>
        <v/>
      </c>
      <c r="E83" s="836" t="str">
        <f aca="false">IF(CALIBRACION!H89="","",-(CALIBRACION!X89+CALIBRACION!AA89)*CALIBRACION!R89*1000000)</f>
        <v/>
      </c>
      <c r="F83" s="837" t="str">
        <f aca="false">IF(CALIBRACION!H89="","",-(INCERTIDUMBRE!$G$13*CALIBRACION!R89)*1000000)</f>
        <v/>
      </c>
      <c r="G83" s="838" t="str">
        <f aca="false">IF(CALIBRACION!H89="","",((INCERTIDUMBRE!$F$12)-(INCERTIDUMBRE!$F$13))*CALIBRACION!R89*1000000)</f>
        <v/>
      </c>
      <c r="H83" s="839" t="str">
        <f aca="false">IF(CALIBRACION!$H89="","",1)</f>
        <v/>
      </c>
      <c r="I83" s="840" t="str">
        <f aca="false">IF(CALIBRACION!$H89="","",CALIBRACION!X89)</f>
        <v/>
      </c>
      <c r="J83" s="840" t="str">
        <f aca="false">IF(CALIBRACION!$H89="","",-(CALIBRACION!X89+CALIBRACION!AA89))</f>
        <v/>
      </c>
      <c r="K83" s="840" t="str">
        <f aca="false">IF(CALIBRACION!$H89="","",INCERTIDUMBRE!$F$12-INCERTIDUMBRE!$F$13)</f>
        <v/>
      </c>
      <c r="L83" s="840" t="str">
        <f aca="false">IF(CALIBRACION!$H89="","",-INCERTIDUMBRE!$F$13)</f>
        <v/>
      </c>
      <c r="M83" s="839" t="str">
        <f aca="false">IF(CALIBRACION!$H89="","",CALIBRACION!R89*1000000)</f>
        <v/>
      </c>
      <c r="N83" s="839" t="str">
        <f aca="false">IF(CALIBRACION!$H89="","",-CALIBRACION!R89*1000000)</f>
        <v/>
      </c>
      <c r="O83" s="839" t="str">
        <f aca="false">IF(CALIBRACION!$H89="","",-CALIBRACION!R89*1000000)</f>
        <v/>
      </c>
    </row>
    <row r="84" customFormat="false" ht="15.75" hidden="false" customHeight="false" outlineLevel="0" collapsed="false">
      <c r="B84" s="834" t="str">
        <f aca="false">IF(CALIBRACION!$H90="","",1)</f>
        <v/>
      </c>
      <c r="C84" s="835" t="str">
        <f aca="false">IF(CALIBRACION!H90="","",1+(INCERTIDUMBRE!$F$12*CALIBRACION!X90)-(INCERTIDUMBRE!$F$13*CALIBRACION!X90)-(INCERTIDUMBRE!$F$13*CALIBRACION!AA90))</f>
        <v/>
      </c>
      <c r="D84" s="836" t="str">
        <f aca="false">IF(CALIBRACION!H90="","",(CALIBRACION!R90*CALIBRACION!X90)*1000000)</f>
        <v/>
      </c>
      <c r="E84" s="836" t="str">
        <f aca="false">IF(CALIBRACION!H90="","",-(CALIBRACION!X90+CALIBRACION!AA90)*CALIBRACION!R90*1000000)</f>
        <v/>
      </c>
      <c r="F84" s="837" t="str">
        <f aca="false">IF(CALIBRACION!H90="","",-(INCERTIDUMBRE!$G$13*CALIBRACION!R90)*1000000)</f>
        <v/>
      </c>
      <c r="G84" s="838" t="str">
        <f aca="false">IF(CALIBRACION!H90="","",((INCERTIDUMBRE!$F$12)-(INCERTIDUMBRE!$F$13))*CALIBRACION!R90*1000000)</f>
        <v/>
      </c>
      <c r="H84" s="839" t="str">
        <f aca="false">IF(CALIBRACION!$H90="","",1)</f>
        <v/>
      </c>
      <c r="I84" s="840" t="str">
        <f aca="false">IF(CALIBRACION!$H90="","",CALIBRACION!X90)</f>
        <v/>
      </c>
      <c r="J84" s="840" t="str">
        <f aca="false">IF(CALIBRACION!$H90="","",-(CALIBRACION!X90+CALIBRACION!AA90))</f>
        <v/>
      </c>
      <c r="K84" s="840" t="str">
        <f aca="false">IF(CALIBRACION!$H90="","",INCERTIDUMBRE!$F$12-INCERTIDUMBRE!$F$13)</f>
        <v/>
      </c>
      <c r="L84" s="840" t="str">
        <f aca="false">IF(CALIBRACION!$H90="","",-INCERTIDUMBRE!$F$13)</f>
        <v/>
      </c>
      <c r="M84" s="839" t="str">
        <f aca="false">IF(CALIBRACION!$H90="","",CALIBRACION!R90*1000000)</f>
        <v/>
      </c>
      <c r="N84" s="839" t="str">
        <f aca="false">IF(CALIBRACION!$H90="","",-CALIBRACION!R90*1000000)</f>
        <v/>
      </c>
      <c r="O84" s="839" t="str">
        <f aca="false">IF(CALIBRACION!$H90="","",-CALIBRACION!R90*1000000)</f>
        <v/>
      </c>
    </row>
    <row r="85" customFormat="false" ht="15.75" hidden="false" customHeight="false" outlineLevel="0" collapsed="false">
      <c r="B85" s="834" t="str">
        <f aca="false">IF(CALIBRACION!$H91="","",1)</f>
        <v/>
      </c>
      <c r="C85" s="835" t="str">
        <f aca="false">IF(CALIBRACION!H91="","",1+(INCERTIDUMBRE!$F$12*CALIBRACION!X91)-(INCERTIDUMBRE!$F$13*CALIBRACION!X91)-(INCERTIDUMBRE!$F$13*CALIBRACION!AA91))</f>
        <v/>
      </c>
      <c r="D85" s="836" t="str">
        <f aca="false">IF(CALIBRACION!H91="","",(CALIBRACION!R91*CALIBRACION!X91)*1000000)</f>
        <v/>
      </c>
      <c r="E85" s="836" t="str">
        <f aca="false">IF(CALIBRACION!H91="","",-(CALIBRACION!X91+CALIBRACION!AA91)*CALIBRACION!R91*1000000)</f>
        <v/>
      </c>
      <c r="F85" s="837" t="str">
        <f aca="false">IF(CALIBRACION!H91="","",-(INCERTIDUMBRE!$G$13*CALIBRACION!R91)*1000000)</f>
        <v/>
      </c>
      <c r="G85" s="838" t="str">
        <f aca="false">IF(CALIBRACION!H91="","",((INCERTIDUMBRE!$F$12)-(INCERTIDUMBRE!$F$13))*CALIBRACION!R91*1000000)</f>
        <v/>
      </c>
      <c r="H85" s="839" t="str">
        <f aca="false">IF(CALIBRACION!$H91="","",1)</f>
        <v/>
      </c>
      <c r="I85" s="840" t="str">
        <f aca="false">IF(CALIBRACION!$H91="","",CALIBRACION!X91)</f>
        <v/>
      </c>
      <c r="J85" s="840" t="str">
        <f aca="false">IF(CALIBRACION!$H91="","",-(CALIBRACION!X91+CALIBRACION!AA91))</f>
        <v/>
      </c>
      <c r="K85" s="840" t="str">
        <f aca="false">IF(CALIBRACION!$H91="","",INCERTIDUMBRE!$F$12-INCERTIDUMBRE!$F$13)</f>
        <v/>
      </c>
      <c r="L85" s="840" t="str">
        <f aca="false">IF(CALIBRACION!$H91="","",-INCERTIDUMBRE!$F$13)</f>
        <v/>
      </c>
      <c r="M85" s="839" t="str">
        <f aca="false">IF(CALIBRACION!$H91="","",CALIBRACION!R91*1000000)</f>
        <v/>
      </c>
      <c r="N85" s="839" t="str">
        <f aca="false">IF(CALIBRACION!$H91="","",-CALIBRACION!R91*1000000)</f>
        <v/>
      </c>
      <c r="O85" s="839" t="str">
        <f aca="false">IF(CALIBRACION!$H91="","",-CALIBRACION!R91*1000000)</f>
        <v/>
      </c>
    </row>
    <row r="86" customFormat="false" ht="15.75" hidden="false" customHeight="false" outlineLevel="0" collapsed="false">
      <c r="B86" s="834" t="str">
        <f aca="false">IF(CALIBRACION!$H92="","",1)</f>
        <v/>
      </c>
      <c r="C86" s="835" t="str">
        <f aca="false">IF(CALIBRACION!H92="","",1+(INCERTIDUMBRE!$F$12*CALIBRACION!X92)-(INCERTIDUMBRE!$F$13*CALIBRACION!X92)-(INCERTIDUMBRE!$F$13*CALIBRACION!AA92))</f>
        <v/>
      </c>
      <c r="D86" s="836" t="str">
        <f aca="false">IF(CALIBRACION!H92="","",(CALIBRACION!R92*CALIBRACION!X92)*1000000)</f>
        <v/>
      </c>
      <c r="E86" s="836" t="str">
        <f aca="false">IF(CALIBRACION!H92="","",-(CALIBRACION!X92+CALIBRACION!AA92)*CALIBRACION!R92*1000000)</f>
        <v/>
      </c>
      <c r="F86" s="837" t="str">
        <f aca="false">IF(CALIBRACION!H92="","",-(INCERTIDUMBRE!$G$13*CALIBRACION!R92)*1000000)</f>
        <v/>
      </c>
      <c r="G86" s="838" t="str">
        <f aca="false">IF(CALIBRACION!H92="","",((INCERTIDUMBRE!$F$12)-(INCERTIDUMBRE!$F$13))*CALIBRACION!R92*1000000)</f>
        <v/>
      </c>
      <c r="H86" s="839" t="str">
        <f aca="false">IF(CALIBRACION!$H92="","",1)</f>
        <v/>
      </c>
      <c r="I86" s="840" t="str">
        <f aca="false">IF(CALIBRACION!$H92="","",CALIBRACION!X92)</f>
        <v/>
      </c>
      <c r="J86" s="840" t="str">
        <f aca="false">IF(CALIBRACION!$H92="","",-(CALIBRACION!X92+CALIBRACION!AA92))</f>
        <v/>
      </c>
      <c r="K86" s="840" t="str">
        <f aca="false">IF(CALIBRACION!$H92="","",INCERTIDUMBRE!$F$12-INCERTIDUMBRE!$F$13)</f>
        <v/>
      </c>
      <c r="L86" s="840" t="str">
        <f aca="false">IF(CALIBRACION!$H92="","",-INCERTIDUMBRE!$F$13)</f>
        <v/>
      </c>
      <c r="M86" s="839" t="str">
        <f aca="false">IF(CALIBRACION!$H92="","",CALIBRACION!R92*1000000)</f>
        <v/>
      </c>
      <c r="N86" s="839" t="str">
        <f aca="false">IF(CALIBRACION!$H92="","",-CALIBRACION!R92*1000000)</f>
        <v/>
      </c>
      <c r="O86" s="839" t="str">
        <f aca="false">IF(CALIBRACION!$H92="","",-CALIBRACION!R92*1000000)</f>
        <v/>
      </c>
    </row>
    <row r="87" customFormat="false" ht="15.75" hidden="false" customHeight="false" outlineLevel="0" collapsed="false">
      <c r="B87" s="834" t="str">
        <f aca="false">IF(CALIBRACION!$H93="","",1)</f>
        <v/>
      </c>
      <c r="C87" s="835" t="str">
        <f aca="false">IF(CALIBRACION!H93="","",1+(INCERTIDUMBRE!$F$12*CALIBRACION!X93)-(INCERTIDUMBRE!$F$13*CALIBRACION!X93)-(INCERTIDUMBRE!$F$13*CALIBRACION!AA93))</f>
        <v/>
      </c>
      <c r="D87" s="836" t="str">
        <f aca="false">IF(CALIBRACION!H93="","",(CALIBRACION!R93*CALIBRACION!X93)*1000000)</f>
        <v/>
      </c>
      <c r="E87" s="836" t="str">
        <f aca="false">IF(CALIBRACION!H93="","",-(CALIBRACION!X93+CALIBRACION!AA93)*CALIBRACION!R93*1000000)</f>
        <v/>
      </c>
      <c r="F87" s="837" t="str">
        <f aca="false">IF(CALIBRACION!H93="","",-(INCERTIDUMBRE!$G$13*CALIBRACION!R93)*1000000)</f>
        <v/>
      </c>
      <c r="G87" s="838" t="str">
        <f aca="false">IF(CALIBRACION!H93="","",((INCERTIDUMBRE!$F$12)-(INCERTIDUMBRE!$F$13))*CALIBRACION!R93*1000000)</f>
        <v/>
      </c>
      <c r="H87" s="839" t="str">
        <f aca="false">IF(CALIBRACION!$H93="","",1)</f>
        <v/>
      </c>
      <c r="I87" s="840" t="str">
        <f aca="false">IF(CALIBRACION!$H93="","",CALIBRACION!X93)</f>
        <v/>
      </c>
      <c r="J87" s="840" t="str">
        <f aca="false">IF(CALIBRACION!$H93="","",-(CALIBRACION!X93+CALIBRACION!AA93))</f>
        <v/>
      </c>
      <c r="K87" s="840" t="str">
        <f aca="false">IF(CALIBRACION!$H93="","",INCERTIDUMBRE!$F$12-INCERTIDUMBRE!$F$13)</f>
        <v/>
      </c>
      <c r="L87" s="840" t="str">
        <f aca="false">IF(CALIBRACION!$H93="","",-INCERTIDUMBRE!$F$13)</f>
        <v/>
      </c>
      <c r="M87" s="839" t="str">
        <f aca="false">IF(CALIBRACION!$H93="","",CALIBRACION!R93*1000000)</f>
        <v/>
      </c>
      <c r="N87" s="839" t="str">
        <f aca="false">IF(CALIBRACION!$H93="","",-CALIBRACION!R93*1000000)</f>
        <v/>
      </c>
      <c r="O87" s="839" t="str">
        <f aca="false">IF(CALIBRACION!$H93="","",-CALIBRACION!R93*1000000)</f>
        <v/>
      </c>
    </row>
    <row r="88" customFormat="false" ht="15.75" hidden="false" customHeight="false" outlineLevel="0" collapsed="false">
      <c r="B88" s="834" t="str">
        <f aca="false">IF(CALIBRACION!$H94="","",1)</f>
        <v/>
      </c>
      <c r="C88" s="835" t="str">
        <f aca="false">IF(CALIBRACION!H94="","",1+(INCERTIDUMBRE!$F$12*CALIBRACION!X94)-(INCERTIDUMBRE!$F$13*CALIBRACION!X94)-(INCERTIDUMBRE!$F$13*CALIBRACION!AA94))</f>
        <v/>
      </c>
      <c r="D88" s="836" t="str">
        <f aca="false">IF(CALIBRACION!H94="","",(CALIBRACION!R94*CALIBRACION!X94)*1000000)</f>
        <v/>
      </c>
      <c r="E88" s="836" t="str">
        <f aca="false">IF(CALIBRACION!H94="","",-(CALIBRACION!X94+CALIBRACION!AA94)*CALIBRACION!R94*1000000)</f>
        <v/>
      </c>
      <c r="F88" s="837" t="str">
        <f aca="false">IF(CALIBRACION!H94="","",-(INCERTIDUMBRE!$G$13*CALIBRACION!R94)*1000000)</f>
        <v/>
      </c>
      <c r="G88" s="838" t="str">
        <f aca="false">IF(CALIBRACION!H94="","",((INCERTIDUMBRE!$F$12)-(INCERTIDUMBRE!$F$13))*CALIBRACION!R94*1000000)</f>
        <v/>
      </c>
      <c r="H88" s="839" t="str">
        <f aca="false">IF(CALIBRACION!$H94="","",1)</f>
        <v/>
      </c>
      <c r="I88" s="840" t="str">
        <f aca="false">IF(CALIBRACION!$H94="","",CALIBRACION!X94)</f>
        <v/>
      </c>
      <c r="J88" s="840" t="str">
        <f aca="false">IF(CALIBRACION!$H94="","",-(CALIBRACION!X94+CALIBRACION!AA94))</f>
        <v/>
      </c>
      <c r="K88" s="840" t="str">
        <f aca="false">IF(CALIBRACION!$H94="","",INCERTIDUMBRE!$F$12-INCERTIDUMBRE!$F$13)</f>
        <v/>
      </c>
      <c r="L88" s="840" t="str">
        <f aca="false">IF(CALIBRACION!$H94="","",-INCERTIDUMBRE!$F$13)</f>
        <v/>
      </c>
      <c r="M88" s="839" t="str">
        <f aca="false">IF(CALIBRACION!$H94="","",CALIBRACION!R94*1000000)</f>
        <v/>
      </c>
      <c r="N88" s="839" t="str">
        <f aca="false">IF(CALIBRACION!$H94="","",-CALIBRACION!R94*1000000)</f>
        <v/>
      </c>
      <c r="O88" s="839" t="str">
        <f aca="false">IF(CALIBRACION!$H94="","",-CALIBRACION!R94*1000000)</f>
        <v/>
      </c>
    </row>
    <row r="89" customFormat="false" ht="15.75" hidden="false" customHeight="false" outlineLevel="0" collapsed="false">
      <c r="B89" s="834" t="str">
        <f aca="false">IF(CALIBRACION!$H95="","",1)</f>
        <v/>
      </c>
      <c r="C89" s="835" t="str">
        <f aca="false">IF(CALIBRACION!H95="","",1+(INCERTIDUMBRE!$F$12*CALIBRACION!X95)-(INCERTIDUMBRE!$F$13*CALIBRACION!X95)-(INCERTIDUMBRE!$F$13*CALIBRACION!AA95))</f>
        <v/>
      </c>
      <c r="D89" s="836" t="str">
        <f aca="false">IF(CALIBRACION!H95="","",(CALIBRACION!R95*CALIBRACION!X95)*1000000)</f>
        <v/>
      </c>
      <c r="E89" s="836" t="str">
        <f aca="false">IF(CALIBRACION!H95="","",-(CALIBRACION!X95+CALIBRACION!AA95)*CALIBRACION!R95*1000000)</f>
        <v/>
      </c>
      <c r="F89" s="837" t="str">
        <f aca="false">IF(CALIBRACION!H95="","",-(INCERTIDUMBRE!$G$13*CALIBRACION!R95)*1000000)</f>
        <v/>
      </c>
      <c r="G89" s="838" t="str">
        <f aca="false">IF(CALIBRACION!H95="","",((INCERTIDUMBRE!$F$12)-(INCERTIDUMBRE!$F$13))*CALIBRACION!R95*1000000)</f>
        <v/>
      </c>
      <c r="H89" s="839" t="str">
        <f aca="false">IF(CALIBRACION!$H95="","",1)</f>
        <v/>
      </c>
      <c r="I89" s="840" t="str">
        <f aca="false">IF(CALIBRACION!$H95="","",CALIBRACION!X95)</f>
        <v/>
      </c>
      <c r="J89" s="840" t="str">
        <f aca="false">IF(CALIBRACION!$H95="","",-(CALIBRACION!X95+CALIBRACION!AA95))</f>
        <v/>
      </c>
      <c r="K89" s="840" t="str">
        <f aca="false">IF(CALIBRACION!$H95="","",INCERTIDUMBRE!$F$12-INCERTIDUMBRE!$F$13)</f>
        <v/>
      </c>
      <c r="L89" s="840" t="str">
        <f aca="false">IF(CALIBRACION!$H95="","",-INCERTIDUMBRE!$F$13)</f>
        <v/>
      </c>
      <c r="M89" s="839" t="str">
        <f aca="false">IF(CALIBRACION!$H95="","",CALIBRACION!R95*1000000)</f>
        <v/>
      </c>
      <c r="N89" s="839" t="str">
        <f aca="false">IF(CALIBRACION!$H95="","",-CALIBRACION!R95*1000000)</f>
        <v/>
      </c>
      <c r="O89" s="839" t="str">
        <f aca="false">IF(CALIBRACION!$H95="","",-CALIBRACION!R95*1000000)</f>
        <v/>
      </c>
    </row>
    <row r="90" customFormat="false" ht="15.75" hidden="false" customHeight="false" outlineLevel="0" collapsed="false">
      <c r="B90" s="834" t="str">
        <f aca="false">IF(CALIBRACION!$H96="","",1)</f>
        <v/>
      </c>
      <c r="C90" s="835" t="str">
        <f aca="false">IF(CALIBRACION!H96="","",1+(INCERTIDUMBRE!$F$12*CALIBRACION!X96)-(INCERTIDUMBRE!$F$13*CALIBRACION!X96)-(INCERTIDUMBRE!$F$13*CALIBRACION!AA96))</f>
        <v/>
      </c>
      <c r="D90" s="836" t="str">
        <f aca="false">IF(CALIBRACION!H96="","",(CALIBRACION!R96*CALIBRACION!X96)*1000000)</f>
        <v/>
      </c>
      <c r="E90" s="836" t="str">
        <f aca="false">IF(CALIBRACION!H96="","",-(CALIBRACION!X96+CALIBRACION!AA96)*CALIBRACION!R96*1000000)</f>
        <v/>
      </c>
      <c r="F90" s="837" t="str">
        <f aca="false">IF(CALIBRACION!H96="","",-(INCERTIDUMBRE!$G$13*CALIBRACION!R96)*1000000)</f>
        <v/>
      </c>
      <c r="G90" s="838" t="str">
        <f aca="false">IF(CALIBRACION!H96="","",((INCERTIDUMBRE!$F$12)-(INCERTIDUMBRE!$F$13))*CALIBRACION!R96*1000000)</f>
        <v/>
      </c>
      <c r="H90" s="839" t="str">
        <f aca="false">IF(CALIBRACION!$H96="","",1)</f>
        <v/>
      </c>
      <c r="I90" s="840" t="str">
        <f aca="false">IF(CALIBRACION!$H96="","",CALIBRACION!X96)</f>
        <v/>
      </c>
      <c r="J90" s="840" t="str">
        <f aca="false">IF(CALIBRACION!$H96="","",-(CALIBRACION!X96+CALIBRACION!AA96))</f>
        <v/>
      </c>
      <c r="K90" s="840" t="str">
        <f aca="false">IF(CALIBRACION!$H96="","",INCERTIDUMBRE!$F$12-INCERTIDUMBRE!$F$13)</f>
        <v/>
      </c>
      <c r="L90" s="840" t="str">
        <f aca="false">IF(CALIBRACION!$H96="","",-INCERTIDUMBRE!$F$13)</f>
        <v/>
      </c>
      <c r="M90" s="839" t="str">
        <f aca="false">IF(CALIBRACION!$H96="","",CALIBRACION!R96*1000000)</f>
        <v/>
      </c>
      <c r="N90" s="839" t="str">
        <f aca="false">IF(CALIBRACION!$H96="","",-CALIBRACION!R96*1000000)</f>
        <v/>
      </c>
      <c r="O90" s="839" t="str">
        <f aca="false">IF(CALIBRACION!$H96="","",-CALIBRACION!R96*1000000)</f>
        <v/>
      </c>
    </row>
    <row r="91" customFormat="false" ht="15.75" hidden="false" customHeight="false" outlineLevel="0" collapsed="false">
      <c r="B91" s="834" t="str">
        <f aca="false">IF(CALIBRACION!$H97="","",1)</f>
        <v/>
      </c>
      <c r="C91" s="835" t="str">
        <f aca="false">IF(CALIBRACION!H97="","",1+(INCERTIDUMBRE!$F$12*CALIBRACION!X97)-(INCERTIDUMBRE!$F$13*CALIBRACION!X97)-(INCERTIDUMBRE!$F$13*CALIBRACION!AA97))</f>
        <v/>
      </c>
      <c r="D91" s="836" t="str">
        <f aca="false">IF(CALIBRACION!H97="","",(CALIBRACION!R97*CALIBRACION!X97)*1000000)</f>
        <v/>
      </c>
      <c r="E91" s="836" t="str">
        <f aca="false">IF(CALIBRACION!H97="","",-(CALIBRACION!X97+CALIBRACION!AA97)*CALIBRACION!R97*1000000)</f>
        <v/>
      </c>
      <c r="F91" s="837" t="str">
        <f aca="false">IF(CALIBRACION!H97="","",-(INCERTIDUMBRE!$G$13*CALIBRACION!R97)*1000000)</f>
        <v/>
      </c>
      <c r="G91" s="838" t="str">
        <f aca="false">IF(CALIBRACION!H97="","",((INCERTIDUMBRE!$F$12)-(INCERTIDUMBRE!$F$13))*CALIBRACION!R97*1000000)</f>
        <v/>
      </c>
      <c r="H91" s="839" t="str">
        <f aca="false">IF(CALIBRACION!$H97="","",1)</f>
        <v/>
      </c>
      <c r="I91" s="840" t="str">
        <f aca="false">IF(CALIBRACION!$H97="","",CALIBRACION!X97)</f>
        <v/>
      </c>
      <c r="J91" s="840" t="str">
        <f aca="false">IF(CALIBRACION!$H97="","",-(CALIBRACION!X97+CALIBRACION!AA97))</f>
        <v/>
      </c>
      <c r="K91" s="840" t="str">
        <f aca="false">IF(CALIBRACION!$H97="","",INCERTIDUMBRE!$F$12-INCERTIDUMBRE!$F$13)</f>
        <v/>
      </c>
      <c r="L91" s="840" t="str">
        <f aca="false">IF(CALIBRACION!$H97="","",-INCERTIDUMBRE!$F$13)</f>
        <v/>
      </c>
      <c r="M91" s="839" t="str">
        <f aca="false">IF(CALIBRACION!$H97="","",CALIBRACION!R97*1000000)</f>
        <v/>
      </c>
      <c r="N91" s="839" t="str">
        <f aca="false">IF(CALIBRACION!$H97="","",-CALIBRACION!R97*1000000)</f>
        <v/>
      </c>
      <c r="O91" s="839" t="str">
        <f aca="false">IF(CALIBRACION!$H97="","",-CALIBRACION!R97*1000000)</f>
        <v/>
      </c>
    </row>
    <row r="92" customFormat="false" ht="15.75" hidden="false" customHeight="false" outlineLevel="0" collapsed="false">
      <c r="B92" s="834" t="str">
        <f aca="false">IF(CALIBRACION!$H98="","",1)</f>
        <v/>
      </c>
      <c r="C92" s="835" t="str">
        <f aca="false">IF(CALIBRACION!H98="","",1+(INCERTIDUMBRE!$F$12*CALIBRACION!X98)-(INCERTIDUMBRE!$F$13*CALIBRACION!X98)-(INCERTIDUMBRE!$F$13*CALIBRACION!AA98))</f>
        <v/>
      </c>
      <c r="D92" s="836" t="str">
        <f aca="false">IF(CALIBRACION!H98="","",(CALIBRACION!R98*CALIBRACION!X98)*1000000)</f>
        <v/>
      </c>
      <c r="E92" s="836" t="str">
        <f aca="false">IF(CALIBRACION!H98="","",-(CALIBRACION!X98+CALIBRACION!AA98)*CALIBRACION!R98*1000000)</f>
        <v/>
      </c>
      <c r="F92" s="837" t="str">
        <f aca="false">IF(CALIBRACION!H98="","",-(INCERTIDUMBRE!$G$13*CALIBRACION!R98)*1000000)</f>
        <v/>
      </c>
      <c r="G92" s="838" t="str">
        <f aca="false">IF(CALIBRACION!H98="","",((INCERTIDUMBRE!$F$12)-(INCERTIDUMBRE!$F$13))*CALIBRACION!R98*1000000)</f>
        <v/>
      </c>
      <c r="H92" s="839" t="str">
        <f aca="false">IF(CALIBRACION!$H98="","",1)</f>
        <v/>
      </c>
      <c r="I92" s="840" t="str">
        <f aca="false">IF(CALIBRACION!$H98="","",CALIBRACION!X98)</f>
        <v/>
      </c>
      <c r="J92" s="840" t="str">
        <f aca="false">IF(CALIBRACION!$H98="","",-(CALIBRACION!X98+CALIBRACION!AA98))</f>
        <v/>
      </c>
      <c r="K92" s="840" t="str">
        <f aca="false">IF(CALIBRACION!$H98="","",INCERTIDUMBRE!$F$12-INCERTIDUMBRE!$F$13)</f>
        <v/>
      </c>
      <c r="L92" s="840" t="str">
        <f aca="false">IF(CALIBRACION!$H98="","",-INCERTIDUMBRE!$F$13)</f>
        <v/>
      </c>
      <c r="M92" s="839" t="str">
        <f aca="false">IF(CALIBRACION!$H98="","",CALIBRACION!R98*1000000)</f>
        <v/>
      </c>
      <c r="N92" s="839" t="str">
        <f aca="false">IF(CALIBRACION!$H98="","",-CALIBRACION!R98*1000000)</f>
        <v/>
      </c>
      <c r="O92" s="839" t="str">
        <f aca="false">IF(CALIBRACION!$H98="","",-CALIBRACION!R98*1000000)</f>
        <v/>
      </c>
    </row>
    <row r="93" customFormat="false" ht="15.75" hidden="false" customHeight="false" outlineLevel="0" collapsed="false">
      <c r="B93" s="834" t="str">
        <f aca="false">IF(CALIBRACION!$H99="","",1)</f>
        <v/>
      </c>
      <c r="C93" s="835" t="str">
        <f aca="false">IF(CALIBRACION!H99="","",1+(INCERTIDUMBRE!$F$12*CALIBRACION!X99)-(INCERTIDUMBRE!$F$13*CALIBRACION!X99)-(INCERTIDUMBRE!$F$13*CALIBRACION!AA99))</f>
        <v/>
      </c>
      <c r="D93" s="836" t="str">
        <f aca="false">IF(CALIBRACION!H99="","",(CALIBRACION!R99*CALIBRACION!X99)*1000000)</f>
        <v/>
      </c>
      <c r="E93" s="836" t="str">
        <f aca="false">IF(CALIBRACION!H99="","",-(CALIBRACION!X99+CALIBRACION!AA99)*CALIBRACION!R99*1000000)</f>
        <v/>
      </c>
      <c r="F93" s="837" t="str">
        <f aca="false">IF(CALIBRACION!H99="","",-(INCERTIDUMBRE!$G$13*CALIBRACION!R99)*1000000)</f>
        <v/>
      </c>
      <c r="G93" s="838" t="str">
        <f aca="false">IF(CALIBRACION!H99="","",((INCERTIDUMBRE!$F$12)-(INCERTIDUMBRE!$F$13))*CALIBRACION!R99*1000000)</f>
        <v/>
      </c>
      <c r="H93" s="839" t="str">
        <f aca="false">IF(CALIBRACION!$H99="","",1)</f>
        <v/>
      </c>
      <c r="I93" s="840" t="str">
        <f aca="false">IF(CALIBRACION!$H99="","",CALIBRACION!X99)</f>
        <v/>
      </c>
      <c r="J93" s="840" t="str">
        <f aca="false">IF(CALIBRACION!$H99="","",-(CALIBRACION!X99+CALIBRACION!AA99))</f>
        <v/>
      </c>
      <c r="K93" s="840" t="str">
        <f aca="false">IF(CALIBRACION!$H99="","",INCERTIDUMBRE!$F$12-INCERTIDUMBRE!$F$13)</f>
        <v/>
      </c>
      <c r="L93" s="840" t="str">
        <f aca="false">IF(CALIBRACION!$H99="","",-INCERTIDUMBRE!$F$13)</f>
        <v/>
      </c>
      <c r="M93" s="839" t="str">
        <f aca="false">IF(CALIBRACION!$H99="","",CALIBRACION!R99*1000000)</f>
        <v/>
      </c>
      <c r="N93" s="839" t="str">
        <f aca="false">IF(CALIBRACION!$H99="","",-CALIBRACION!R99*1000000)</f>
        <v/>
      </c>
      <c r="O93" s="839" t="str">
        <f aca="false">IF(CALIBRACION!$H99="","",-CALIBRACION!R99*1000000)</f>
        <v/>
      </c>
    </row>
    <row r="94" customFormat="false" ht="15.75" hidden="false" customHeight="false" outlineLevel="0" collapsed="false">
      <c r="B94" s="834" t="str">
        <f aca="false">IF(CALIBRACION!$H100="","",1)</f>
        <v/>
      </c>
      <c r="C94" s="835" t="str">
        <f aca="false">IF(CALIBRACION!H100="","",1+(INCERTIDUMBRE!$F$12*CALIBRACION!X100)-(INCERTIDUMBRE!$F$13*CALIBRACION!X100)-(INCERTIDUMBRE!$F$13*CALIBRACION!AA100))</f>
        <v/>
      </c>
      <c r="D94" s="836" t="str">
        <f aca="false">IF(CALIBRACION!H100="","",(CALIBRACION!R100*CALIBRACION!X100)*1000000)</f>
        <v/>
      </c>
      <c r="E94" s="836" t="str">
        <f aca="false">IF(CALIBRACION!H100="","",-(CALIBRACION!X100+CALIBRACION!AA100)*CALIBRACION!R100*1000000)</f>
        <v/>
      </c>
      <c r="F94" s="837" t="str">
        <f aca="false">IF(CALIBRACION!H100="","",-(INCERTIDUMBRE!$G$13*CALIBRACION!R100)*1000000)</f>
        <v/>
      </c>
      <c r="G94" s="838" t="str">
        <f aca="false">IF(CALIBRACION!H100="","",((INCERTIDUMBRE!$F$12)-(INCERTIDUMBRE!$F$13))*CALIBRACION!R100*1000000)</f>
        <v/>
      </c>
      <c r="H94" s="839" t="str">
        <f aca="false">IF(CALIBRACION!$H100="","",1)</f>
        <v/>
      </c>
      <c r="I94" s="840" t="str">
        <f aca="false">IF(CALIBRACION!$H100="","",CALIBRACION!X100)</f>
        <v/>
      </c>
      <c r="J94" s="840" t="str">
        <f aca="false">IF(CALIBRACION!$H100="","",-(CALIBRACION!X100+CALIBRACION!AA100))</f>
        <v/>
      </c>
      <c r="K94" s="840" t="str">
        <f aca="false">IF(CALIBRACION!$H100="","",INCERTIDUMBRE!$F$12-INCERTIDUMBRE!$F$13)</f>
        <v/>
      </c>
      <c r="L94" s="840" t="str">
        <f aca="false">IF(CALIBRACION!$H100="","",-INCERTIDUMBRE!$F$13)</f>
        <v/>
      </c>
      <c r="M94" s="839" t="str">
        <f aca="false">IF(CALIBRACION!$H100="","",CALIBRACION!R100*1000000)</f>
        <v/>
      </c>
      <c r="N94" s="839" t="str">
        <f aca="false">IF(CALIBRACION!$H100="","",-CALIBRACION!R100*1000000)</f>
        <v/>
      </c>
      <c r="O94" s="839" t="str">
        <f aca="false">IF(CALIBRACION!$H100="","",-CALIBRACION!R100*1000000)</f>
        <v/>
      </c>
    </row>
    <row r="95" customFormat="false" ht="15.75" hidden="false" customHeight="false" outlineLevel="0" collapsed="false">
      <c r="B95" s="834" t="str">
        <f aca="false">IF(CALIBRACION!$H101="","",1)</f>
        <v/>
      </c>
      <c r="C95" s="835" t="str">
        <f aca="false">IF(CALIBRACION!H101="","",1+(INCERTIDUMBRE!$F$12*CALIBRACION!X101)-(INCERTIDUMBRE!$F$13*CALIBRACION!X101)-(INCERTIDUMBRE!$F$13*CALIBRACION!AA101))</f>
        <v/>
      </c>
      <c r="D95" s="836" t="str">
        <f aca="false">IF(CALIBRACION!H101="","",(CALIBRACION!R101*CALIBRACION!X101)*1000000)</f>
        <v/>
      </c>
      <c r="E95" s="836" t="str">
        <f aca="false">IF(CALIBRACION!H101="","",-(CALIBRACION!X101+CALIBRACION!AA101)*CALIBRACION!R101*1000000)</f>
        <v/>
      </c>
      <c r="F95" s="837" t="str">
        <f aca="false">IF(CALIBRACION!H101="","",-(INCERTIDUMBRE!$G$13*CALIBRACION!R101)*1000000)</f>
        <v/>
      </c>
      <c r="G95" s="838" t="str">
        <f aca="false">IF(CALIBRACION!H101="","",((INCERTIDUMBRE!$F$12)-(INCERTIDUMBRE!$F$13))*CALIBRACION!R101*1000000)</f>
        <v/>
      </c>
      <c r="H95" s="839" t="str">
        <f aca="false">IF(CALIBRACION!$H101="","",1)</f>
        <v/>
      </c>
      <c r="I95" s="840" t="str">
        <f aca="false">IF(CALIBRACION!$H101="","",CALIBRACION!X101)</f>
        <v/>
      </c>
      <c r="J95" s="840" t="str">
        <f aca="false">IF(CALIBRACION!$H101="","",-(CALIBRACION!X101+CALIBRACION!AA101))</f>
        <v/>
      </c>
      <c r="K95" s="840" t="str">
        <f aca="false">IF(CALIBRACION!$H101="","",INCERTIDUMBRE!$F$12-INCERTIDUMBRE!$F$13)</f>
        <v/>
      </c>
      <c r="L95" s="840" t="str">
        <f aca="false">IF(CALIBRACION!$H101="","",-INCERTIDUMBRE!$F$13)</f>
        <v/>
      </c>
      <c r="M95" s="839" t="str">
        <f aca="false">IF(CALIBRACION!$H101="","",CALIBRACION!R101*1000000)</f>
        <v/>
      </c>
      <c r="N95" s="839" t="str">
        <f aca="false">IF(CALIBRACION!$H101="","",-CALIBRACION!R101*1000000)</f>
        <v/>
      </c>
      <c r="O95" s="839" t="str">
        <f aca="false">IF(CALIBRACION!$H101="","",-CALIBRACION!R101*1000000)</f>
        <v/>
      </c>
    </row>
    <row r="96" customFormat="false" ht="15.75" hidden="false" customHeight="false" outlineLevel="0" collapsed="false">
      <c r="B96" s="834" t="str">
        <f aca="false">IF(CALIBRACION!$H102="","",1)</f>
        <v/>
      </c>
      <c r="C96" s="835" t="str">
        <f aca="false">IF(CALIBRACION!H102="","",1+(INCERTIDUMBRE!$F$12*CALIBRACION!X102)-(INCERTIDUMBRE!$F$13*CALIBRACION!X102)-(INCERTIDUMBRE!$F$13*CALIBRACION!AA102))</f>
        <v/>
      </c>
      <c r="D96" s="836" t="str">
        <f aca="false">IF(CALIBRACION!H102="","",(CALIBRACION!R102*CALIBRACION!X102)*1000000)</f>
        <v/>
      </c>
      <c r="E96" s="836" t="str">
        <f aca="false">IF(CALIBRACION!H102="","",-(CALIBRACION!X102+CALIBRACION!AA102)*CALIBRACION!R102*1000000)</f>
        <v/>
      </c>
      <c r="F96" s="837" t="str">
        <f aca="false">IF(CALIBRACION!H102="","",-(INCERTIDUMBRE!$G$13*CALIBRACION!R102)*1000000)</f>
        <v/>
      </c>
      <c r="G96" s="838" t="str">
        <f aca="false">IF(CALIBRACION!H102="","",((INCERTIDUMBRE!$F$12)-(INCERTIDUMBRE!$F$13))*CALIBRACION!R102*1000000)</f>
        <v/>
      </c>
      <c r="H96" s="839" t="str">
        <f aca="false">IF(CALIBRACION!$H102="","",1)</f>
        <v/>
      </c>
      <c r="I96" s="840" t="str">
        <f aca="false">IF(CALIBRACION!$H102="","",CALIBRACION!X102)</f>
        <v/>
      </c>
      <c r="J96" s="840" t="str">
        <f aca="false">IF(CALIBRACION!$H102="","",-(CALIBRACION!X102+CALIBRACION!AA102))</f>
        <v/>
      </c>
      <c r="K96" s="840" t="str">
        <f aca="false">IF(CALIBRACION!$H102="","",INCERTIDUMBRE!$F$12-INCERTIDUMBRE!$F$13)</f>
        <v/>
      </c>
      <c r="L96" s="840" t="str">
        <f aca="false">IF(CALIBRACION!$H102="","",-INCERTIDUMBRE!$F$13)</f>
        <v/>
      </c>
      <c r="M96" s="839" t="str">
        <f aca="false">IF(CALIBRACION!$H102="","",CALIBRACION!R102*1000000)</f>
        <v/>
      </c>
      <c r="N96" s="839" t="str">
        <f aca="false">IF(CALIBRACION!$H102="","",-CALIBRACION!R102*1000000)</f>
        <v/>
      </c>
      <c r="O96" s="839" t="str">
        <f aca="false">IF(CALIBRACION!$H102="","",-CALIBRACION!R102*1000000)</f>
        <v/>
      </c>
    </row>
    <row r="97" customFormat="false" ht="15.75" hidden="false" customHeight="false" outlineLevel="0" collapsed="false">
      <c r="B97" s="834" t="str">
        <f aca="false">IF(CALIBRACION!$H103="","",1)</f>
        <v/>
      </c>
      <c r="C97" s="835" t="str">
        <f aca="false">IF(CALIBRACION!H103="","",1+(INCERTIDUMBRE!$F$12*CALIBRACION!X103)-(INCERTIDUMBRE!$F$13*CALIBRACION!X103)-(INCERTIDUMBRE!$F$13*CALIBRACION!AA103))</f>
        <v/>
      </c>
      <c r="D97" s="836" t="str">
        <f aca="false">IF(CALIBRACION!H103="","",(CALIBRACION!R103*CALIBRACION!X103)*1000000)</f>
        <v/>
      </c>
      <c r="E97" s="836" t="str">
        <f aca="false">IF(CALIBRACION!H103="","",-(CALIBRACION!X103+CALIBRACION!AA103)*CALIBRACION!R103*1000000)</f>
        <v/>
      </c>
      <c r="F97" s="837" t="str">
        <f aca="false">IF(CALIBRACION!H103="","",-(INCERTIDUMBRE!$G$13*CALIBRACION!R103)*1000000)</f>
        <v/>
      </c>
      <c r="G97" s="838" t="str">
        <f aca="false">IF(CALIBRACION!H103="","",((INCERTIDUMBRE!$F$12)-(INCERTIDUMBRE!$F$13))*CALIBRACION!R103*1000000)</f>
        <v/>
      </c>
      <c r="H97" s="839" t="str">
        <f aca="false">IF(CALIBRACION!$H103="","",1)</f>
        <v/>
      </c>
      <c r="I97" s="840" t="str">
        <f aca="false">IF(CALIBRACION!$H103="","",CALIBRACION!X103)</f>
        <v/>
      </c>
      <c r="J97" s="840" t="str">
        <f aca="false">IF(CALIBRACION!$H103="","",-(CALIBRACION!X103+CALIBRACION!AA103))</f>
        <v/>
      </c>
      <c r="K97" s="840" t="str">
        <f aca="false">IF(CALIBRACION!$H103="","",INCERTIDUMBRE!$F$12-INCERTIDUMBRE!$F$13)</f>
        <v/>
      </c>
      <c r="L97" s="840" t="str">
        <f aca="false">IF(CALIBRACION!$H103="","",-INCERTIDUMBRE!$F$13)</f>
        <v/>
      </c>
      <c r="M97" s="839" t="str">
        <f aca="false">IF(CALIBRACION!$H103="","",CALIBRACION!R103*1000000)</f>
        <v/>
      </c>
      <c r="N97" s="839" t="str">
        <f aca="false">IF(CALIBRACION!$H103="","",-CALIBRACION!R103*1000000)</f>
        <v/>
      </c>
      <c r="O97" s="839" t="str">
        <f aca="false">IF(CALIBRACION!$H103="","",-CALIBRACION!R103*1000000)</f>
        <v/>
      </c>
    </row>
    <row r="98" customFormat="false" ht="15.75" hidden="false" customHeight="false" outlineLevel="0" collapsed="false">
      <c r="B98" s="834" t="str">
        <f aca="false">IF(CALIBRACION!$H104="","",1)</f>
        <v/>
      </c>
      <c r="C98" s="835" t="str">
        <f aca="false">IF(CALIBRACION!H104="","",1+(INCERTIDUMBRE!$F$12*CALIBRACION!X104)-(INCERTIDUMBRE!$F$13*CALIBRACION!X104)-(INCERTIDUMBRE!$F$13*CALIBRACION!AA104))</f>
        <v/>
      </c>
      <c r="D98" s="836" t="str">
        <f aca="false">IF(CALIBRACION!H104="","",(CALIBRACION!R104*CALIBRACION!X104)*1000000)</f>
        <v/>
      </c>
      <c r="E98" s="836" t="str">
        <f aca="false">IF(CALIBRACION!H104="","",-(CALIBRACION!X104+CALIBRACION!AA104)*CALIBRACION!R104*1000000)</f>
        <v/>
      </c>
      <c r="F98" s="837" t="str">
        <f aca="false">IF(CALIBRACION!H104="","",-(INCERTIDUMBRE!$G$13*CALIBRACION!R104)*1000000)</f>
        <v/>
      </c>
      <c r="G98" s="838" t="str">
        <f aca="false">IF(CALIBRACION!H104="","",((INCERTIDUMBRE!$F$12)-(INCERTIDUMBRE!$F$13))*CALIBRACION!R104*1000000)</f>
        <v/>
      </c>
      <c r="H98" s="839" t="str">
        <f aca="false">IF(CALIBRACION!$H104="","",1)</f>
        <v/>
      </c>
      <c r="I98" s="840" t="str">
        <f aca="false">IF(CALIBRACION!$H104="","",CALIBRACION!X104)</f>
        <v/>
      </c>
      <c r="J98" s="840" t="str">
        <f aca="false">IF(CALIBRACION!$H104="","",-(CALIBRACION!X104+CALIBRACION!AA104))</f>
        <v/>
      </c>
      <c r="K98" s="840" t="str">
        <f aca="false">IF(CALIBRACION!$H104="","",INCERTIDUMBRE!$F$12-INCERTIDUMBRE!$F$13)</f>
        <v/>
      </c>
      <c r="L98" s="840" t="str">
        <f aca="false">IF(CALIBRACION!$H104="","",-INCERTIDUMBRE!$F$13)</f>
        <v/>
      </c>
      <c r="M98" s="839" t="str">
        <f aca="false">IF(CALIBRACION!$H104="","",CALIBRACION!R104*1000000)</f>
        <v/>
      </c>
      <c r="N98" s="839" t="str">
        <f aca="false">IF(CALIBRACION!$H104="","",-CALIBRACION!R104*1000000)</f>
        <v/>
      </c>
      <c r="O98" s="839" t="str">
        <f aca="false">IF(CALIBRACION!$H104="","",-CALIBRACION!R104*1000000)</f>
        <v/>
      </c>
    </row>
    <row r="99" customFormat="false" ht="15.75" hidden="false" customHeight="false" outlineLevel="0" collapsed="false">
      <c r="B99" s="834" t="str">
        <f aca="false">IF(CALIBRACION!$H105="","",1)</f>
        <v/>
      </c>
      <c r="C99" s="835" t="str">
        <f aca="false">IF(CALIBRACION!H105="","",1+(INCERTIDUMBRE!$F$12*CALIBRACION!X105)-(INCERTIDUMBRE!$F$13*CALIBRACION!X105)-(INCERTIDUMBRE!$F$13*CALIBRACION!AA105))</f>
        <v/>
      </c>
      <c r="D99" s="836" t="str">
        <f aca="false">IF(CALIBRACION!H105="","",(CALIBRACION!R105*CALIBRACION!X105)*1000000)</f>
        <v/>
      </c>
      <c r="E99" s="836" t="str">
        <f aca="false">IF(CALIBRACION!H105="","",-(CALIBRACION!X105+CALIBRACION!AA105)*CALIBRACION!R105*1000000)</f>
        <v/>
      </c>
      <c r="F99" s="837" t="str">
        <f aca="false">IF(CALIBRACION!H105="","",-(INCERTIDUMBRE!$G$13*CALIBRACION!R105)*1000000)</f>
        <v/>
      </c>
      <c r="G99" s="838" t="str">
        <f aca="false">IF(CALIBRACION!H105="","",((INCERTIDUMBRE!$F$12)-(INCERTIDUMBRE!$F$13))*CALIBRACION!R105*1000000)</f>
        <v/>
      </c>
      <c r="H99" s="839" t="str">
        <f aca="false">IF(CALIBRACION!$H105="","",1)</f>
        <v/>
      </c>
      <c r="I99" s="840" t="str">
        <f aca="false">IF(CALIBRACION!$H105="","",CALIBRACION!X105)</f>
        <v/>
      </c>
      <c r="J99" s="840" t="str">
        <f aca="false">IF(CALIBRACION!$H105="","",-(CALIBRACION!X105+CALIBRACION!AA105))</f>
        <v/>
      </c>
      <c r="K99" s="840" t="str">
        <f aca="false">IF(CALIBRACION!$H105="","",INCERTIDUMBRE!$F$12-INCERTIDUMBRE!$F$13)</f>
        <v/>
      </c>
      <c r="L99" s="840" t="str">
        <f aca="false">IF(CALIBRACION!$H105="","",-INCERTIDUMBRE!$F$13)</f>
        <v/>
      </c>
      <c r="M99" s="839" t="str">
        <f aca="false">IF(CALIBRACION!$H105="","",CALIBRACION!R105*1000000)</f>
        <v/>
      </c>
      <c r="N99" s="839" t="str">
        <f aca="false">IF(CALIBRACION!$H105="","",-CALIBRACION!R105*1000000)</f>
        <v/>
      </c>
      <c r="O99" s="839" t="str">
        <f aca="false">IF(CALIBRACION!$H105="","",-CALIBRACION!R105*1000000)</f>
        <v/>
      </c>
    </row>
    <row r="100" customFormat="false" ht="15.75" hidden="false" customHeight="false" outlineLevel="0" collapsed="false">
      <c r="B100" s="834" t="str">
        <f aca="false">IF(CALIBRACION!$H106="","",1)</f>
        <v/>
      </c>
      <c r="C100" s="835" t="str">
        <f aca="false">IF(CALIBRACION!H106="","",1+(INCERTIDUMBRE!$F$12*CALIBRACION!X106)-(INCERTIDUMBRE!$F$13*CALIBRACION!X106)-(INCERTIDUMBRE!$F$13*CALIBRACION!AA106))</f>
        <v/>
      </c>
      <c r="D100" s="836" t="str">
        <f aca="false">IF(CALIBRACION!H106="","",(CALIBRACION!R106*CALIBRACION!X106)*1000000)</f>
        <v/>
      </c>
      <c r="E100" s="836" t="str">
        <f aca="false">IF(CALIBRACION!H106="","",-(CALIBRACION!X106+CALIBRACION!AA106)*CALIBRACION!R106*1000000)</f>
        <v/>
      </c>
      <c r="F100" s="837" t="str">
        <f aca="false">IF(CALIBRACION!H106="","",-(INCERTIDUMBRE!$G$13*CALIBRACION!R106)*1000000)</f>
        <v/>
      </c>
      <c r="G100" s="838" t="str">
        <f aca="false">IF(CALIBRACION!H106="","",((INCERTIDUMBRE!$F$12)-(INCERTIDUMBRE!$F$13))*CALIBRACION!R106*1000000)</f>
        <v/>
      </c>
      <c r="H100" s="839" t="str">
        <f aca="false">IF(CALIBRACION!$H106="","",1)</f>
        <v/>
      </c>
      <c r="I100" s="840" t="str">
        <f aca="false">IF(CALIBRACION!$H106="","",CALIBRACION!X106)</f>
        <v/>
      </c>
      <c r="J100" s="840" t="str">
        <f aca="false">IF(CALIBRACION!$H106="","",-(CALIBRACION!X106+CALIBRACION!AA106))</f>
        <v/>
      </c>
      <c r="K100" s="840" t="str">
        <f aca="false">IF(CALIBRACION!$H106="","",INCERTIDUMBRE!$F$12-INCERTIDUMBRE!$F$13)</f>
        <v/>
      </c>
      <c r="L100" s="840" t="str">
        <f aca="false">IF(CALIBRACION!$H106="","",-INCERTIDUMBRE!$F$13)</f>
        <v/>
      </c>
      <c r="M100" s="839" t="str">
        <f aca="false">IF(CALIBRACION!$H106="","",CALIBRACION!R106*1000000)</f>
        <v/>
      </c>
      <c r="N100" s="839" t="str">
        <f aca="false">IF(CALIBRACION!$H106="","",-CALIBRACION!R106*1000000)</f>
        <v/>
      </c>
      <c r="O100" s="839" t="str">
        <f aca="false">IF(CALIBRACION!$H106="","",-CALIBRACION!R106*1000000)</f>
        <v/>
      </c>
    </row>
    <row r="101" customFormat="false" ht="15.75" hidden="false" customHeight="false" outlineLevel="0" collapsed="false">
      <c r="B101" s="834" t="str">
        <f aca="false">IF(CALIBRACION!$H107="","",1)</f>
        <v/>
      </c>
      <c r="C101" s="835" t="str">
        <f aca="false">IF(CALIBRACION!H107="","",1+(INCERTIDUMBRE!$F$12*CALIBRACION!X107)-(INCERTIDUMBRE!$F$13*CALIBRACION!X107)-(INCERTIDUMBRE!$F$13*CALIBRACION!AA107))</f>
        <v/>
      </c>
      <c r="D101" s="836" t="str">
        <f aca="false">IF(CALIBRACION!H107="","",(CALIBRACION!R107*CALIBRACION!X107)*1000000)</f>
        <v/>
      </c>
      <c r="E101" s="836" t="str">
        <f aca="false">IF(CALIBRACION!H107="","",-(CALIBRACION!X107+CALIBRACION!AA107)*CALIBRACION!R107*1000000)</f>
        <v/>
      </c>
      <c r="F101" s="837" t="str">
        <f aca="false">IF(CALIBRACION!H107="","",-(INCERTIDUMBRE!$G$13*CALIBRACION!R107)*1000000)</f>
        <v/>
      </c>
      <c r="G101" s="838" t="str">
        <f aca="false">IF(CALIBRACION!H107="","",((INCERTIDUMBRE!$F$12)-(INCERTIDUMBRE!$F$13))*CALIBRACION!R107*1000000)</f>
        <v/>
      </c>
      <c r="H101" s="839" t="str">
        <f aca="false">IF(CALIBRACION!$H107="","",1)</f>
        <v/>
      </c>
      <c r="I101" s="840" t="str">
        <f aca="false">IF(CALIBRACION!$H107="","",CALIBRACION!X107)</f>
        <v/>
      </c>
      <c r="J101" s="840" t="str">
        <f aca="false">IF(CALIBRACION!$H107="","",-(CALIBRACION!X107+CALIBRACION!AA107))</f>
        <v/>
      </c>
      <c r="K101" s="840" t="str">
        <f aca="false">IF(CALIBRACION!$H107="","",INCERTIDUMBRE!$F$12-INCERTIDUMBRE!$F$13)</f>
        <v/>
      </c>
      <c r="L101" s="840" t="str">
        <f aca="false">IF(CALIBRACION!$H107="","",-INCERTIDUMBRE!$F$13)</f>
        <v/>
      </c>
      <c r="M101" s="839" t="str">
        <f aca="false">IF(CALIBRACION!$H107="","",CALIBRACION!R107*1000000)</f>
        <v/>
      </c>
      <c r="N101" s="839" t="str">
        <f aca="false">IF(CALIBRACION!$H107="","",-CALIBRACION!R107*1000000)</f>
        <v/>
      </c>
      <c r="O101" s="839" t="str">
        <f aca="false">IF(CALIBRACION!$H107="","",-CALIBRACION!R107*1000000)</f>
        <v/>
      </c>
    </row>
    <row r="102" customFormat="false" ht="15.75" hidden="false" customHeight="false" outlineLevel="0" collapsed="false">
      <c r="B102" s="834" t="str">
        <f aca="false">IF(CALIBRACION!$H108="","",1)</f>
        <v/>
      </c>
      <c r="C102" s="835" t="str">
        <f aca="false">IF(CALIBRACION!H108="","",1+(INCERTIDUMBRE!$F$12*CALIBRACION!X108)-(INCERTIDUMBRE!$F$13*CALIBRACION!X108)-(INCERTIDUMBRE!$F$13*CALIBRACION!AA108))</f>
        <v/>
      </c>
      <c r="D102" s="836" t="str">
        <f aca="false">IF(CALIBRACION!H108="","",(CALIBRACION!R108*CALIBRACION!X108)*1000000)</f>
        <v/>
      </c>
      <c r="E102" s="836" t="str">
        <f aca="false">IF(CALIBRACION!H108="","",-(CALIBRACION!X108+CALIBRACION!AA108)*CALIBRACION!R108*1000000)</f>
        <v/>
      </c>
      <c r="F102" s="837" t="str">
        <f aca="false">IF(CALIBRACION!H108="","",-(INCERTIDUMBRE!$G$13*CALIBRACION!R108)*1000000)</f>
        <v/>
      </c>
      <c r="G102" s="838" t="str">
        <f aca="false">IF(CALIBRACION!H108="","",((INCERTIDUMBRE!$F$12)-(INCERTIDUMBRE!$F$13))*CALIBRACION!R108*1000000)</f>
        <v/>
      </c>
      <c r="H102" s="839" t="str">
        <f aca="false">IF(CALIBRACION!$H108="","",1)</f>
        <v/>
      </c>
      <c r="I102" s="840" t="str">
        <f aca="false">IF(CALIBRACION!$H108="","",CALIBRACION!X108)</f>
        <v/>
      </c>
      <c r="J102" s="840" t="str">
        <f aca="false">IF(CALIBRACION!$H108="","",-(CALIBRACION!X108+CALIBRACION!AA108))</f>
        <v/>
      </c>
      <c r="K102" s="840" t="str">
        <f aca="false">IF(CALIBRACION!$H108="","",INCERTIDUMBRE!$F$12-INCERTIDUMBRE!$F$13)</f>
        <v/>
      </c>
      <c r="L102" s="840" t="str">
        <f aca="false">IF(CALIBRACION!$H108="","",-INCERTIDUMBRE!$F$13)</f>
        <v/>
      </c>
      <c r="M102" s="839" t="str">
        <f aca="false">IF(CALIBRACION!$H108="","",CALIBRACION!R108*1000000)</f>
        <v/>
      </c>
      <c r="N102" s="839" t="str">
        <f aca="false">IF(CALIBRACION!$H108="","",-CALIBRACION!R108*1000000)</f>
        <v/>
      </c>
      <c r="O102" s="839" t="str">
        <f aca="false">IF(CALIBRACION!$H108="","",-CALIBRACION!R108*1000000)</f>
        <v/>
      </c>
    </row>
    <row r="103" customFormat="false" ht="15.75" hidden="false" customHeight="false" outlineLevel="0" collapsed="false">
      <c r="B103" s="834" t="str">
        <f aca="false">IF(CALIBRACION!$H109="","",1)</f>
        <v/>
      </c>
      <c r="C103" s="835" t="str">
        <f aca="false">IF(CALIBRACION!H109="","",1+(INCERTIDUMBRE!$F$12*CALIBRACION!X109)-(INCERTIDUMBRE!$F$13*CALIBRACION!X109)-(INCERTIDUMBRE!$F$13*CALIBRACION!AA109))</f>
        <v/>
      </c>
      <c r="D103" s="836" t="str">
        <f aca="false">IF(CALIBRACION!H109="","",(CALIBRACION!R109*CALIBRACION!X109)*1000000)</f>
        <v/>
      </c>
      <c r="E103" s="836" t="str">
        <f aca="false">IF(CALIBRACION!H109="","",-(CALIBRACION!X109+CALIBRACION!AA109)*CALIBRACION!R109*1000000)</f>
        <v/>
      </c>
      <c r="F103" s="837" t="str">
        <f aca="false">IF(CALIBRACION!H109="","",-(INCERTIDUMBRE!$G$13*CALIBRACION!R109)*1000000)</f>
        <v/>
      </c>
      <c r="G103" s="838" t="str">
        <f aca="false">IF(CALIBRACION!H109="","",((INCERTIDUMBRE!$F$12)-(INCERTIDUMBRE!$F$13))*CALIBRACION!R109*1000000)</f>
        <v/>
      </c>
      <c r="H103" s="839" t="str">
        <f aca="false">IF(CALIBRACION!$H109="","",1)</f>
        <v/>
      </c>
      <c r="I103" s="840" t="str">
        <f aca="false">IF(CALIBRACION!$H109="","",CALIBRACION!X109)</f>
        <v/>
      </c>
      <c r="J103" s="840" t="str">
        <f aca="false">IF(CALIBRACION!$H109="","",-(CALIBRACION!X109+CALIBRACION!AA109))</f>
        <v/>
      </c>
      <c r="K103" s="840" t="str">
        <f aca="false">IF(CALIBRACION!$H109="","",INCERTIDUMBRE!$F$12-INCERTIDUMBRE!$F$13)</f>
        <v/>
      </c>
      <c r="L103" s="840" t="str">
        <f aca="false">IF(CALIBRACION!$H109="","",-INCERTIDUMBRE!$F$13)</f>
        <v/>
      </c>
      <c r="M103" s="839" t="str">
        <f aca="false">IF(CALIBRACION!$H109="","",CALIBRACION!R109*1000000)</f>
        <v/>
      </c>
      <c r="N103" s="839" t="str">
        <f aca="false">IF(CALIBRACION!$H109="","",-CALIBRACION!R109*1000000)</f>
        <v/>
      </c>
      <c r="O103" s="839" t="str">
        <f aca="false">IF(CALIBRACION!$H109="","",-CALIBRACION!R109*1000000)</f>
        <v/>
      </c>
    </row>
    <row r="104" customFormat="false" ht="15.75" hidden="false" customHeight="false" outlineLevel="0" collapsed="false">
      <c r="B104" s="834" t="str">
        <f aca="false">IF(CALIBRACION!$H110="","",1)</f>
        <v/>
      </c>
      <c r="C104" s="835" t="str">
        <f aca="false">IF(CALIBRACION!H110="","",1+(INCERTIDUMBRE!$F$12*CALIBRACION!X110)-(INCERTIDUMBRE!$F$13*CALIBRACION!X110)-(INCERTIDUMBRE!$F$13*CALIBRACION!AA110))</f>
        <v/>
      </c>
      <c r="D104" s="836" t="str">
        <f aca="false">IF(CALIBRACION!H110="","",(CALIBRACION!R110*CALIBRACION!X110)*1000000)</f>
        <v/>
      </c>
      <c r="E104" s="836" t="str">
        <f aca="false">IF(CALIBRACION!H110="","",-(CALIBRACION!X110+CALIBRACION!AA110)*CALIBRACION!R110*1000000)</f>
        <v/>
      </c>
      <c r="F104" s="837" t="str">
        <f aca="false">IF(CALIBRACION!H110="","",-(INCERTIDUMBRE!$G$13*CALIBRACION!R110)*1000000)</f>
        <v/>
      </c>
      <c r="G104" s="838" t="str">
        <f aca="false">IF(CALIBRACION!H110="","",((INCERTIDUMBRE!$F$12)-(INCERTIDUMBRE!$F$13))*CALIBRACION!R110*1000000)</f>
        <v/>
      </c>
      <c r="H104" s="839" t="str">
        <f aca="false">IF(CALIBRACION!$H110="","",1)</f>
        <v/>
      </c>
      <c r="I104" s="840" t="str">
        <f aca="false">IF(CALIBRACION!$H110="","",CALIBRACION!X110)</f>
        <v/>
      </c>
      <c r="J104" s="840" t="str">
        <f aca="false">IF(CALIBRACION!$H110="","",-(CALIBRACION!X110+CALIBRACION!AA110))</f>
        <v/>
      </c>
      <c r="K104" s="840" t="str">
        <f aca="false">IF(CALIBRACION!$H110="","",INCERTIDUMBRE!$F$12-INCERTIDUMBRE!$F$13)</f>
        <v/>
      </c>
      <c r="L104" s="840" t="str">
        <f aca="false">IF(CALIBRACION!$H110="","",-INCERTIDUMBRE!$F$13)</f>
        <v/>
      </c>
      <c r="M104" s="839" t="str">
        <f aca="false">IF(CALIBRACION!$H110="","",CALIBRACION!R110*1000000)</f>
        <v/>
      </c>
      <c r="N104" s="839" t="str">
        <f aca="false">IF(CALIBRACION!$H110="","",-CALIBRACION!R110*1000000)</f>
        <v/>
      </c>
      <c r="O104" s="839" t="str">
        <f aca="false">IF(CALIBRACION!$H110="","",-CALIBRACION!R110*1000000)</f>
        <v/>
      </c>
    </row>
    <row r="105" customFormat="false" ht="15.75" hidden="false" customHeight="false" outlineLevel="0" collapsed="false">
      <c r="B105" s="834" t="str">
        <f aca="false">IF(CALIBRACION!$H111="","",1)</f>
        <v/>
      </c>
      <c r="C105" s="835" t="str">
        <f aca="false">IF(CALIBRACION!H111="","",1+(INCERTIDUMBRE!$F$12*CALIBRACION!X111)-(INCERTIDUMBRE!$F$13*CALIBRACION!X111)-(INCERTIDUMBRE!$F$13*CALIBRACION!AA111))</f>
        <v/>
      </c>
      <c r="D105" s="836" t="str">
        <f aca="false">IF(CALIBRACION!H111="","",(CALIBRACION!R111*CALIBRACION!X111)*1000000)</f>
        <v/>
      </c>
      <c r="E105" s="836" t="str">
        <f aca="false">IF(CALIBRACION!H111="","",-(CALIBRACION!X111+CALIBRACION!AA111)*CALIBRACION!R111*1000000)</f>
        <v/>
      </c>
      <c r="F105" s="837" t="str">
        <f aca="false">IF(CALIBRACION!H111="","",-(INCERTIDUMBRE!$G$13*CALIBRACION!R111)*1000000)</f>
        <v/>
      </c>
      <c r="G105" s="838" t="str">
        <f aca="false">IF(CALIBRACION!H111="","",((INCERTIDUMBRE!$F$12)-(INCERTIDUMBRE!$F$13))*CALIBRACION!R111*1000000)</f>
        <v/>
      </c>
      <c r="H105" s="839" t="str">
        <f aca="false">IF(CALIBRACION!$H111="","",1)</f>
        <v/>
      </c>
      <c r="I105" s="840" t="str">
        <f aca="false">IF(CALIBRACION!$H111="","",CALIBRACION!X111)</f>
        <v/>
      </c>
      <c r="J105" s="840" t="str">
        <f aca="false">IF(CALIBRACION!$H111="","",-(CALIBRACION!X111+CALIBRACION!AA111))</f>
        <v/>
      </c>
      <c r="K105" s="840" t="str">
        <f aca="false">IF(CALIBRACION!$H111="","",INCERTIDUMBRE!$F$12-INCERTIDUMBRE!$F$13)</f>
        <v/>
      </c>
      <c r="L105" s="840" t="str">
        <f aca="false">IF(CALIBRACION!$H111="","",-INCERTIDUMBRE!$F$13)</f>
        <v/>
      </c>
      <c r="M105" s="839" t="str">
        <f aca="false">IF(CALIBRACION!$H111="","",CALIBRACION!R111*1000000)</f>
        <v/>
      </c>
      <c r="N105" s="839" t="str">
        <f aca="false">IF(CALIBRACION!$H111="","",-CALIBRACION!R111*1000000)</f>
        <v/>
      </c>
      <c r="O105" s="839" t="str">
        <f aca="false">IF(CALIBRACION!$H111="","",-CALIBRACION!R111*1000000)</f>
        <v/>
      </c>
    </row>
    <row r="106" customFormat="false" ht="15.75" hidden="false" customHeight="false" outlineLevel="0" collapsed="false">
      <c r="B106" s="834" t="str">
        <f aca="false">IF(CALIBRACION!$H112="","",1)</f>
        <v/>
      </c>
      <c r="C106" s="835" t="str">
        <f aca="false">IF(CALIBRACION!H112="","",1+(INCERTIDUMBRE!$F$12*CALIBRACION!X112)-(INCERTIDUMBRE!$F$13*CALIBRACION!X112)-(INCERTIDUMBRE!$F$13*CALIBRACION!AA112))</f>
        <v/>
      </c>
      <c r="D106" s="836" t="str">
        <f aca="false">IF(CALIBRACION!H112="","",(CALIBRACION!R112*CALIBRACION!X112)*1000000)</f>
        <v/>
      </c>
      <c r="E106" s="836" t="str">
        <f aca="false">IF(CALIBRACION!H112="","",-(CALIBRACION!X112+CALIBRACION!AA112)*CALIBRACION!R112*1000000)</f>
        <v/>
      </c>
      <c r="F106" s="837" t="str">
        <f aca="false">IF(CALIBRACION!H112="","",-(INCERTIDUMBRE!$G$13*CALIBRACION!R112)*1000000)</f>
        <v/>
      </c>
      <c r="G106" s="838" t="str">
        <f aca="false">IF(CALIBRACION!H112="","",((INCERTIDUMBRE!$F$12)-(INCERTIDUMBRE!$F$13))*CALIBRACION!R112*1000000)</f>
        <v/>
      </c>
      <c r="H106" s="839" t="str">
        <f aca="false">IF(CALIBRACION!$H112="","",1)</f>
        <v/>
      </c>
      <c r="I106" s="840" t="str">
        <f aca="false">IF(CALIBRACION!$H112="","",CALIBRACION!X112)</f>
        <v/>
      </c>
      <c r="J106" s="840" t="str">
        <f aca="false">IF(CALIBRACION!$H112="","",-(CALIBRACION!X112+CALIBRACION!AA112))</f>
        <v/>
      </c>
      <c r="K106" s="840" t="str">
        <f aca="false">IF(CALIBRACION!$H112="","",INCERTIDUMBRE!$F$12-INCERTIDUMBRE!$F$13)</f>
        <v/>
      </c>
      <c r="L106" s="840" t="str">
        <f aca="false">IF(CALIBRACION!$H112="","",-INCERTIDUMBRE!$F$13)</f>
        <v/>
      </c>
      <c r="M106" s="839" t="str">
        <f aca="false">IF(CALIBRACION!$H112="","",CALIBRACION!R112*1000000)</f>
        <v/>
      </c>
      <c r="N106" s="839" t="str">
        <f aca="false">IF(CALIBRACION!$H112="","",-CALIBRACION!R112*1000000)</f>
        <v/>
      </c>
      <c r="O106" s="839" t="str">
        <f aca="false">IF(CALIBRACION!$H112="","",-CALIBRACION!R112*1000000)</f>
        <v/>
      </c>
    </row>
    <row r="107" customFormat="false" ht="15.75" hidden="false" customHeight="false" outlineLevel="0" collapsed="false">
      <c r="B107" s="834" t="str">
        <f aca="false">IF(CALIBRACION!$H113="","",1)</f>
        <v/>
      </c>
      <c r="C107" s="835" t="str">
        <f aca="false">IF(CALIBRACION!H113="","",1+(INCERTIDUMBRE!$F$12*CALIBRACION!X113)-(INCERTIDUMBRE!$F$13*CALIBRACION!X113)-(INCERTIDUMBRE!$F$13*CALIBRACION!AA113))</f>
        <v/>
      </c>
      <c r="D107" s="836" t="str">
        <f aca="false">IF(CALIBRACION!H113="","",(CALIBRACION!R113*CALIBRACION!X113)*1000000)</f>
        <v/>
      </c>
      <c r="E107" s="836" t="str">
        <f aca="false">IF(CALIBRACION!H113="","",-(CALIBRACION!X113+CALIBRACION!AA113)*CALIBRACION!R113*1000000)</f>
        <v/>
      </c>
      <c r="F107" s="837" t="str">
        <f aca="false">IF(CALIBRACION!H113="","",-(INCERTIDUMBRE!$G$13*CALIBRACION!R113)*1000000)</f>
        <v/>
      </c>
      <c r="G107" s="838" t="str">
        <f aca="false">IF(CALIBRACION!H113="","",((INCERTIDUMBRE!$F$12)-(INCERTIDUMBRE!$F$13))*CALIBRACION!R113*1000000)</f>
        <v/>
      </c>
      <c r="H107" s="839" t="str">
        <f aca="false">IF(CALIBRACION!$H113="","",1)</f>
        <v/>
      </c>
      <c r="I107" s="840" t="str">
        <f aca="false">IF(CALIBRACION!$H113="","",CALIBRACION!X113)</f>
        <v/>
      </c>
      <c r="J107" s="840" t="str">
        <f aca="false">IF(CALIBRACION!$H113="","",-(CALIBRACION!X113+CALIBRACION!AA113))</f>
        <v/>
      </c>
      <c r="K107" s="840" t="str">
        <f aca="false">IF(CALIBRACION!$H113="","",INCERTIDUMBRE!$F$12-INCERTIDUMBRE!$F$13)</f>
        <v/>
      </c>
      <c r="L107" s="840" t="str">
        <f aca="false">IF(CALIBRACION!$H113="","",-INCERTIDUMBRE!$F$13)</f>
        <v/>
      </c>
      <c r="M107" s="839" t="str">
        <f aca="false">IF(CALIBRACION!$H113="","",CALIBRACION!R113*1000000)</f>
        <v/>
      </c>
      <c r="N107" s="839" t="str">
        <f aca="false">IF(CALIBRACION!$H113="","",-CALIBRACION!R113*1000000)</f>
        <v/>
      </c>
      <c r="O107" s="839" t="str">
        <f aca="false">IF(CALIBRACION!$H113="","",-CALIBRACION!R113*1000000)</f>
        <v/>
      </c>
    </row>
    <row r="108" customFormat="false" ht="15.75" hidden="false" customHeight="false" outlineLevel="0" collapsed="false">
      <c r="B108" s="834" t="str">
        <f aca="false">IF(CALIBRACION!$H114="","",1)</f>
        <v/>
      </c>
      <c r="C108" s="835" t="str">
        <f aca="false">IF(CALIBRACION!H114="","",1+(INCERTIDUMBRE!$F$12*CALIBRACION!X114)-(INCERTIDUMBRE!$F$13*CALIBRACION!X114)-(INCERTIDUMBRE!$F$13*CALIBRACION!AA114))</f>
        <v/>
      </c>
      <c r="D108" s="836" t="str">
        <f aca="false">IF(CALIBRACION!H114="","",(CALIBRACION!R114*CALIBRACION!X114)*1000000)</f>
        <v/>
      </c>
      <c r="E108" s="836" t="str">
        <f aca="false">IF(CALIBRACION!H114="","",-(CALIBRACION!X114+CALIBRACION!AA114)*CALIBRACION!R114*1000000)</f>
        <v/>
      </c>
      <c r="F108" s="837" t="str">
        <f aca="false">IF(CALIBRACION!H114="","",-(INCERTIDUMBRE!$G$13*CALIBRACION!R114)*1000000)</f>
        <v/>
      </c>
      <c r="G108" s="838" t="str">
        <f aca="false">IF(CALIBRACION!H114="","",((INCERTIDUMBRE!$F$12)-(INCERTIDUMBRE!$F$13))*CALIBRACION!R114*1000000)</f>
        <v/>
      </c>
      <c r="H108" s="839" t="str">
        <f aca="false">IF(CALIBRACION!$H114="","",1)</f>
        <v/>
      </c>
      <c r="I108" s="840" t="str">
        <f aca="false">IF(CALIBRACION!$H114="","",CALIBRACION!X114)</f>
        <v/>
      </c>
      <c r="J108" s="840" t="str">
        <f aca="false">IF(CALIBRACION!$H114="","",-(CALIBRACION!X114+CALIBRACION!AA114))</f>
        <v/>
      </c>
      <c r="K108" s="840" t="str">
        <f aca="false">IF(CALIBRACION!$H114="","",INCERTIDUMBRE!$F$12-INCERTIDUMBRE!$F$13)</f>
        <v/>
      </c>
      <c r="L108" s="840" t="str">
        <f aca="false">IF(CALIBRACION!$H114="","",-INCERTIDUMBRE!$F$13)</f>
        <v/>
      </c>
      <c r="M108" s="839" t="str">
        <f aca="false">IF(CALIBRACION!$H114="","",CALIBRACION!R114*1000000)</f>
        <v/>
      </c>
      <c r="N108" s="839" t="str">
        <f aca="false">IF(CALIBRACION!$H114="","",-CALIBRACION!R114*1000000)</f>
        <v/>
      </c>
      <c r="O108" s="839" t="str">
        <f aca="false">IF(CALIBRACION!$H114="","",-CALIBRACION!R114*1000000)</f>
        <v/>
      </c>
    </row>
    <row r="109" customFormat="false" ht="15.75" hidden="false" customHeight="false" outlineLevel="0" collapsed="false">
      <c r="B109" s="834" t="str">
        <f aca="false">IF(CALIBRACION!$H115="","",1)</f>
        <v/>
      </c>
      <c r="C109" s="835" t="str">
        <f aca="false">IF(CALIBRACION!H115="","",1+(INCERTIDUMBRE!$F$12*CALIBRACION!X115)-(INCERTIDUMBRE!$F$13*CALIBRACION!X115)-(INCERTIDUMBRE!$F$13*CALIBRACION!AA115))</f>
        <v/>
      </c>
      <c r="D109" s="836" t="str">
        <f aca="false">IF(CALIBRACION!H115="","",(CALIBRACION!R115*CALIBRACION!X115)*1000000)</f>
        <v/>
      </c>
      <c r="E109" s="836" t="str">
        <f aca="false">IF(CALIBRACION!H115="","",-(CALIBRACION!X115+CALIBRACION!AA115)*CALIBRACION!R115*1000000)</f>
        <v/>
      </c>
      <c r="F109" s="837" t="str">
        <f aca="false">IF(CALIBRACION!H115="","",-(INCERTIDUMBRE!$G$13*CALIBRACION!R115)*1000000)</f>
        <v/>
      </c>
      <c r="G109" s="838" t="str">
        <f aca="false">IF(CALIBRACION!H115="","",((INCERTIDUMBRE!$F$12)-(INCERTIDUMBRE!$F$13))*CALIBRACION!R115*1000000)</f>
        <v/>
      </c>
      <c r="H109" s="839" t="str">
        <f aca="false">IF(CALIBRACION!$H115="","",1)</f>
        <v/>
      </c>
      <c r="I109" s="840" t="str">
        <f aca="false">IF(CALIBRACION!$H115="","",CALIBRACION!X115)</f>
        <v/>
      </c>
      <c r="J109" s="840" t="str">
        <f aca="false">IF(CALIBRACION!$H115="","",-(CALIBRACION!X115+CALIBRACION!AA115))</f>
        <v/>
      </c>
      <c r="K109" s="840" t="str">
        <f aca="false">IF(CALIBRACION!$H115="","",INCERTIDUMBRE!$F$12-INCERTIDUMBRE!$F$13)</f>
        <v/>
      </c>
      <c r="L109" s="840" t="str">
        <f aca="false">IF(CALIBRACION!$H115="","",-INCERTIDUMBRE!$F$13)</f>
        <v/>
      </c>
      <c r="M109" s="839" t="str">
        <f aca="false">IF(CALIBRACION!$H115="","",CALIBRACION!R115*1000000)</f>
        <v/>
      </c>
      <c r="N109" s="839" t="str">
        <f aca="false">IF(CALIBRACION!$H115="","",-CALIBRACION!R115*1000000)</f>
        <v/>
      </c>
      <c r="O109" s="839" t="str">
        <f aca="false">IF(CALIBRACION!$H115="","",-CALIBRACION!R115*1000000)</f>
        <v/>
      </c>
    </row>
    <row r="110" customFormat="false" ht="15.75" hidden="false" customHeight="false" outlineLevel="0" collapsed="false">
      <c r="B110" s="834" t="str">
        <f aca="false">IF(CALIBRACION!$H116="","",1)</f>
        <v/>
      </c>
      <c r="C110" s="835" t="str">
        <f aca="false">IF(CALIBRACION!H116="","",1+(INCERTIDUMBRE!$F$12*CALIBRACION!X116)-(INCERTIDUMBRE!$F$13*CALIBRACION!X116)-(INCERTIDUMBRE!$F$13*CALIBRACION!AA116))</f>
        <v/>
      </c>
      <c r="D110" s="836" t="str">
        <f aca="false">IF(CALIBRACION!H116="","",(CALIBRACION!R116*CALIBRACION!X116)*1000000)</f>
        <v/>
      </c>
      <c r="E110" s="836" t="str">
        <f aca="false">IF(CALIBRACION!H116="","",-(CALIBRACION!X116+CALIBRACION!AA116)*CALIBRACION!R116*1000000)</f>
        <v/>
      </c>
      <c r="F110" s="837" t="str">
        <f aca="false">IF(CALIBRACION!H116="","",-(INCERTIDUMBRE!$G$13*CALIBRACION!R116)*1000000)</f>
        <v/>
      </c>
      <c r="G110" s="838" t="str">
        <f aca="false">IF(CALIBRACION!H116="","",((INCERTIDUMBRE!$F$12)-(INCERTIDUMBRE!$F$13))*CALIBRACION!R116*1000000)</f>
        <v/>
      </c>
      <c r="H110" s="839" t="str">
        <f aca="false">IF(CALIBRACION!$H116="","",1)</f>
        <v/>
      </c>
      <c r="I110" s="840" t="str">
        <f aca="false">IF(CALIBRACION!$H116="","",CALIBRACION!X116)</f>
        <v/>
      </c>
      <c r="J110" s="840" t="str">
        <f aca="false">IF(CALIBRACION!$H116="","",-(CALIBRACION!X116+CALIBRACION!AA116))</f>
        <v/>
      </c>
      <c r="K110" s="840" t="str">
        <f aca="false">IF(CALIBRACION!$H116="","",INCERTIDUMBRE!$F$12-INCERTIDUMBRE!$F$13)</f>
        <v/>
      </c>
      <c r="L110" s="840" t="str">
        <f aca="false">IF(CALIBRACION!$H116="","",-INCERTIDUMBRE!$F$13)</f>
        <v/>
      </c>
      <c r="M110" s="839" t="str">
        <f aca="false">IF(CALIBRACION!$H116="","",CALIBRACION!R116*1000000)</f>
        <v/>
      </c>
      <c r="N110" s="839" t="str">
        <f aca="false">IF(CALIBRACION!$H116="","",-CALIBRACION!R116*1000000)</f>
        <v/>
      </c>
      <c r="O110" s="839" t="str">
        <f aca="false">IF(CALIBRACION!$H116="","",-CALIBRACION!R116*1000000)</f>
        <v/>
      </c>
    </row>
    <row r="111" customFormat="false" ht="15.75" hidden="false" customHeight="false" outlineLevel="0" collapsed="false">
      <c r="B111" s="834" t="str">
        <f aca="false">IF(CALIBRACION!$H117="","",1)</f>
        <v/>
      </c>
      <c r="C111" s="835" t="str">
        <f aca="false">IF(CALIBRACION!H117="","",1+(INCERTIDUMBRE!$F$12*CALIBRACION!X117)-(INCERTIDUMBRE!$F$13*CALIBRACION!X117)-(INCERTIDUMBRE!$F$13*CALIBRACION!AA117))</f>
        <v/>
      </c>
      <c r="D111" s="836" t="str">
        <f aca="false">IF(CALIBRACION!H117="","",(CALIBRACION!R117*CALIBRACION!X117)*1000000)</f>
        <v/>
      </c>
      <c r="E111" s="836" t="str">
        <f aca="false">IF(CALIBRACION!H117="","",-(CALIBRACION!X117+CALIBRACION!AA117)*CALIBRACION!R117*1000000)</f>
        <v/>
      </c>
      <c r="F111" s="837" t="str">
        <f aca="false">IF(CALIBRACION!H117="","",-(INCERTIDUMBRE!$G$13*CALIBRACION!R117)*1000000)</f>
        <v/>
      </c>
      <c r="G111" s="838" t="str">
        <f aca="false">IF(CALIBRACION!H117="","",((INCERTIDUMBRE!$F$12)-(INCERTIDUMBRE!$F$13))*CALIBRACION!R117*1000000)</f>
        <v/>
      </c>
      <c r="H111" s="839" t="str">
        <f aca="false">IF(CALIBRACION!$H117="","",1)</f>
        <v/>
      </c>
      <c r="I111" s="840" t="str">
        <f aca="false">IF(CALIBRACION!$H117="","",CALIBRACION!X117)</f>
        <v/>
      </c>
      <c r="J111" s="840" t="str">
        <f aca="false">IF(CALIBRACION!$H117="","",-(CALIBRACION!X117+CALIBRACION!AA117))</f>
        <v/>
      </c>
      <c r="K111" s="840" t="str">
        <f aca="false">IF(CALIBRACION!$H117="","",INCERTIDUMBRE!$F$12-INCERTIDUMBRE!$F$13)</f>
        <v/>
      </c>
      <c r="L111" s="840" t="str">
        <f aca="false">IF(CALIBRACION!$H117="","",-INCERTIDUMBRE!$F$13)</f>
        <v/>
      </c>
      <c r="M111" s="839" t="str">
        <f aca="false">IF(CALIBRACION!$H117="","",CALIBRACION!R117*1000000)</f>
        <v/>
      </c>
      <c r="N111" s="839" t="str">
        <f aca="false">IF(CALIBRACION!$H117="","",-CALIBRACION!R117*1000000)</f>
        <v/>
      </c>
      <c r="O111" s="839" t="str">
        <f aca="false">IF(CALIBRACION!$H117="","",-CALIBRACION!R117*1000000)</f>
        <v/>
      </c>
    </row>
    <row r="112" customFormat="false" ht="15.75" hidden="false" customHeight="false" outlineLevel="0" collapsed="false">
      <c r="B112" s="834" t="str">
        <f aca="false">IF(CALIBRACION!$H118="","",1)</f>
        <v/>
      </c>
      <c r="C112" s="835" t="str">
        <f aca="false">IF(CALIBRACION!H118="","",1+(INCERTIDUMBRE!$F$12*CALIBRACION!X118)-(INCERTIDUMBRE!$F$13*CALIBRACION!X118)-(INCERTIDUMBRE!$F$13*CALIBRACION!AA118))</f>
        <v/>
      </c>
      <c r="D112" s="836" t="str">
        <f aca="false">IF(CALIBRACION!H118="","",(CALIBRACION!R118*CALIBRACION!X118)*1000000)</f>
        <v/>
      </c>
      <c r="E112" s="836" t="str">
        <f aca="false">IF(CALIBRACION!H118="","",-(CALIBRACION!X118+CALIBRACION!AA118)*CALIBRACION!R118*1000000)</f>
        <v/>
      </c>
      <c r="F112" s="837" t="str">
        <f aca="false">IF(CALIBRACION!H118="","",-(INCERTIDUMBRE!$G$13*CALIBRACION!R118)*1000000)</f>
        <v/>
      </c>
      <c r="G112" s="838" t="str">
        <f aca="false">IF(CALIBRACION!H118="","",((INCERTIDUMBRE!$F$12)-(INCERTIDUMBRE!$F$13))*CALIBRACION!R118*1000000)</f>
        <v/>
      </c>
      <c r="H112" s="839" t="str">
        <f aca="false">IF(CALIBRACION!$H118="","",1)</f>
        <v/>
      </c>
      <c r="I112" s="840" t="str">
        <f aca="false">IF(CALIBRACION!$H118="","",CALIBRACION!X118)</f>
        <v/>
      </c>
      <c r="J112" s="840" t="str">
        <f aca="false">IF(CALIBRACION!$H118="","",-(CALIBRACION!X118+CALIBRACION!AA118))</f>
        <v/>
      </c>
      <c r="K112" s="840" t="str">
        <f aca="false">IF(CALIBRACION!$H118="","",INCERTIDUMBRE!$F$12-INCERTIDUMBRE!$F$13)</f>
        <v/>
      </c>
      <c r="L112" s="840" t="str">
        <f aca="false">IF(CALIBRACION!$H118="","",-INCERTIDUMBRE!$F$13)</f>
        <v/>
      </c>
      <c r="M112" s="839" t="str">
        <f aca="false">IF(CALIBRACION!$H118="","",CALIBRACION!R118*1000000)</f>
        <v/>
      </c>
      <c r="N112" s="839" t="str">
        <f aca="false">IF(CALIBRACION!$H118="","",-CALIBRACION!R118*1000000)</f>
        <v/>
      </c>
      <c r="O112" s="839" t="str">
        <f aca="false">IF(CALIBRACION!$H118="","",-CALIBRACION!R118*1000000)</f>
        <v/>
      </c>
    </row>
    <row r="113" customFormat="false" ht="15.75" hidden="false" customHeight="false" outlineLevel="0" collapsed="false">
      <c r="B113" s="834" t="str">
        <f aca="false">IF(CALIBRACION!$H119="","",1)</f>
        <v/>
      </c>
      <c r="C113" s="835" t="str">
        <f aca="false">IF(CALIBRACION!H119="","",1+(INCERTIDUMBRE!$F$12*CALIBRACION!X119)-(INCERTIDUMBRE!$F$13*CALIBRACION!X119)-(INCERTIDUMBRE!$F$13*CALIBRACION!AA119))</f>
        <v/>
      </c>
      <c r="D113" s="836" t="str">
        <f aca="false">IF(CALIBRACION!H119="","",(CALIBRACION!R119*CALIBRACION!X119)*1000000)</f>
        <v/>
      </c>
      <c r="E113" s="836" t="str">
        <f aca="false">IF(CALIBRACION!H119="","",-(CALIBRACION!X119+CALIBRACION!AA119)*CALIBRACION!R119*1000000)</f>
        <v/>
      </c>
      <c r="F113" s="837" t="str">
        <f aca="false">IF(CALIBRACION!H119="","",-(INCERTIDUMBRE!$G$13*CALIBRACION!R119)*1000000)</f>
        <v/>
      </c>
      <c r="G113" s="838" t="str">
        <f aca="false">IF(CALIBRACION!H119="","",((INCERTIDUMBRE!$F$12)-(INCERTIDUMBRE!$F$13))*CALIBRACION!R119*1000000)</f>
        <v/>
      </c>
      <c r="H113" s="839" t="str">
        <f aca="false">IF(CALIBRACION!$H119="","",1)</f>
        <v/>
      </c>
      <c r="I113" s="840" t="str">
        <f aca="false">IF(CALIBRACION!$H119="","",CALIBRACION!X119)</f>
        <v/>
      </c>
      <c r="J113" s="840" t="str">
        <f aca="false">IF(CALIBRACION!$H119="","",-(CALIBRACION!X119+CALIBRACION!AA119))</f>
        <v/>
      </c>
      <c r="K113" s="840" t="str">
        <f aca="false">IF(CALIBRACION!$H119="","",INCERTIDUMBRE!$F$12-INCERTIDUMBRE!$F$13)</f>
        <v/>
      </c>
      <c r="L113" s="840" t="str">
        <f aca="false">IF(CALIBRACION!$H119="","",-INCERTIDUMBRE!$F$13)</f>
        <v/>
      </c>
      <c r="M113" s="839" t="str">
        <f aca="false">IF(CALIBRACION!$H119="","",CALIBRACION!R119*1000000)</f>
        <v/>
      </c>
      <c r="N113" s="839" t="str">
        <f aca="false">IF(CALIBRACION!$H119="","",-CALIBRACION!R119*1000000)</f>
        <v/>
      </c>
      <c r="O113" s="839" t="str">
        <f aca="false">IF(CALIBRACION!$H119="","",-CALIBRACION!R119*1000000)</f>
        <v/>
      </c>
    </row>
    <row r="114" customFormat="false" ht="15.75" hidden="false" customHeight="false" outlineLevel="0" collapsed="false">
      <c r="B114" s="834" t="str">
        <f aca="false">IF(CALIBRACION!$H120="","",1)</f>
        <v/>
      </c>
      <c r="C114" s="835" t="str">
        <f aca="false">IF(CALIBRACION!H120="","",1+(INCERTIDUMBRE!$F$12*CALIBRACION!X120)-(INCERTIDUMBRE!$F$13*CALIBRACION!X120)-(INCERTIDUMBRE!$F$13*CALIBRACION!AA120))</f>
        <v/>
      </c>
      <c r="D114" s="836" t="str">
        <f aca="false">IF(CALIBRACION!H120="","",(CALIBRACION!R120*CALIBRACION!X120)*1000000)</f>
        <v/>
      </c>
      <c r="E114" s="836" t="str">
        <f aca="false">IF(CALIBRACION!H120="","",-(CALIBRACION!X120+CALIBRACION!AA120)*CALIBRACION!R120*1000000)</f>
        <v/>
      </c>
      <c r="F114" s="837" t="str">
        <f aca="false">IF(CALIBRACION!H120="","",-(INCERTIDUMBRE!$G$13*CALIBRACION!R120)*1000000)</f>
        <v/>
      </c>
      <c r="G114" s="838" t="str">
        <f aca="false">IF(CALIBRACION!H120="","",((INCERTIDUMBRE!$F$12)-(INCERTIDUMBRE!$F$13))*CALIBRACION!R120*1000000)</f>
        <v/>
      </c>
      <c r="H114" s="839" t="str">
        <f aca="false">IF(CALIBRACION!$H120="","",1)</f>
        <v/>
      </c>
      <c r="I114" s="840" t="str">
        <f aca="false">IF(CALIBRACION!$H120="","",CALIBRACION!X120)</f>
        <v/>
      </c>
      <c r="J114" s="840" t="str">
        <f aca="false">IF(CALIBRACION!$H120="","",-(CALIBRACION!X120+CALIBRACION!AA120))</f>
        <v/>
      </c>
      <c r="K114" s="840" t="str">
        <f aca="false">IF(CALIBRACION!$H120="","",INCERTIDUMBRE!$F$12-INCERTIDUMBRE!$F$13)</f>
        <v/>
      </c>
      <c r="L114" s="840" t="str">
        <f aca="false">IF(CALIBRACION!$H120="","",-INCERTIDUMBRE!$F$13)</f>
        <v/>
      </c>
      <c r="M114" s="839" t="str">
        <f aca="false">IF(CALIBRACION!$H120="","",CALIBRACION!R120*1000000)</f>
        <v/>
      </c>
      <c r="N114" s="839" t="str">
        <f aca="false">IF(CALIBRACION!$H120="","",-CALIBRACION!R120*1000000)</f>
        <v/>
      </c>
      <c r="O114" s="839" t="str">
        <f aca="false">IF(CALIBRACION!$H120="","",-CALIBRACION!R120*1000000)</f>
        <v/>
      </c>
    </row>
    <row r="115" customFormat="false" ht="15.75" hidden="false" customHeight="false" outlineLevel="0" collapsed="false">
      <c r="B115" s="834" t="str">
        <f aca="false">IF(CALIBRACION!$H121="","",1)</f>
        <v/>
      </c>
      <c r="C115" s="835" t="str">
        <f aca="false">IF(CALIBRACION!H121="","",1+(INCERTIDUMBRE!$F$12*CALIBRACION!X121)-(INCERTIDUMBRE!$F$13*CALIBRACION!X121)-(INCERTIDUMBRE!$F$13*CALIBRACION!AA121))</f>
        <v/>
      </c>
      <c r="D115" s="836" t="str">
        <f aca="false">IF(CALIBRACION!H121="","",(CALIBRACION!R121*CALIBRACION!X121)*1000000)</f>
        <v/>
      </c>
      <c r="E115" s="836" t="str">
        <f aca="false">IF(CALIBRACION!H121="","",-(CALIBRACION!X121+CALIBRACION!AA121)*CALIBRACION!R121*1000000)</f>
        <v/>
      </c>
      <c r="F115" s="837" t="str">
        <f aca="false">IF(CALIBRACION!H121="","",-(INCERTIDUMBRE!$G$13*CALIBRACION!R121)*1000000)</f>
        <v/>
      </c>
      <c r="G115" s="838" t="str">
        <f aca="false">IF(CALIBRACION!H121="","",((INCERTIDUMBRE!$F$12)-(INCERTIDUMBRE!$F$13))*CALIBRACION!R121*1000000)</f>
        <v/>
      </c>
      <c r="H115" s="839" t="str">
        <f aca="false">IF(CALIBRACION!$H121="","",1)</f>
        <v/>
      </c>
      <c r="I115" s="840" t="str">
        <f aca="false">IF(CALIBRACION!$H121="","",CALIBRACION!X121)</f>
        <v/>
      </c>
      <c r="J115" s="840" t="str">
        <f aca="false">IF(CALIBRACION!$H121="","",-(CALIBRACION!X121+CALIBRACION!AA121))</f>
        <v/>
      </c>
      <c r="K115" s="840" t="str">
        <f aca="false">IF(CALIBRACION!$H121="","",INCERTIDUMBRE!$F$12-INCERTIDUMBRE!$F$13)</f>
        <v/>
      </c>
      <c r="L115" s="840" t="str">
        <f aca="false">IF(CALIBRACION!$H121="","",-INCERTIDUMBRE!$F$13)</f>
        <v/>
      </c>
      <c r="M115" s="839" t="str">
        <f aca="false">IF(CALIBRACION!$H121="","",CALIBRACION!R121*1000000)</f>
        <v/>
      </c>
      <c r="N115" s="839" t="str">
        <f aca="false">IF(CALIBRACION!$H121="","",-CALIBRACION!R121*1000000)</f>
        <v/>
      </c>
      <c r="O115" s="839" t="str">
        <f aca="false">IF(CALIBRACION!$H121="","",-CALIBRACION!R121*1000000)</f>
        <v/>
      </c>
    </row>
    <row r="116" customFormat="false" ht="15.75" hidden="false" customHeight="false" outlineLevel="0" collapsed="false">
      <c r="B116" s="834" t="str">
        <f aca="false">IF(CALIBRACION!$H122="","",1)</f>
        <v/>
      </c>
      <c r="C116" s="835" t="str">
        <f aca="false">IF(CALIBRACION!H122="","",1+(INCERTIDUMBRE!$F$12*CALIBRACION!X122)-(INCERTIDUMBRE!$F$13*CALIBRACION!X122)-(INCERTIDUMBRE!$F$13*CALIBRACION!AA122))</f>
        <v/>
      </c>
      <c r="D116" s="836" t="str">
        <f aca="false">IF(CALIBRACION!H122="","",(CALIBRACION!R122*CALIBRACION!X122)*1000000)</f>
        <v/>
      </c>
      <c r="E116" s="836" t="str">
        <f aca="false">IF(CALIBRACION!H122="","",-(CALIBRACION!X122+CALIBRACION!AA122)*CALIBRACION!R122*1000000)</f>
        <v/>
      </c>
      <c r="F116" s="837" t="str">
        <f aca="false">IF(CALIBRACION!H122="","",-(INCERTIDUMBRE!$G$13*CALIBRACION!R122)*1000000)</f>
        <v/>
      </c>
      <c r="G116" s="838" t="str">
        <f aca="false">IF(CALIBRACION!H122="","",((INCERTIDUMBRE!$F$12)-(INCERTIDUMBRE!$F$13))*CALIBRACION!R122*1000000)</f>
        <v/>
      </c>
      <c r="H116" s="839" t="str">
        <f aca="false">IF(CALIBRACION!$H122="","",1)</f>
        <v/>
      </c>
      <c r="I116" s="840" t="str">
        <f aca="false">IF(CALIBRACION!$H122="","",CALIBRACION!X122)</f>
        <v/>
      </c>
      <c r="J116" s="840" t="str">
        <f aca="false">IF(CALIBRACION!$H122="","",-(CALIBRACION!X122+CALIBRACION!AA122))</f>
        <v/>
      </c>
      <c r="K116" s="840" t="str">
        <f aca="false">IF(CALIBRACION!$H122="","",INCERTIDUMBRE!$F$12-INCERTIDUMBRE!$F$13)</f>
        <v/>
      </c>
      <c r="L116" s="840" t="str">
        <f aca="false">IF(CALIBRACION!$H122="","",-INCERTIDUMBRE!$F$13)</f>
        <v/>
      </c>
      <c r="M116" s="839" t="str">
        <f aca="false">IF(CALIBRACION!$H122="","",CALIBRACION!R122*1000000)</f>
        <v/>
      </c>
      <c r="N116" s="839" t="str">
        <f aca="false">IF(CALIBRACION!$H122="","",-CALIBRACION!R122*1000000)</f>
        <v/>
      </c>
      <c r="O116" s="839" t="str">
        <f aca="false">IF(CALIBRACION!$H122="","",-CALIBRACION!R122*1000000)</f>
        <v/>
      </c>
    </row>
    <row r="117" customFormat="false" ht="15.75" hidden="false" customHeight="false" outlineLevel="0" collapsed="false">
      <c r="B117" s="834" t="str">
        <f aca="false">IF(CALIBRACION!$H123="","",1)</f>
        <v/>
      </c>
      <c r="C117" s="835" t="str">
        <f aca="false">IF(CALIBRACION!H123="","",1+(INCERTIDUMBRE!$F$12*CALIBRACION!X123)-(INCERTIDUMBRE!$F$13*CALIBRACION!X123)-(INCERTIDUMBRE!$F$13*CALIBRACION!AA123))</f>
        <v/>
      </c>
      <c r="D117" s="836" t="str">
        <f aca="false">IF(CALIBRACION!H123="","",(CALIBRACION!R123*CALIBRACION!X123)*1000000)</f>
        <v/>
      </c>
      <c r="E117" s="836" t="str">
        <f aca="false">IF(CALIBRACION!H123="","",-(CALIBRACION!X123+CALIBRACION!AA123)*CALIBRACION!R123*1000000)</f>
        <v/>
      </c>
      <c r="F117" s="837" t="str">
        <f aca="false">IF(CALIBRACION!H123="","",-(INCERTIDUMBRE!$G$13*CALIBRACION!R123)*1000000)</f>
        <v/>
      </c>
      <c r="G117" s="838" t="str">
        <f aca="false">IF(CALIBRACION!H123="","",((INCERTIDUMBRE!$F$12)-(INCERTIDUMBRE!$F$13))*CALIBRACION!R123*1000000)</f>
        <v/>
      </c>
      <c r="H117" s="839" t="str">
        <f aca="false">IF(CALIBRACION!$H123="","",1)</f>
        <v/>
      </c>
      <c r="I117" s="840" t="str">
        <f aca="false">IF(CALIBRACION!$H123="","",CALIBRACION!X123)</f>
        <v/>
      </c>
      <c r="J117" s="840" t="str">
        <f aca="false">IF(CALIBRACION!$H123="","",-(CALIBRACION!X123+CALIBRACION!AA123))</f>
        <v/>
      </c>
      <c r="K117" s="840" t="str">
        <f aca="false">IF(CALIBRACION!$H123="","",INCERTIDUMBRE!$F$12-INCERTIDUMBRE!$F$13)</f>
        <v/>
      </c>
      <c r="L117" s="840" t="str">
        <f aca="false">IF(CALIBRACION!$H123="","",-INCERTIDUMBRE!$F$13)</f>
        <v/>
      </c>
      <c r="M117" s="839" t="str">
        <f aca="false">IF(CALIBRACION!$H123="","",CALIBRACION!R123*1000000)</f>
        <v/>
      </c>
      <c r="N117" s="839" t="str">
        <f aca="false">IF(CALIBRACION!$H123="","",-CALIBRACION!R123*1000000)</f>
        <v/>
      </c>
      <c r="O117" s="839" t="str">
        <f aca="false">IF(CALIBRACION!$H123="","",-CALIBRACION!R123*1000000)</f>
        <v/>
      </c>
    </row>
    <row r="118" customFormat="false" ht="15.75" hidden="false" customHeight="false" outlineLevel="0" collapsed="false">
      <c r="B118" s="834" t="str">
        <f aca="false">IF(CALIBRACION!$H124="","",1)</f>
        <v/>
      </c>
      <c r="C118" s="835" t="str">
        <f aca="false">IF(CALIBRACION!H124="","",1+(INCERTIDUMBRE!$F$12*CALIBRACION!X124)-(INCERTIDUMBRE!$F$13*CALIBRACION!X124)-(INCERTIDUMBRE!$F$13*CALIBRACION!AA124))</f>
        <v/>
      </c>
      <c r="D118" s="836" t="str">
        <f aca="false">IF(CALIBRACION!H124="","",(CALIBRACION!R124*CALIBRACION!X124)*1000000)</f>
        <v/>
      </c>
      <c r="E118" s="836" t="str">
        <f aca="false">IF(CALIBRACION!H124="","",-(CALIBRACION!X124+CALIBRACION!AA124)*CALIBRACION!R124*1000000)</f>
        <v/>
      </c>
      <c r="F118" s="837" t="str">
        <f aca="false">IF(CALIBRACION!H124="","",-(INCERTIDUMBRE!$G$13*CALIBRACION!R124)*1000000)</f>
        <v/>
      </c>
      <c r="G118" s="838" t="str">
        <f aca="false">IF(CALIBRACION!H124="","",((INCERTIDUMBRE!$F$12)-(INCERTIDUMBRE!$F$13))*CALIBRACION!R124*1000000)</f>
        <v/>
      </c>
      <c r="H118" s="839" t="str">
        <f aca="false">IF(CALIBRACION!$H124="","",1)</f>
        <v/>
      </c>
      <c r="I118" s="840" t="str">
        <f aca="false">IF(CALIBRACION!$H124="","",CALIBRACION!X124)</f>
        <v/>
      </c>
      <c r="J118" s="840" t="str">
        <f aca="false">IF(CALIBRACION!$H124="","",-(CALIBRACION!X124+CALIBRACION!AA124))</f>
        <v/>
      </c>
      <c r="K118" s="840" t="str">
        <f aca="false">IF(CALIBRACION!$H124="","",INCERTIDUMBRE!$F$12-INCERTIDUMBRE!$F$13)</f>
        <v/>
      </c>
      <c r="L118" s="840" t="str">
        <f aca="false">IF(CALIBRACION!$H124="","",-INCERTIDUMBRE!$F$13)</f>
        <v/>
      </c>
      <c r="M118" s="839" t="str">
        <f aca="false">IF(CALIBRACION!$H124="","",CALIBRACION!R124*1000000)</f>
        <v/>
      </c>
      <c r="N118" s="839" t="str">
        <f aca="false">IF(CALIBRACION!$H124="","",-CALIBRACION!R124*1000000)</f>
        <v/>
      </c>
      <c r="O118" s="839" t="str">
        <f aca="false">IF(CALIBRACION!$H124="","",-CALIBRACION!R124*1000000)</f>
        <v/>
      </c>
    </row>
    <row r="119" customFormat="false" ht="15.75" hidden="false" customHeight="false" outlineLevel="0" collapsed="false">
      <c r="B119" s="834" t="str">
        <f aca="false">IF(CALIBRACION!$H125="","",1)</f>
        <v/>
      </c>
      <c r="C119" s="835" t="str">
        <f aca="false">IF(CALIBRACION!H125="","",1+(INCERTIDUMBRE!$F$12*CALIBRACION!X125)-(INCERTIDUMBRE!$F$13*CALIBRACION!X125)-(INCERTIDUMBRE!$F$13*CALIBRACION!AA125))</f>
        <v/>
      </c>
      <c r="D119" s="836" t="str">
        <f aca="false">IF(CALIBRACION!H125="","",(CALIBRACION!R125*CALIBRACION!X125)*1000000)</f>
        <v/>
      </c>
      <c r="E119" s="836" t="str">
        <f aca="false">IF(CALIBRACION!H125="","",-(CALIBRACION!X125+CALIBRACION!AA125)*CALIBRACION!R125*1000000)</f>
        <v/>
      </c>
      <c r="F119" s="837" t="str">
        <f aca="false">IF(CALIBRACION!H125="","",-(INCERTIDUMBRE!$G$13*CALIBRACION!R125)*1000000)</f>
        <v/>
      </c>
      <c r="G119" s="838" t="str">
        <f aca="false">IF(CALIBRACION!H125="","",((INCERTIDUMBRE!$F$12)-(INCERTIDUMBRE!$F$13))*CALIBRACION!R125*1000000)</f>
        <v/>
      </c>
      <c r="H119" s="839" t="str">
        <f aca="false">IF(CALIBRACION!$H125="","",1)</f>
        <v/>
      </c>
      <c r="I119" s="840" t="str">
        <f aca="false">IF(CALIBRACION!$H125="","",CALIBRACION!X125)</f>
        <v/>
      </c>
      <c r="J119" s="840" t="str">
        <f aca="false">IF(CALIBRACION!$H125="","",-(CALIBRACION!X125+CALIBRACION!AA125))</f>
        <v/>
      </c>
      <c r="K119" s="840" t="str">
        <f aca="false">IF(CALIBRACION!$H125="","",INCERTIDUMBRE!$F$12-INCERTIDUMBRE!$F$13)</f>
        <v/>
      </c>
      <c r="L119" s="840" t="str">
        <f aca="false">IF(CALIBRACION!$H125="","",-INCERTIDUMBRE!$F$13)</f>
        <v/>
      </c>
      <c r="M119" s="839" t="str">
        <f aca="false">IF(CALIBRACION!$H125="","",CALIBRACION!R125*1000000)</f>
        <v/>
      </c>
      <c r="N119" s="839" t="str">
        <f aca="false">IF(CALIBRACION!$H125="","",-CALIBRACION!R125*1000000)</f>
        <v/>
      </c>
      <c r="O119" s="839" t="str">
        <f aca="false">IF(CALIBRACION!$H125="","",-CALIBRACION!R125*1000000)</f>
        <v/>
      </c>
    </row>
    <row r="120" customFormat="false" ht="15.75" hidden="false" customHeight="false" outlineLevel="0" collapsed="false">
      <c r="B120" s="834" t="str">
        <f aca="false">IF(CALIBRACION!$H126="","",1)</f>
        <v/>
      </c>
      <c r="C120" s="835" t="str">
        <f aca="false">IF(CALIBRACION!H126="","",1+(INCERTIDUMBRE!$F$12*CALIBRACION!X126)-(INCERTIDUMBRE!$F$13*CALIBRACION!X126)-(INCERTIDUMBRE!$F$13*CALIBRACION!AA126))</f>
        <v/>
      </c>
      <c r="D120" s="836" t="str">
        <f aca="false">IF(CALIBRACION!H126="","",(CALIBRACION!R126*CALIBRACION!X126)*1000000)</f>
        <v/>
      </c>
      <c r="E120" s="836" t="str">
        <f aca="false">IF(CALIBRACION!H126="","",-(CALIBRACION!X126+CALIBRACION!AA126)*CALIBRACION!R126*1000000)</f>
        <v/>
      </c>
      <c r="F120" s="837" t="str">
        <f aca="false">IF(CALIBRACION!H126="","",-(INCERTIDUMBRE!$G$13*CALIBRACION!R126)*1000000)</f>
        <v/>
      </c>
      <c r="G120" s="838" t="str">
        <f aca="false">IF(CALIBRACION!H126="","",((INCERTIDUMBRE!$F$12)-(INCERTIDUMBRE!$F$13))*CALIBRACION!R126*1000000)</f>
        <v/>
      </c>
      <c r="H120" s="839" t="str">
        <f aca="false">IF(CALIBRACION!$H126="","",1)</f>
        <v/>
      </c>
      <c r="I120" s="840" t="str">
        <f aca="false">IF(CALIBRACION!$H126="","",CALIBRACION!X126)</f>
        <v/>
      </c>
      <c r="J120" s="840" t="str">
        <f aca="false">IF(CALIBRACION!$H126="","",-(CALIBRACION!X126+CALIBRACION!AA126))</f>
        <v/>
      </c>
      <c r="K120" s="840" t="str">
        <f aca="false">IF(CALIBRACION!$H126="","",INCERTIDUMBRE!$F$12-INCERTIDUMBRE!$F$13)</f>
        <v/>
      </c>
      <c r="L120" s="840" t="str">
        <f aca="false">IF(CALIBRACION!$H126="","",-INCERTIDUMBRE!$F$13)</f>
        <v/>
      </c>
      <c r="M120" s="839" t="str">
        <f aca="false">IF(CALIBRACION!$H126="","",CALIBRACION!R126*1000000)</f>
        <v/>
      </c>
      <c r="N120" s="839" t="str">
        <f aca="false">IF(CALIBRACION!$H126="","",-CALIBRACION!R126*1000000)</f>
        <v/>
      </c>
      <c r="O120" s="839" t="str">
        <f aca="false">IF(CALIBRACION!$H126="","",-CALIBRACION!R126*1000000)</f>
        <v/>
      </c>
    </row>
    <row r="121" customFormat="false" ht="15.75" hidden="false" customHeight="false" outlineLevel="0" collapsed="false">
      <c r="B121" s="834" t="str">
        <f aca="false">IF(CALIBRACION!$H127="","",1)</f>
        <v/>
      </c>
      <c r="C121" s="835" t="str">
        <f aca="false">IF(CALIBRACION!H127="","",1+(INCERTIDUMBRE!$F$12*CALIBRACION!X127)-(INCERTIDUMBRE!$F$13*CALIBRACION!X127)-(INCERTIDUMBRE!$F$13*CALIBRACION!AA127))</f>
        <v/>
      </c>
      <c r="D121" s="836" t="str">
        <f aca="false">IF(CALIBRACION!H127="","",(CALIBRACION!R127*CALIBRACION!X127)*1000000)</f>
        <v/>
      </c>
      <c r="E121" s="836" t="str">
        <f aca="false">IF(CALIBRACION!H127="","",-(CALIBRACION!X127+CALIBRACION!AA127)*CALIBRACION!R127*1000000)</f>
        <v/>
      </c>
      <c r="F121" s="837" t="str">
        <f aca="false">IF(CALIBRACION!H127="","",-(INCERTIDUMBRE!$G$13*CALIBRACION!R127)*1000000)</f>
        <v/>
      </c>
      <c r="G121" s="838" t="str">
        <f aca="false">IF(CALIBRACION!H127="","",((INCERTIDUMBRE!$F$12)-(INCERTIDUMBRE!$F$13))*CALIBRACION!R127*1000000)</f>
        <v/>
      </c>
      <c r="H121" s="839" t="str">
        <f aca="false">IF(CALIBRACION!$H127="","",1)</f>
        <v/>
      </c>
      <c r="I121" s="840" t="str">
        <f aca="false">IF(CALIBRACION!$H127="","",CALIBRACION!X127)</f>
        <v/>
      </c>
      <c r="J121" s="840" t="str">
        <f aca="false">IF(CALIBRACION!$H127="","",-(CALIBRACION!X127+CALIBRACION!AA127))</f>
        <v/>
      </c>
      <c r="K121" s="840" t="str">
        <f aca="false">IF(CALIBRACION!$H127="","",INCERTIDUMBRE!$F$12-INCERTIDUMBRE!$F$13)</f>
        <v/>
      </c>
      <c r="L121" s="840" t="str">
        <f aca="false">IF(CALIBRACION!$H127="","",-INCERTIDUMBRE!$F$13)</f>
        <v/>
      </c>
      <c r="M121" s="839" t="str">
        <f aca="false">IF(CALIBRACION!$H127="","",CALIBRACION!R127*1000000)</f>
        <v/>
      </c>
      <c r="N121" s="839" t="str">
        <f aca="false">IF(CALIBRACION!$H127="","",-CALIBRACION!R127*1000000)</f>
        <v/>
      </c>
      <c r="O121" s="839" t="str">
        <f aca="false">IF(CALIBRACION!$H127="","",-CALIBRACION!R127*1000000)</f>
        <v/>
      </c>
    </row>
    <row r="122" customFormat="false" ht="15.75" hidden="false" customHeight="false" outlineLevel="0" collapsed="false">
      <c r="B122" s="834" t="str">
        <f aca="false">IF(CALIBRACION!$H128="","",1)</f>
        <v/>
      </c>
      <c r="C122" s="835" t="str">
        <f aca="false">IF(CALIBRACION!H128="","",1+(INCERTIDUMBRE!$F$12*CALIBRACION!X128)-(INCERTIDUMBRE!$F$13*CALIBRACION!X128)-(INCERTIDUMBRE!$F$13*CALIBRACION!AA128))</f>
        <v/>
      </c>
      <c r="D122" s="836" t="str">
        <f aca="false">IF(CALIBRACION!H128="","",(CALIBRACION!R128*CALIBRACION!X128)*1000000)</f>
        <v/>
      </c>
      <c r="E122" s="836" t="str">
        <f aca="false">IF(CALIBRACION!H128="","",-(CALIBRACION!X128+CALIBRACION!AA128)*CALIBRACION!R128*1000000)</f>
        <v/>
      </c>
      <c r="F122" s="837" t="str">
        <f aca="false">IF(CALIBRACION!H128="","",-(INCERTIDUMBRE!$G$13*CALIBRACION!R128)*1000000)</f>
        <v/>
      </c>
      <c r="G122" s="838" t="str">
        <f aca="false">IF(CALIBRACION!H128="","",((INCERTIDUMBRE!$F$12)-(INCERTIDUMBRE!$F$13))*CALIBRACION!R128*1000000)</f>
        <v/>
      </c>
      <c r="H122" s="839" t="str">
        <f aca="false">IF(CALIBRACION!$H128="","",1)</f>
        <v/>
      </c>
      <c r="I122" s="840" t="str">
        <f aca="false">IF(CALIBRACION!$H128="","",CALIBRACION!X128)</f>
        <v/>
      </c>
      <c r="J122" s="840" t="str">
        <f aca="false">IF(CALIBRACION!$H128="","",-(CALIBRACION!X128+CALIBRACION!AA128))</f>
        <v/>
      </c>
      <c r="K122" s="840" t="str">
        <f aca="false">IF(CALIBRACION!$H128="","",INCERTIDUMBRE!$F$12-INCERTIDUMBRE!$F$13)</f>
        <v/>
      </c>
      <c r="L122" s="840" t="str">
        <f aca="false">IF(CALIBRACION!$H128="","",-INCERTIDUMBRE!$F$13)</f>
        <v/>
      </c>
      <c r="M122" s="839" t="str">
        <f aca="false">IF(CALIBRACION!$H128="","",CALIBRACION!R128*1000000)</f>
        <v/>
      </c>
      <c r="N122" s="839" t="str">
        <f aca="false">IF(CALIBRACION!$H128="","",-CALIBRACION!R128*1000000)</f>
        <v/>
      </c>
      <c r="O122" s="839" t="str">
        <f aca="false">IF(CALIBRACION!$H128="","",-CALIBRACION!R128*1000000)</f>
        <v/>
      </c>
    </row>
    <row r="123" customFormat="false" ht="15.75" hidden="false" customHeight="false" outlineLevel="0" collapsed="false">
      <c r="B123" s="834" t="str">
        <f aca="false">IF(CALIBRACION!$H129="","",1)</f>
        <v/>
      </c>
      <c r="C123" s="835" t="str">
        <f aca="false">IF(CALIBRACION!H129="","",1+(INCERTIDUMBRE!$F$12*CALIBRACION!X129)-(INCERTIDUMBRE!$F$13*CALIBRACION!X129)-(INCERTIDUMBRE!$F$13*CALIBRACION!AA129))</f>
        <v/>
      </c>
      <c r="D123" s="836" t="str">
        <f aca="false">IF(CALIBRACION!H129="","",(CALIBRACION!R129*CALIBRACION!X129)*1000000)</f>
        <v/>
      </c>
      <c r="E123" s="836" t="str">
        <f aca="false">IF(CALIBRACION!H129="","",-(CALIBRACION!X129+CALIBRACION!AA129)*CALIBRACION!R129*1000000)</f>
        <v/>
      </c>
      <c r="F123" s="837" t="str">
        <f aca="false">IF(CALIBRACION!H129="","",-(INCERTIDUMBRE!$G$13*CALIBRACION!R129)*1000000)</f>
        <v/>
      </c>
      <c r="G123" s="838" t="str">
        <f aca="false">IF(CALIBRACION!H129="","",((INCERTIDUMBRE!$F$12)-(INCERTIDUMBRE!$F$13))*CALIBRACION!R129*1000000)</f>
        <v/>
      </c>
      <c r="H123" s="839" t="str">
        <f aca="false">IF(CALIBRACION!$H129="","",1)</f>
        <v/>
      </c>
      <c r="I123" s="840" t="str">
        <f aca="false">IF(CALIBRACION!$H129="","",CALIBRACION!X129)</f>
        <v/>
      </c>
      <c r="J123" s="840" t="str">
        <f aca="false">IF(CALIBRACION!$H129="","",-(CALIBRACION!X129+CALIBRACION!AA129))</f>
        <v/>
      </c>
      <c r="K123" s="840" t="str">
        <f aca="false">IF(CALIBRACION!$H129="","",INCERTIDUMBRE!$F$12-INCERTIDUMBRE!$F$13)</f>
        <v/>
      </c>
      <c r="L123" s="840" t="str">
        <f aca="false">IF(CALIBRACION!$H129="","",-INCERTIDUMBRE!$F$13)</f>
        <v/>
      </c>
      <c r="M123" s="839" t="str">
        <f aca="false">IF(CALIBRACION!$H129="","",CALIBRACION!R129*1000000)</f>
        <v/>
      </c>
      <c r="N123" s="839" t="str">
        <f aca="false">IF(CALIBRACION!$H129="","",-CALIBRACION!R129*1000000)</f>
        <v/>
      </c>
      <c r="O123" s="839" t="str">
        <f aca="false">IF(CALIBRACION!$H129="","",-CALIBRACION!R129*1000000)</f>
        <v/>
      </c>
    </row>
    <row r="124" customFormat="false" ht="15.75" hidden="false" customHeight="false" outlineLevel="0" collapsed="false">
      <c r="B124" s="834" t="str">
        <f aca="false">IF(CALIBRACION!$H130="","",1)</f>
        <v/>
      </c>
      <c r="C124" s="835" t="str">
        <f aca="false">IF(CALIBRACION!H130="","",1+(INCERTIDUMBRE!$F$12*CALIBRACION!X130)-(INCERTIDUMBRE!$F$13*CALIBRACION!X130)-(INCERTIDUMBRE!$F$13*CALIBRACION!AA130))</f>
        <v/>
      </c>
      <c r="D124" s="836" t="str">
        <f aca="false">IF(CALIBRACION!H130="","",(CALIBRACION!R130*CALIBRACION!X130)*1000000)</f>
        <v/>
      </c>
      <c r="E124" s="836" t="str">
        <f aca="false">IF(CALIBRACION!H130="","",-(CALIBRACION!X130+CALIBRACION!AA130)*CALIBRACION!R130*1000000)</f>
        <v/>
      </c>
      <c r="F124" s="837" t="str">
        <f aca="false">IF(CALIBRACION!H130="","",-(INCERTIDUMBRE!$G$13*CALIBRACION!R130)*1000000)</f>
        <v/>
      </c>
      <c r="G124" s="838" t="str">
        <f aca="false">IF(CALIBRACION!H130="","",((INCERTIDUMBRE!$F$12)-(INCERTIDUMBRE!$F$13))*CALIBRACION!R130*1000000)</f>
        <v/>
      </c>
      <c r="H124" s="839" t="str">
        <f aca="false">IF(CALIBRACION!$H130="","",1)</f>
        <v/>
      </c>
      <c r="I124" s="840" t="str">
        <f aca="false">IF(CALIBRACION!$H130="","",CALIBRACION!X130)</f>
        <v/>
      </c>
      <c r="J124" s="840" t="str">
        <f aca="false">IF(CALIBRACION!$H130="","",-(CALIBRACION!X130+CALIBRACION!AA130))</f>
        <v/>
      </c>
      <c r="K124" s="840" t="str">
        <f aca="false">IF(CALIBRACION!$H130="","",INCERTIDUMBRE!$F$12-INCERTIDUMBRE!$F$13)</f>
        <v/>
      </c>
      <c r="L124" s="840" t="str">
        <f aca="false">IF(CALIBRACION!$H130="","",-INCERTIDUMBRE!$F$13)</f>
        <v/>
      </c>
      <c r="M124" s="839" t="str">
        <f aca="false">IF(CALIBRACION!$H130="","",CALIBRACION!R130*1000000)</f>
        <v/>
      </c>
      <c r="N124" s="839" t="str">
        <f aca="false">IF(CALIBRACION!$H130="","",-CALIBRACION!R130*1000000)</f>
        <v/>
      </c>
      <c r="O124" s="839" t="str">
        <f aca="false">IF(CALIBRACION!$H130="","",-CALIBRACION!R130*1000000)</f>
        <v/>
      </c>
    </row>
    <row r="125" customFormat="false" ht="15.75" hidden="false" customHeight="false" outlineLevel="0" collapsed="false">
      <c r="B125" s="834" t="str">
        <f aca="false">IF(CALIBRACION!$H131="","",1)</f>
        <v/>
      </c>
      <c r="C125" s="835" t="str">
        <f aca="false">IF(CALIBRACION!H131="","",1+(INCERTIDUMBRE!$F$12*CALIBRACION!X131)-(INCERTIDUMBRE!$F$13*CALIBRACION!X131)-(INCERTIDUMBRE!$F$13*CALIBRACION!AA131))</f>
        <v/>
      </c>
      <c r="D125" s="836" t="str">
        <f aca="false">IF(CALIBRACION!H131="","",(CALIBRACION!R131*CALIBRACION!X131)*1000000)</f>
        <v/>
      </c>
      <c r="E125" s="836" t="str">
        <f aca="false">IF(CALIBRACION!H131="","",-(CALIBRACION!X131+CALIBRACION!AA131)*CALIBRACION!R131*1000000)</f>
        <v/>
      </c>
      <c r="F125" s="837" t="str">
        <f aca="false">IF(CALIBRACION!H131="","",-(INCERTIDUMBRE!$G$13*CALIBRACION!R131)*1000000)</f>
        <v/>
      </c>
      <c r="G125" s="838" t="str">
        <f aca="false">IF(CALIBRACION!H131="","",((INCERTIDUMBRE!$F$12)-(INCERTIDUMBRE!$F$13))*CALIBRACION!R131*1000000)</f>
        <v/>
      </c>
      <c r="H125" s="839" t="str">
        <f aca="false">IF(CALIBRACION!$H131="","",1)</f>
        <v/>
      </c>
      <c r="I125" s="840" t="str">
        <f aca="false">IF(CALIBRACION!$H131="","",CALIBRACION!X131)</f>
        <v/>
      </c>
      <c r="J125" s="840" t="str">
        <f aca="false">IF(CALIBRACION!$H131="","",-(CALIBRACION!X131+CALIBRACION!AA131))</f>
        <v/>
      </c>
      <c r="K125" s="840" t="str">
        <f aca="false">IF(CALIBRACION!$H131="","",INCERTIDUMBRE!$F$12-INCERTIDUMBRE!$F$13)</f>
        <v/>
      </c>
      <c r="L125" s="840" t="str">
        <f aca="false">IF(CALIBRACION!$H131="","",-INCERTIDUMBRE!$F$13)</f>
        <v/>
      </c>
      <c r="M125" s="839" t="str">
        <f aca="false">IF(CALIBRACION!$H131="","",CALIBRACION!R131*1000000)</f>
        <v/>
      </c>
      <c r="N125" s="839" t="str">
        <f aca="false">IF(CALIBRACION!$H131="","",-CALIBRACION!R131*1000000)</f>
        <v/>
      </c>
      <c r="O125" s="839" t="str">
        <f aca="false">IF(CALIBRACION!$H131="","",-CALIBRACION!R131*1000000)</f>
        <v/>
      </c>
    </row>
    <row r="126" customFormat="false" ht="15.75" hidden="false" customHeight="false" outlineLevel="0" collapsed="false">
      <c r="B126" s="834" t="str">
        <f aca="false">IF(CALIBRACION!$H132="","",1)</f>
        <v/>
      </c>
      <c r="C126" s="835" t="str">
        <f aca="false">IF(CALIBRACION!H132="","",1+(INCERTIDUMBRE!$F$12*CALIBRACION!X132)-(INCERTIDUMBRE!$F$13*CALIBRACION!X132)-(INCERTIDUMBRE!$F$13*CALIBRACION!AA132))</f>
        <v/>
      </c>
      <c r="D126" s="836" t="str">
        <f aca="false">IF(CALIBRACION!H132="","",(CALIBRACION!R132*CALIBRACION!X132)*1000000)</f>
        <v/>
      </c>
      <c r="E126" s="836" t="str">
        <f aca="false">IF(CALIBRACION!H132="","",-(CALIBRACION!X132+CALIBRACION!AA132)*CALIBRACION!R132*1000000)</f>
        <v/>
      </c>
      <c r="F126" s="837" t="str">
        <f aca="false">IF(CALIBRACION!H132="","",-(INCERTIDUMBRE!$G$13*CALIBRACION!R132)*1000000)</f>
        <v/>
      </c>
      <c r="G126" s="838" t="str">
        <f aca="false">IF(CALIBRACION!H132="","",((INCERTIDUMBRE!$F$12)-(INCERTIDUMBRE!$F$13))*CALIBRACION!R132*1000000)</f>
        <v/>
      </c>
      <c r="H126" s="839" t="str">
        <f aca="false">IF(CALIBRACION!$H132="","",1)</f>
        <v/>
      </c>
      <c r="I126" s="840" t="str">
        <f aca="false">IF(CALIBRACION!$H132="","",CALIBRACION!X132)</f>
        <v/>
      </c>
      <c r="J126" s="840" t="str">
        <f aca="false">IF(CALIBRACION!$H132="","",-(CALIBRACION!X132+CALIBRACION!AA132))</f>
        <v/>
      </c>
      <c r="K126" s="840" t="str">
        <f aca="false">IF(CALIBRACION!$H132="","",INCERTIDUMBRE!$F$12-INCERTIDUMBRE!$F$13)</f>
        <v/>
      </c>
      <c r="L126" s="840" t="str">
        <f aca="false">IF(CALIBRACION!$H132="","",-INCERTIDUMBRE!$F$13)</f>
        <v/>
      </c>
      <c r="M126" s="839" t="str">
        <f aca="false">IF(CALIBRACION!$H132="","",CALIBRACION!R132*1000000)</f>
        <v/>
      </c>
      <c r="N126" s="839" t="str">
        <f aca="false">IF(CALIBRACION!$H132="","",-CALIBRACION!R132*1000000)</f>
        <v/>
      </c>
      <c r="O126" s="839" t="str">
        <f aca="false">IF(CALIBRACION!$H132="","",-CALIBRACION!R132*1000000)</f>
        <v/>
      </c>
    </row>
    <row r="127" customFormat="false" ht="15.75" hidden="false" customHeight="false" outlineLevel="0" collapsed="false">
      <c r="B127" s="834" t="str">
        <f aca="false">IF(CALIBRACION!$H133="","",1)</f>
        <v/>
      </c>
      <c r="C127" s="835" t="str">
        <f aca="false">IF(CALIBRACION!H133="","",1+(INCERTIDUMBRE!$F$12*CALIBRACION!X133)-(INCERTIDUMBRE!$F$13*CALIBRACION!X133)-(INCERTIDUMBRE!$F$13*CALIBRACION!AA133))</f>
        <v/>
      </c>
      <c r="D127" s="836" t="str">
        <f aca="false">IF(CALIBRACION!H133="","",(CALIBRACION!R133*CALIBRACION!X133)*1000000)</f>
        <v/>
      </c>
      <c r="E127" s="836" t="str">
        <f aca="false">IF(CALIBRACION!H133="","",-(CALIBRACION!X133+CALIBRACION!AA133)*CALIBRACION!R133*1000000)</f>
        <v/>
      </c>
      <c r="F127" s="837" t="str">
        <f aca="false">IF(CALIBRACION!H133="","",-(INCERTIDUMBRE!$G$13*CALIBRACION!R133)*1000000)</f>
        <v/>
      </c>
      <c r="G127" s="838" t="str">
        <f aca="false">IF(CALIBRACION!H133="","",((INCERTIDUMBRE!$F$12)-(INCERTIDUMBRE!$F$13))*CALIBRACION!R133*1000000)</f>
        <v/>
      </c>
      <c r="H127" s="839" t="str">
        <f aca="false">IF(CALIBRACION!$H133="","",1)</f>
        <v/>
      </c>
      <c r="I127" s="840" t="str">
        <f aca="false">IF(CALIBRACION!$H133="","",CALIBRACION!X133)</f>
        <v/>
      </c>
      <c r="J127" s="840" t="str">
        <f aca="false">IF(CALIBRACION!$H133="","",-(CALIBRACION!X133+CALIBRACION!AA133))</f>
        <v/>
      </c>
      <c r="K127" s="840" t="str">
        <f aca="false">IF(CALIBRACION!$H133="","",INCERTIDUMBRE!$F$12-INCERTIDUMBRE!$F$13)</f>
        <v/>
      </c>
      <c r="L127" s="840" t="str">
        <f aca="false">IF(CALIBRACION!$H133="","",-INCERTIDUMBRE!$F$13)</f>
        <v/>
      </c>
      <c r="M127" s="839" t="str">
        <f aca="false">IF(CALIBRACION!$H133="","",CALIBRACION!R133*1000000)</f>
        <v/>
      </c>
      <c r="N127" s="839" t="str">
        <f aca="false">IF(CALIBRACION!$H133="","",-CALIBRACION!R133*1000000)</f>
        <v/>
      </c>
      <c r="O127" s="839" t="str">
        <f aca="false">IF(CALIBRACION!$H133="","",-CALIBRACION!R133*1000000)</f>
        <v/>
      </c>
    </row>
  </sheetData>
  <mergeCells count="2">
    <mergeCell ref="B3:O3"/>
    <mergeCell ref="I4:O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9" activeCellId="0" sqref="D19"/>
    </sheetView>
  </sheetViews>
  <sheetFormatPr defaultColWidth="21.00390625" defaultRowHeight="18" zeroHeight="false" outlineLevelRow="0" outlineLevelCol="0"/>
  <cols>
    <col collapsed="false" customWidth="true" hidden="false" outlineLevel="0" max="1" min="1" style="841" width="78.67"/>
    <col collapsed="false" customWidth="true" hidden="false" outlineLevel="0" max="2" min="2" style="841" width="19.5"/>
    <col collapsed="false" customWidth="true" hidden="false" outlineLevel="0" max="3" min="3" style="841" width="31.5"/>
    <col collapsed="false" customWidth="true" hidden="false" outlineLevel="0" max="4" min="4" style="841" width="22"/>
    <col collapsed="false" customWidth="true" hidden="false" outlineLevel="0" max="5" min="5" style="841" width="20.5"/>
    <col collapsed="false" customWidth="true" hidden="false" outlineLevel="0" max="6" min="6" style="841" width="23.5"/>
    <col collapsed="false" customWidth="false" hidden="false" outlineLevel="0" max="16384" min="7" style="841" width="21"/>
  </cols>
  <sheetData>
    <row r="1" customFormat="false" ht="37.5" hidden="false" customHeight="true" outlineLevel="0" collapsed="false">
      <c r="A1" s="842" t="s">
        <v>871</v>
      </c>
      <c r="B1" s="842"/>
      <c r="C1" s="843" t="s">
        <v>872</v>
      </c>
      <c r="D1" s="844" t="s">
        <v>873</v>
      </c>
      <c r="E1" s="845" t="s">
        <v>716</v>
      </c>
    </row>
    <row r="2" customFormat="false" ht="21" hidden="false" customHeight="true" outlineLevel="0" collapsed="false">
      <c r="A2" s="842"/>
      <c r="B2" s="842"/>
      <c r="C2" s="846" t="s">
        <v>874</v>
      </c>
      <c r="D2" s="844"/>
      <c r="E2" s="847" t="s">
        <v>875</v>
      </c>
    </row>
    <row r="3" customFormat="false" ht="18" hidden="false" customHeight="false" outlineLevel="0" collapsed="false">
      <c r="A3" s="842"/>
      <c r="B3" s="842"/>
      <c r="C3" s="846"/>
      <c r="D3" s="844"/>
      <c r="E3" s="847"/>
    </row>
    <row r="4" customFormat="false" ht="24.75" hidden="false" customHeight="true" outlineLevel="0" collapsed="false">
      <c r="A4" s="848" t="s">
        <v>876</v>
      </c>
      <c r="B4" s="846" t="s">
        <v>846</v>
      </c>
      <c r="C4" s="849" t="str">
        <f aca="false">+INCERTIDUMBRE!G29</f>
        <v/>
      </c>
      <c r="D4" s="850" t="str">
        <f aca="false">'SENSIBILIDAD 2'!B6</f>
        <v/>
      </c>
      <c r="E4" s="851" t="str">
        <f aca="false">+INCERTIDUMBRE!AC29</f>
        <v/>
      </c>
      <c r="F4" s="852" t="e">
        <f aca="false">E4/$E$16</f>
        <v>#VALUE!</v>
      </c>
    </row>
    <row r="5" customFormat="false" ht="24.75" hidden="false" customHeight="true" outlineLevel="0" collapsed="false">
      <c r="A5" s="848" t="s">
        <v>877</v>
      </c>
      <c r="B5" s="846" t="s">
        <v>878</v>
      </c>
      <c r="C5" s="849" t="str">
        <f aca="false">+INCERTIDUMBRE!K29</f>
        <v/>
      </c>
      <c r="D5" s="850" t="str">
        <f aca="false">'SENSIBILIDAD 2'!C6</f>
        <v/>
      </c>
      <c r="E5" s="851" t="str">
        <f aca="false">+INCERTIDUMBRE!AD29</f>
        <v/>
      </c>
      <c r="F5" s="852" t="e">
        <f aca="false">E5/$E$16</f>
        <v>#VALUE!</v>
      </c>
    </row>
    <row r="6" customFormat="false" ht="30" hidden="false" customHeight="true" outlineLevel="0" collapsed="false">
      <c r="A6" s="848" t="s">
        <v>879</v>
      </c>
      <c r="B6" s="846" t="s">
        <v>880</v>
      </c>
      <c r="C6" s="849" t="str">
        <f aca="false">+INCERTIDUMBRE!L29</f>
        <v/>
      </c>
      <c r="D6" s="850" t="str">
        <f aca="false">'SENSIBILIDAD 2'!G6</f>
        <v/>
      </c>
      <c r="E6" s="851" t="str">
        <f aca="false">+INCERTIDUMBRE!AH29</f>
        <v/>
      </c>
      <c r="F6" s="852" t="e">
        <f aca="false">E6/$E$16</f>
        <v>#VALUE!</v>
      </c>
    </row>
    <row r="7" customFormat="false" ht="30" hidden="false" customHeight="true" outlineLevel="0" collapsed="false">
      <c r="A7" s="848" t="s">
        <v>881</v>
      </c>
      <c r="B7" s="846" t="s">
        <v>850</v>
      </c>
      <c r="C7" s="849" t="str">
        <f aca="false">+INCERTIDUMBRE!P29</f>
        <v/>
      </c>
      <c r="D7" s="850"/>
      <c r="E7" s="851"/>
      <c r="F7" s="852" t="e">
        <f aca="false">E7/$E$16</f>
        <v>#DIV/0!</v>
      </c>
    </row>
    <row r="8" customFormat="false" ht="30" hidden="false" customHeight="true" outlineLevel="0" collapsed="false">
      <c r="A8" s="848" t="s">
        <v>882</v>
      </c>
      <c r="B8" s="846" t="s">
        <v>883</v>
      </c>
      <c r="C8" s="849" t="str">
        <f aca="false">+INCERTIDUMBRE!O29</f>
        <v/>
      </c>
      <c r="D8" s="850"/>
      <c r="E8" s="851"/>
      <c r="F8" s="852" t="e">
        <f aca="false">E8/$E$16</f>
        <v>#DIV/0!</v>
      </c>
    </row>
    <row r="9" customFormat="false" ht="30" hidden="false" customHeight="true" outlineLevel="0" collapsed="false">
      <c r="A9" s="848" t="s">
        <v>884</v>
      </c>
      <c r="B9" s="846" t="s">
        <v>885</v>
      </c>
      <c r="C9" s="849" t="str">
        <f aca="false">+INCERTIDUMBRE!R29</f>
        <v/>
      </c>
      <c r="D9" s="850" t="str">
        <f aca="false">'SENSIBILIDAD 2'!D6</f>
        <v/>
      </c>
      <c r="E9" s="851" t="str">
        <f aca="false">+INCERTIDUMBRE!AE29</f>
        <v/>
      </c>
      <c r="F9" s="852" t="e">
        <f aca="false">E9/$E$16</f>
        <v>#VALUE!</v>
      </c>
    </row>
    <row r="10" customFormat="false" ht="30" hidden="false" customHeight="true" outlineLevel="0" collapsed="false">
      <c r="A10" s="848" t="s">
        <v>886</v>
      </c>
      <c r="B10" s="846" t="s">
        <v>887</v>
      </c>
      <c r="C10" s="849" t="str">
        <f aca="false">+INCERTIDUMBRE!S29</f>
        <v/>
      </c>
      <c r="D10" s="850" t="str">
        <f aca="false">'SENSIBILIDAD 2'!E6</f>
        <v/>
      </c>
      <c r="E10" s="851" t="str">
        <f aca="false">+INCERTIDUMBRE!AF29</f>
        <v/>
      </c>
      <c r="F10" s="852" t="e">
        <f aca="false">E10/$E$16</f>
        <v>#VALUE!</v>
      </c>
    </row>
    <row r="11" customFormat="false" ht="30" hidden="false" customHeight="true" outlineLevel="0" collapsed="false">
      <c r="A11" s="848" t="s">
        <v>712</v>
      </c>
      <c r="B11" s="846" t="s">
        <v>888</v>
      </c>
      <c r="C11" s="849" t="str">
        <f aca="false">+INCERTIDUMBRE!T29</f>
        <v/>
      </c>
      <c r="D11" s="850" t="str">
        <f aca="false">'SENSIBILIDAD 2'!F6</f>
        <v/>
      </c>
      <c r="E11" s="851" t="str">
        <f aca="false">+INCERTIDUMBRE!AG29</f>
        <v/>
      </c>
      <c r="F11" s="852" t="e">
        <f aca="false">E11/$E$16</f>
        <v>#VALUE!</v>
      </c>
    </row>
    <row r="12" customFormat="false" ht="30" hidden="false" customHeight="true" outlineLevel="0" collapsed="false">
      <c r="A12" s="848" t="s">
        <v>700</v>
      </c>
      <c r="B12" s="846" t="s">
        <v>852</v>
      </c>
      <c r="C12" s="849" t="str">
        <f aca="false">+INCERTIDUMBRE!U29</f>
        <v/>
      </c>
      <c r="D12" s="850" t="str">
        <f aca="false">'SENSIBILIDAD 2'!H6</f>
        <v/>
      </c>
      <c r="E12" s="851" t="str">
        <f aca="false">+INCERTIDUMBRE!AI29</f>
        <v/>
      </c>
      <c r="F12" s="852" t="e">
        <f aca="false">E12/$E$16</f>
        <v>#VALUE!</v>
      </c>
    </row>
    <row r="13" customFormat="false" ht="30" hidden="false" customHeight="true" outlineLevel="0" collapsed="false">
      <c r="A13" s="848" t="s">
        <v>889</v>
      </c>
      <c r="B13" s="846" t="s">
        <v>890</v>
      </c>
      <c r="C13" s="849" t="str">
        <f aca="false">+INCERTIDUMBRE!V29</f>
        <v/>
      </c>
      <c r="D13" s="850" t="str">
        <f aca="false">'SENSIBILIDAD 2'!M6</f>
        <v/>
      </c>
      <c r="E13" s="851" t="str">
        <f aca="false">+INCERTIDUMBRE!AJ29</f>
        <v/>
      </c>
      <c r="F13" s="852" t="e">
        <f aca="false">E13/$E$16</f>
        <v>#VALUE!</v>
      </c>
    </row>
    <row r="14" customFormat="false" ht="30" hidden="false" customHeight="true" outlineLevel="0" collapsed="false">
      <c r="A14" s="848" t="s">
        <v>891</v>
      </c>
      <c r="B14" s="846" t="s">
        <v>892</v>
      </c>
      <c r="C14" s="849" t="str">
        <f aca="false">+INCERTIDUMBRE!W29</f>
        <v/>
      </c>
      <c r="D14" s="850" t="str">
        <f aca="false">'SENSIBILIDAD 2'!N6</f>
        <v/>
      </c>
      <c r="E14" s="851" t="str">
        <f aca="false">+INCERTIDUMBRE!AK29</f>
        <v/>
      </c>
      <c r="F14" s="852" t="e">
        <f aca="false">E14/$E$16</f>
        <v>#VALUE!</v>
      </c>
    </row>
    <row r="15" customFormat="false" ht="30" hidden="false" customHeight="true" outlineLevel="0" collapsed="false">
      <c r="A15" s="853" t="s">
        <v>893</v>
      </c>
      <c r="B15" s="854" t="s">
        <v>859</v>
      </c>
      <c r="C15" s="855" t="str">
        <f aca="false">+INCERTIDUMBRE!X29</f>
        <v/>
      </c>
      <c r="D15" s="856" t="str">
        <f aca="false">'SENSIBILIDAD 2'!O6</f>
        <v/>
      </c>
      <c r="E15" s="857" t="str">
        <f aca="false">+INCERTIDUMBRE!AL29</f>
        <v/>
      </c>
      <c r="F15" s="852" t="e">
        <f aca="false">E15/$E$16</f>
        <v>#VALUE!</v>
      </c>
    </row>
    <row r="16" customFormat="false" ht="18.75" hidden="false" customHeight="false" outlineLevel="0" collapsed="false">
      <c r="E16" s="858" t="n">
        <f aca="false">SUM(E4:E15)</f>
        <v>0</v>
      </c>
      <c r="F16" s="859" t="e">
        <f aca="false">SUM(F4:F15)</f>
        <v>#VALUE!</v>
      </c>
    </row>
    <row r="17" customFormat="false" ht="18" hidden="false" customHeight="false" outlineLevel="0" collapsed="false">
      <c r="B17" s="860" t="s">
        <v>716</v>
      </c>
      <c r="C17" s="860"/>
      <c r="D17" s="861" t="e">
        <f aca="false">SQRT(E4+E5+E6+E9+E10+E11+E12+E13+E14+E15)</f>
        <v>#VALUE!</v>
      </c>
      <c r="E17" s="862" t="s">
        <v>726</v>
      </c>
    </row>
    <row r="18" customFormat="false" ht="18" hidden="false" customHeight="false" outlineLevel="0" collapsed="false">
      <c r="B18" s="863" t="s">
        <v>717</v>
      </c>
      <c r="C18" s="863"/>
      <c r="D18" s="864" t="e">
        <f aca="false">+D17*2</f>
        <v>#VALUE!</v>
      </c>
      <c r="E18" s="865" t="s">
        <v>726</v>
      </c>
    </row>
    <row r="19" customFormat="false" ht="18.75" hidden="false" customHeight="false" outlineLevel="0" collapsed="false">
      <c r="B19" s="866" t="s">
        <v>717</v>
      </c>
      <c r="C19" s="866"/>
      <c r="D19" s="867" t="e">
        <f aca="false">+D18/1000</f>
        <v>#VALUE!</v>
      </c>
      <c r="E19" s="868" t="s">
        <v>0</v>
      </c>
    </row>
  </sheetData>
  <sheetProtection sheet="true" password="de99" objects="true" scenarios="true"/>
  <mergeCells count="9">
    <mergeCell ref="A1:B3"/>
    <mergeCell ref="D1:D3"/>
    <mergeCell ref="C2:C3"/>
    <mergeCell ref="E2:E3"/>
    <mergeCell ref="D6:D8"/>
    <mergeCell ref="E6:E8"/>
    <mergeCell ref="B17:C17"/>
    <mergeCell ref="B18:C18"/>
    <mergeCell ref="B19:C19"/>
  </mergeCells>
  <printOptions headings="false" gridLines="false" gridLinesSet="true" horizontalCentered="true" verticalCentered="true"/>
  <pageMargins left="0.2" right="0.2" top="0.25" bottom="0.25" header="0.3" footer="0.3"/>
  <pageSetup paperSize="1" scale="75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&amp;C&amp;"Arial,Regular"&amp;18PRESUPUESTO DE INCERTIDUMBRE
&amp;10BLOQUE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</TotalTime>
  <Application>LibreOffice/7.6.3.2$Linux_X86_64 LibreOffice_project/60$Build-2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2012-06-28T21:53:44Z</dcterms:created>
  <dc:creator>OFRA</dc:creator>
  <dc:description/>
  <dc:language>es-CR</dc:language>
  <cp:lastModifiedBy/>
  <cp:lastPrinted>2022-11-11T19:45:40Z</cp:lastPrinted>
  <dcterms:modified xsi:type="dcterms:W3CDTF">2023-12-08T12:00:08Z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